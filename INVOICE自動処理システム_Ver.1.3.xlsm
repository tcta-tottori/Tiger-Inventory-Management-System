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K:\00_全社共有\02_社内掲示板\seisan-kanri\KEN-CORP\"/>
    </mc:Choice>
  </mc:AlternateContent>
  <xr:revisionPtr revIDLastSave="0" documentId="13_ncr:1_{F0C3A53E-D362-454A-9FDB-33705E85A36A}" xr6:coauthVersionLast="47" xr6:coauthVersionMax="47" xr10:uidLastSave="{00000000-0000-0000-0000-000000000000}"/>
  <bookViews>
    <workbookView xWindow="8040" yWindow="-120" windowWidth="14610" windowHeight="15480" xr2:uid="{00000000-000D-0000-FFFF-FFFF00000000}"/>
  </bookViews>
  <sheets>
    <sheet name="読込" sheetId="2" r:id="rId1"/>
    <sheet name="仕入・売上" sheetId="3" r:id="rId2"/>
    <sheet name="KINTONE入力" sheetId="11" r:id="rId3"/>
    <sheet name="設定" sheetId="14" r:id="rId4"/>
    <sheet name="操作マニュアル" sheetId="5" r:id="rId5"/>
    <sheet name="製品データ" sheetId="6" r:id="rId6"/>
    <sheet name="部品データ" sheetId="8" r:id="rId7"/>
    <sheet name="入力依頼書" sheetId="9" r:id="rId8"/>
    <sheet name="FAX送付状" sheetId="13" r:id="rId9"/>
  </sheets>
  <functionGroups builtInGroupCount="19"/>
  <externalReferences>
    <externalReference r:id="rId10"/>
  </externalReferences>
  <definedNames>
    <definedName name="_xlnm._FilterDatabase" localSheetId="1" hidden="1">仕入・売上!$A$5:$P$339</definedName>
    <definedName name="_xlnm._FilterDatabase" localSheetId="5" hidden="1">製品データ!$A$1:$G$495</definedName>
    <definedName name="_xlnm._FilterDatabase" localSheetId="0" hidden="1">読込!$A$27:$U$31</definedName>
    <definedName name="_xlnm._FilterDatabase" localSheetId="6" hidden="1">部品データ!$A$1:$G$1007</definedName>
    <definedName name="_xlnm.Print_Area" localSheetId="8">FAX送付状!$A$1:$J$42</definedName>
    <definedName name="_xlnm.Print_Area" localSheetId="7">入力依頼書!$A$1:$H$39</definedName>
  </definedNames>
  <calcPr calcId="191029"/>
</workbook>
</file>

<file path=xl/calcChain.xml><?xml version="1.0" encoding="utf-8"?>
<calcChain xmlns="http://schemas.openxmlformats.org/spreadsheetml/2006/main">
  <c r="B33" i="9" l="1"/>
  <c r="H29" i="9"/>
  <c r="G29" i="9"/>
  <c r="D29" i="9"/>
  <c r="C29" i="9"/>
  <c r="B29" i="9"/>
  <c r="A29" i="9"/>
  <c r="C22" i="9"/>
  <c r="B14" i="9"/>
  <c r="H11" i="9"/>
  <c r="H8" i="9"/>
  <c r="B5" i="9"/>
  <c r="B3" i="9"/>
  <c r="A1" i="9"/>
</calcChain>
</file>

<file path=xl/sharedStrings.xml><?xml version="1.0" encoding="utf-8"?>
<sst xmlns="http://schemas.openxmlformats.org/spreadsheetml/2006/main" count="7413" uniqueCount="2843">
  <si>
    <t>■ 実行ボタン（上から順に実行）</t>
  </si>
  <si>
    <t>納入先</t>
  </si>
  <si>
    <t>■ 処理状態</t>
  </si>
  <si>
    <t>REF No.</t>
  </si>
  <si>
    <t>PARTS NO</t>
  </si>
  <si>
    <t>単価</t>
  </si>
  <si>
    <t>金額</t>
  </si>
  <si>
    <t>通関地</t>
  </si>
  <si>
    <t>※このシートは自動生成されます。年月ごとにシートが作成されます。</t>
  </si>
  <si>
    <t>■ フォルダ・ファイルパス設定</t>
  </si>
  <si>
    <t>確認願テンプレートパス</t>
  </si>
  <si>
    <t>■ 担当者リスト</t>
  </si>
  <si>
    <t>担当者名</t>
  </si>
  <si>
    <t>Thunderbirdパス</t>
  </si>
  <si>
    <t>C:\Program Files\Mozilla Thunderbird\thunderbird.exe</t>
  </si>
  <si>
    <t>C:\Program Files (x86)\Mozilla Thunderbird\thunderbird.exe</t>
  </si>
  <si>
    <t>■ 海運業者リスト</t>
  </si>
  <si>
    <t>業者名</t>
  </si>
  <si>
    <t>メールTo</t>
  </si>
  <si>
    <t>メールCc</t>
  </si>
  <si>
    <t>fuji@example.com</t>
  </si>
  <si>
    <t>tradia@example.com</t>
  </si>
  <si>
    <t>YUSEN</t>
  </si>
  <si>
    <t>yusen@example.com</t>
  </si>
  <si>
    <t>納入時間</t>
  </si>
  <si>
    <t>納入日計算</t>
  </si>
  <si>
    <t>AM8:30</t>
  </si>
  <si>
    <t>入力日</t>
  </si>
  <si>
    <t>AM8:00</t>
  </si>
  <si>
    <t>AM9:30</t>
  </si>
  <si>
    <t>AM7:30</t>
  </si>
  <si>
    <t>■ 判定条件リスト</t>
  </si>
  <si>
    <t>■ 売上先コード設定</t>
  </si>
  <si>
    <t>00015</t>
  </si>
  <si>
    <t>60015</t>
  </si>
  <si>
    <t>00028</t>
  </si>
  <si>
    <t>1111</t>
  </si>
  <si>
    <t>2222</t>
  </si>
  <si>
    <t>A8000</t>
  </si>
  <si>
    <t>A0000</t>
  </si>
  <si>
    <t>番号</t>
  </si>
  <si>
    <t>■ 通関地番号（インストン用）</t>
  </si>
  <si>
    <t>大阪</t>
  </si>
  <si>
    <t>東京</t>
  </si>
  <si>
    <t>横浜</t>
  </si>
  <si>
    <t>神戸</t>
  </si>
  <si>
    <t>本システムは、新建高から送付されるINVOICE・PACKING LISTファイルを</t>
  </si>
  <si>
    <t>自動で読み込み、各種転記・書類作成を効率化するためのツールです。</t>
  </si>
  <si>
    <t>気高コード</t>
  </si>
  <si>
    <t>直送フラグ</t>
  </si>
  <si>
    <t>仕入先</t>
  </si>
  <si>
    <t>売上先</t>
  </si>
  <si>
    <t>受入倉庫</t>
  </si>
  <si>
    <t>No.</t>
    <phoneticPr fontId="2"/>
  </si>
  <si>
    <t>REF No.</t>
    <phoneticPr fontId="2"/>
  </si>
  <si>
    <t>INVOICE No.</t>
    <phoneticPr fontId="2"/>
  </si>
  <si>
    <t>DATE</t>
    <phoneticPr fontId="2"/>
  </si>
  <si>
    <t>PARTS NO</t>
    <phoneticPr fontId="2"/>
  </si>
  <si>
    <t>DESCRIPTION</t>
    <phoneticPr fontId="2"/>
  </si>
  <si>
    <t>ITEM</t>
    <phoneticPr fontId="2"/>
  </si>
  <si>
    <t>QUANTITY</t>
    <phoneticPr fontId="2"/>
  </si>
  <si>
    <t>CARTONS</t>
    <phoneticPr fontId="2"/>
  </si>
  <si>
    <t>N.W.</t>
    <phoneticPr fontId="2"/>
  </si>
  <si>
    <t>VESSEL</t>
    <phoneticPr fontId="2"/>
  </si>
  <si>
    <t>コンテナNo.</t>
    <phoneticPr fontId="2"/>
  </si>
  <si>
    <t>通関地</t>
    <phoneticPr fontId="2"/>
  </si>
  <si>
    <t>評価UP</t>
    <phoneticPr fontId="2"/>
  </si>
  <si>
    <t>アフター</t>
    <phoneticPr fontId="2"/>
  </si>
  <si>
    <t>単価</t>
    <phoneticPr fontId="2"/>
  </si>
  <si>
    <t>金額</t>
    <phoneticPr fontId="2"/>
  </si>
  <si>
    <t>サイズ</t>
    <phoneticPr fontId="2"/>
  </si>
  <si>
    <t>工場出荷日</t>
    <rPh sb="0" eb="2">
      <t>コウジョウ</t>
    </rPh>
    <rPh sb="2" eb="4">
      <t>シュッカ</t>
    </rPh>
    <rPh sb="4" eb="5">
      <t>ビ</t>
    </rPh>
    <phoneticPr fontId="2"/>
  </si>
  <si>
    <t>処理日</t>
    <rPh sb="0" eb="2">
      <t>ショリ</t>
    </rPh>
    <rPh sb="2" eb="3">
      <t>ビ</t>
    </rPh>
    <phoneticPr fontId="2"/>
  </si>
  <si>
    <t>科目</t>
  </si>
  <si>
    <t>【INVOICE自動処理システム】</t>
    <phoneticPr fontId="2"/>
  </si>
  <si>
    <t>実行結果:</t>
    <phoneticPr fontId="2"/>
  </si>
  <si>
    <t>最終実行日時:</t>
    <phoneticPr fontId="2"/>
  </si>
  <si>
    <t>INVOICE自動処理システム</t>
  </si>
  <si>
    <t>操作マニュアル  Ver.1.0</t>
  </si>
  <si>
    <t>📋 目次</t>
  </si>
  <si>
    <t>システム概要</t>
  </si>
  <si>
    <t>シート構成</t>
  </si>
  <si>
    <t>事前準備</t>
  </si>
  <si>
    <t>操作手順</t>
  </si>
  <si>
    <t>納入先別処理フロー</t>
  </si>
  <si>
    <t>トラブルシューティング</t>
  </si>
  <si>
    <t>1 システム概要</t>
  </si>
  <si>
    <t>▸ 対応ファイル形式</t>
  </si>
  <si>
    <t xml:space="preserve">  •</t>
  </si>
  <si>
    <t>INVOICE: AQSS04L_YYYYMMDDHHMMSS.xlsx</t>
  </si>
  <si>
    <t>PACKING LIST: AQSS05L_YYYYMMDDHHMMSS.xlsx</t>
  </si>
  <si>
    <t>▸ 主な機能</t>
  </si>
  <si>
    <t>INVOICEとPACKING LISTからの自動データ抽出</t>
  </si>
  <si>
    <t>インストンファイルへの自動転記</t>
  </si>
  <si>
    <t>仕入・売上データの蓄積（年月別シート自動生成）</t>
  </si>
  <si>
    <t>納入先別フォルダ自動整理</t>
  </si>
  <si>
    <t>評価アップ/確認願/アフター部品の自動判定</t>
  </si>
  <si>
    <t>各種書類の自動生成</t>
  </si>
  <si>
    <t>Thunderbirdメール下書き作成</t>
  </si>
  <si>
    <t>2 シート構成</t>
  </si>
  <si>
    <t>【読込】</t>
  </si>
  <si>
    <t>【仕入・売上】</t>
  </si>
  <si>
    <t>【設定】</t>
  </si>
  <si>
    <t>【操作マニュアル】</t>
  </si>
  <si>
    <t>【製品データ】</t>
  </si>
  <si>
    <t>3 事前準備</t>
  </si>
  <si>
    <t>▸ 必要な設定</t>
  </si>
  <si>
    <t>【設定】シートでフォルダパスを正しく設定してください</t>
  </si>
  <si>
    <t>担当者リスト・海運業者リスト・納入先リストを更新してください</t>
  </si>
  <si>
    <t>Thunderbirdがインストールされていることを確認してください</t>
  </si>
  <si>
    <t>▸ ファイル保存手順</t>
  </si>
  <si>
    <t>Thunderbirdで新建高からのメールを受信</t>
  </si>
  <si>
    <t>添付ファイル（INVOICE・PACKING LIST・PDF）をダウンロード</t>
  </si>
  <si>
    <t>【設定】シートで指定した「元データ保存先フォルダ」に保存</t>
  </si>
  <si>
    <t xml:space="preserve">  💡 複数セットのファイルがある場合も同じフォルダに保存可能です</t>
  </si>
  <si>
    <t>4 操作手順</t>
  </si>
  <si>
    <t>担当者：プルダウンから選択</t>
  </si>
  <si>
    <t>海運業者：FUZILOGIX / TRADIA / YUSEN から選択</t>
  </si>
  <si>
    <t>納入先：気高 / タイガー / ピーコック / ヤーマン から選択</t>
  </si>
  <si>
    <t>納入日：カレンダーまたは手入力（YYYY/MM/DD形式）</t>
  </si>
  <si>
    <t>STEP 1</t>
  </si>
  <si>
    <t>データ読込・判定</t>
  </si>
  <si>
    <t>【データ読込・判定】ボタンをクリック</t>
  </si>
  <si>
    <t xml:space="preserve">  →</t>
  </si>
  <si>
    <t>指定フォルダからファイルを検索・読込</t>
  </si>
  <si>
    <t>【読込】シートにデータを展開</t>
  </si>
  <si>
    <t>評価アップ/確認願/アフター部品を自動判定</t>
  </si>
  <si>
    <t xml:space="preserve">  ⚠️ データが正しく読み込まれたか【読込】シートで確認してください</t>
  </si>
  <si>
    <t xml:space="preserve">  ⚠️ 判定結果に誤りがあれば手動で修正してください</t>
  </si>
  <si>
    <t>STEP 2</t>
  </si>
  <si>
    <t>転記・ファイル整理</t>
  </si>
  <si>
    <t>【転記・ファイル整理】ボタンをクリック</t>
  </si>
  <si>
    <t>インストンファイルに転記</t>
  </si>
  <si>
    <t>仕入・売上シートに転記</t>
  </si>
  <si>
    <t>納入先フォルダにファイルを整理・移動</t>
  </si>
  <si>
    <t xml:space="preserve">  ✅ 気高・ヤーマンの場合はここで処理完了です</t>
  </si>
  <si>
    <t xml:space="preserve">  ⚠️ 評価アップ対象がある場合はアラート表示されます</t>
  </si>
  <si>
    <t>STEP 3</t>
  </si>
  <si>
    <t>書類作成・メール生成</t>
  </si>
  <si>
    <t>【書類作成・メール生成】ボタンをクリック</t>
  </si>
  <si>
    <t>納入先に応じた書類を自動生成</t>
  </si>
  <si>
    <t>Thunderbirdでメール下書きを作成</t>
  </si>
  <si>
    <t>Kintone/TAM入力支援フォームを表示</t>
  </si>
  <si>
    <t>5 納入先別処理フロー</t>
  </si>
  <si>
    <t>▸ 気高・ヤーマン</t>
  </si>
  <si>
    <t>STEP1 → STEP2 で処理完了</t>
  </si>
  <si>
    <t xml:space="preserve">  ⚠️ 評価アップ対象がある場合は通関業者への申請が必要</t>
  </si>
  <si>
    <t>▸ ピーコック</t>
  </si>
  <si>
    <t>STEP1 → STEP2 → STEP3</t>
  </si>
  <si>
    <t>長期入荷予定表への転記</t>
  </si>
  <si>
    <t>PACKING LISTのPDF化</t>
  </si>
  <si>
    <t>ピーコック担当者・日本トランスシティへのメール作成</t>
  </si>
  <si>
    <t>Kintoneへの手動入力（入力支援フォーム表示）</t>
  </si>
  <si>
    <t>▸ タイガー</t>
  </si>
  <si>
    <t>確認願の自動作成（対象部品がある場合）</t>
  </si>
  <si>
    <t>アフター部品リストの自動作成（対象部品がある場合）</t>
  </si>
  <si>
    <t>評価アップ依頼書の作成（対象部品がある場合）</t>
  </si>
  <si>
    <t>入力依頼書（納入依頼）の自動作成</t>
  </si>
  <si>
    <t>フジロジックスへのメール作成</t>
  </si>
  <si>
    <t>出荷管理表への転記</t>
  </si>
  <si>
    <t>TAMへの手動入力（入力支援フォーム表示）</t>
  </si>
  <si>
    <t>6 トラブルシューティング</t>
  </si>
  <si>
    <t xml:space="preserve">  Q</t>
  </si>
  <si>
    <t>ファイルが読み込まれない</t>
  </si>
  <si>
    <t xml:space="preserve">  A</t>
  </si>
  <si>
    <t>ファイルが正しいフォルダに保存されているか確認</t>
  </si>
  <si>
    <t>ファイル名がAQSS04L/AQSS05Lで始まっているか確認</t>
  </si>
  <si>
    <t>ファイルが他のアプリで開かれていないか確認</t>
  </si>
  <si>
    <t>判定結果が正しくない</t>
  </si>
  <si>
    <t>【設定】シートの判定条件を確認してください</t>
  </si>
  <si>
    <t>メールが作成されない</t>
  </si>
  <si>
    <t>Thunderbirdが正しくインストールされているか確認</t>
  </si>
  <si>
    <t>【設定】シートのThunderbirdパスを確認</t>
  </si>
  <si>
    <t>転記先ファイルが見つからない</t>
  </si>
  <si>
    <t>【設定】シートのファイルパスが正しいか確認</t>
  </si>
  <si>
    <t>対象ファイルが開かれていないか確認</t>
  </si>
  <si>
    <t>※ ご不明点は管理者までお問い合わせください</t>
  </si>
  <si>
    <t xml:space="preserve">  1.</t>
  </si>
  <si>
    <t xml:space="preserve">  2.</t>
  </si>
  <si>
    <t xml:space="preserve">  3.</t>
  </si>
  <si>
    <t xml:space="preserve">  4.</t>
  </si>
  <si>
    <t xml:space="preserve">  5.</t>
  </si>
  <si>
    <t xml:space="preserve">  6.</t>
  </si>
  <si>
    <t>　メイン操作画面。実行ボタンと処理結果、読み込みデータを表示</t>
    <phoneticPr fontId="2"/>
  </si>
  <si>
    <t>　処理済みデータの蓄積シート。年月ごとに自動生成</t>
    <phoneticPr fontId="2"/>
  </si>
  <si>
    <t>　フォルダパス、担当者、業者等のマスタ設定</t>
    <phoneticPr fontId="2"/>
  </si>
  <si>
    <t>　本マニュアル</t>
    <phoneticPr fontId="2"/>
  </si>
  <si>
    <t>　製品マスタ（気高コード、直送フラグ等）</t>
    <phoneticPr fontId="2"/>
  </si>
  <si>
    <t>PDN0000346</t>
  </si>
  <si>
    <t>種目</t>
    <rPh sb="0" eb="2">
      <t>シュモク</t>
    </rPh>
    <phoneticPr fontId="2"/>
  </si>
  <si>
    <t>品名</t>
    <rPh sb="0" eb="2">
      <t>ヒンメイ</t>
    </rPh>
    <phoneticPr fontId="2"/>
  </si>
  <si>
    <t>0108230313</t>
  </si>
  <si>
    <t>3TG137A00120</t>
  </si>
  <si>
    <t>PDR+S30S(CZ)230v新加坡向</t>
  </si>
  <si>
    <t>0108230314</t>
  </si>
  <si>
    <t>3TG137A00130</t>
  </si>
  <si>
    <t>PDR+S30W(CZ)220v越南向</t>
  </si>
  <si>
    <t>0108230315</t>
  </si>
  <si>
    <t>3TG137A00100</t>
  </si>
  <si>
    <t>PDR+S30R(CX)110V台湾向</t>
  </si>
  <si>
    <t>0108240317</t>
  </si>
  <si>
    <t>3TG138A00110</t>
  </si>
  <si>
    <t>PDR+S40S(CZ)230v新加坡向</t>
  </si>
  <si>
    <t>0108240318</t>
  </si>
  <si>
    <t>3TG138A00120</t>
  </si>
  <si>
    <t>PDR+S40W(CZ)220v越南向</t>
  </si>
  <si>
    <t>0108240319</t>
  </si>
  <si>
    <t>3TG138A00100</t>
  </si>
  <si>
    <t>PDR+S40R(CX)110v台湾向</t>
  </si>
  <si>
    <t>0108230133</t>
  </si>
  <si>
    <t>3TG140A00300</t>
  </si>
  <si>
    <t>PVW+B30R(CUX)110V台湾向</t>
  </si>
  <si>
    <t>0108230132</t>
  </si>
  <si>
    <t>3TG140A00310</t>
  </si>
  <si>
    <t>PVW+B30C(CUZ)220V中国向</t>
  </si>
  <si>
    <t>0108230135</t>
  </si>
  <si>
    <t>3TG140A00320</t>
  </si>
  <si>
    <t>PVW+B30W(CUZ)220V越南向</t>
  </si>
  <si>
    <t>0118230140</t>
  </si>
  <si>
    <t>3TG148A00250</t>
  </si>
  <si>
    <t>PDU+A30A(KZ)240V澳大利亚向</t>
  </si>
  <si>
    <t>0118230125</t>
  </si>
  <si>
    <t>3TG148A00200</t>
  </si>
  <si>
    <t>PDU+A30R(KX)110V台湾向</t>
  </si>
  <si>
    <t>0118230128</t>
  </si>
  <si>
    <t>3TG148A00210</t>
  </si>
  <si>
    <t>PDU+A30U(KY)120V美国向</t>
  </si>
  <si>
    <t>0118230131</t>
  </si>
  <si>
    <t>3TG148A00230</t>
  </si>
  <si>
    <t>PDU+A30C(KZ)220V中国向</t>
  </si>
  <si>
    <t>0118230137</t>
  </si>
  <si>
    <t>3TG148A00240</t>
  </si>
  <si>
    <t>PDU+A30S(KZ)230V新加坡向</t>
  </si>
  <si>
    <t>0118240126</t>
  </si>
  <si>
    <t>3TG149A00200</t>
  </si>
  <si>
    <t>PDU+A40R(KX)110V台湾向</t>
  </si>
  <si>
    <t>0118240141</t>
  </si>
  <si>
    <t>3TG149A00250</t>
  </si>
  <si>
    <t>PDU+A40A(KZ)240V澳大利亚向</t>
  </si>
  <si>
    <t>0118240129</t>
  </si>
  <si>
    <t>3TG149A00210</t>
  </si>
  <si>
    <t>PDU+A40U(KY)120V美国向</t>
  </si>
  <si>
    <t>0118240132</t>
  </si>
  <si>
    <t>3TG149A00230</t>
  </si>
  <si>
    <t>PDU+A40C(KZ)220V中国向</t>
  </si>
  <si>
    <t>0118240135</t>
  </si>
  <si>
    <t>3TG149A00220</t>
  </si>
  <si>
    <t>PDU+A40W(KZ)220V越南向</t>
  </si>
  <si>
    <t>0118240138</t>
  </si>
  <si>
    <t>3TG149A00240</t>
  </si>
  <si>
    <t>PDU+A40S(KZ)230V新加坡向</t>
  </si>
  <si>
    <t>0118250142</t>
  </si>
  <si>
    <t>3TG150A00250</t>
  </si>
  <si>
    <t>PDU+A50A(KZ)240V澳大利亚向</t>
  </si>
  <si>
    <t>0118250127</t>
  </si>
  <si>
    <t>3TG150A00200</t>
  </si>
  <si>
    <t>PDU+A50R(KX)110V台湾向</t>
  </si>
  <si>
    <t>0118250130</t>
  </si>
  <si>
    <t>3TG150A00210</t>
  </si>
  <si>
    <t>PDU+A50U(KY)120V美国向</t>
  </si>
  <si>
    <t>0118250133</t>
  </si>
  <si>
    <t>3TG150A00230</t>
  </si>
  <si>
    <t>PDU+A50C(KZ)220V中国向</t>
  </si>
  <si>
    <t>0118250136</t>
  </si>
  <si>
    <t>3TG150A00220</t>
  </si>
  <si>
    <t>PDU+A50W(KZ)220V越南向</t>
  </si>
  <si>
    <t>0118250139</t>
  </si>
  <si>
    <t>3TG150A00240</t>
  </si>
  <si>
    <t>PDU+A50S(KZ)230V新加坡向</t>
  </si>
  <si>
    <t>2TG35401</t>
  </si>
  <si>
    <t>3TG354A10112</t>
  </si>
  <si>
    <t>JPK+H100(KCS)10/箱</t>
  </si>
  <si>
    <t>2TG35601</t>
  </si>
  <si>
    <t>3TG356A10114</t>
  </si>
  <si>
    <t>JPK+H180(KCS)10/箱</t>
  </si>
  <si>
    <t>3TG383A10160T</t>
  </si>
  <si>
    <t>3TG383A10160</t>
  </si>
  <si>
    <t>JPV-S100(WIP)（藤和）</t>
  </si>
  <si>
    <t>3TG383A10160G</t>
  </si>
  <si>
    <t>JPV-S100(WIP)（国际贸易）</t>
  </si>
  <si>
    <t>3TG383A10160R</t>
  </si>
  <si>
    <t>JPV-S100(WIP)（第一电子）</t>
  </si>
  <si>
    <t>3TG384A10120T</t>
  </si>
  <si>
    <t>3TG384A10121</t>
  </si>
  <si>
    <t>JPV-H100(KJE)（藤和）</t>
  </si>
  <si>
    <t>3TG384A10120G</t>
  </si>
  <si>
    <t>JPV-H100(KJE)（国际贸易）</t>
  </si>
  <si>
    <t>3TG384A10120R</t>
  </si>
  <si>
    <t>JPV-H100(KJE)（第一电子）</t>
  </si>
  <si>
    <t>3TG386A10120T</t>
  </si>
  <si>
    <t>3TG386A10122</t>
  </si>
  <si>
    <t>JPV-H180(KJE)（藤和）</t>
  </si>
  <si>
    <t>3TG386A10120G</t>
  </si>
  <si>
    <t>JPV-H180(KJE)（国际贸易）</t>
  </si>
  <si>
    <t>3TG386A10120R</t>
  </si>
  <si>
    <t>JPV-H180(KJE)（第一电子）</t>
  </si>
  <si>
    <t>3TG383A10100T</t>
  </si>
  <si>
    <t>3TG383A10106</t>
  </si>
  <si>
    <t>JPV-A100（KHM）（藤和）10/箱</t>
  </si>
  <si>
    <t>3TG383A10100G</t>
  </si>
  <si>
    <t>JPV-A100（KHM）（国际贸易）10/箱</t>
  </si>
  <si>
    <t>3TG383A10100R</t>
  </si>
  <si>
    <t>JPV-A100（KHM）（第一电子）10/箱</t>
  </si>
  <si>
    <t>3TG383A10110T</t>
  </si>
  <si>
    <t>3TG383A10116</t>
  </si>
  <si>
    <t>JPV-A100（WHQ）（藤和）10/箱</t>
  </si>
  <si>
    <t>3TG383A10110G</t>
  </si>
  <si>
    <t>JPV-A100（WHQ）（国际贸易）10/箱</t>
  </si>
  <si>
    <t>3TG383A10110R</t>
  </si>
  <si>
    <t>JPV-A100（WHQ）（第一电子）10/箱</t>
  </si>
  <si>
    <t>3TG385A10100T</t>
  </si>
  <si>
    <t>3TG385A10107</t>
  </si>
  <si>
    <t>JPV-A180（KHM）（藤和）10/箱</t>
  </si>
  <si>
    <t>3TG385A10100G</t>
  </si>
  <si>
    <t>JPV-A180（KHM）（国际贸易）10/箱</t>
  </si>
  <si>
    <t>3TG385A10100R</t>
  </si>
  <si>
    <t>JPV-A180（KHM）（第一电子）10/箱</t>
  </si>
  <si>
    <t>3TG354A10180</t>
  </si>
  <si>
    <t>JPK+T100(KHP)10/箱</t>
  </si>
  <si>
    <t>3TG382A10110</t>
  </si>
  <si>
    <t>JPK+10E9(KCS)10/箱</t>
  </si>
  <si>
    <t>3TG356A10180</t>
  </si>
  <si>
    <t>3TG356A10182</t>
  </si>
  <si>
    <t>JPK+T180(KHP)10/箱</t>
  </si>
  <si>
    <t>3TG356A10190</t>
  </si>
  <si>
    <t>3TG356A10192</t>
  </si>
  <si>
    <t>JPK+18E9(KCS)10/箱</t>
  </si>
  <si>
    <t>3TG382A10160</t>
  </si>
  <si>
    <t>JPK+10SC 10/箱</t>
  </si>
  <si>
    <t>3TG387A10100</t>
  </si>
  <si>
    <t>3TG387A10102</t>
  </si>
  <si>
    <t>JPK+18SC 10/箱</t>
  </si>
  <si>
    <t>0261817214</t>
  </si>
  <si>
    <t>3TG327A10112</t>
  </si>
  <si>
    <t>JPB+G181(KG)黑色B 12/箱</t>
  </si>
  <si>
    <t>0261840213</t>
  </si>
  <si>
    <t>3TG327A10102</t>
  </si>
  <si>
    <t>JPB+G181(WG)白色B 12/箱</t>
    <rPh sb="12" eb="13">
      <t>ｼﾛ</t>
    </rPh>
    <phoneticPr fontId="3" type="noConversion"/>
  </si>
  <si>
    <t>3TG372A10100</t>
  </si>
  <si>
    <t>3TG372A10102</t>
  </si>
  <si>
    <t>JPK+G10C(T)(FTM)10/箱</t>
  </si>
  <si>
    <t>3TG373A10100</t>
  </si>
  <si>
    <t>3TG373A10102</t>
  </si>
  <si>
    <t>JPK+G18C(T)(FTM)10/箱</t>
  </si>
  <si>
    <t>3TG372A10130</t>
  </si>
  <si>
    <t>3TG372A10131</t>
  </si>
  <si>
    <t>JPK+G10R(T)(FTM)10/箱</t>
  </si>
  <si>
    <t>3TG373A10130</t>
  </si>
  <si>
    <t>3TG373A10132</t>
  </si>
  <si>
    <t>JPK+G18R(T)(FTM)10/箱</t>
  </si>
  <si>
    <t>3TG374A10120</t>
  </si>
  <si>
    <t>3TG374A10121</t>
  </si>
  <si>
    <t>JPM+H10R(K)(FTM)10/箱</t>
  </si>
  <si>
    <t>3TG375A10130</t>
  </si>
  <si>
    <t>3TG375A10132</t>
  </si>
  <si>
    <t>JPM+H18R(K)(FTM)10/箱</t>
  </si>
  <si>
    <t>3TG374A10100</t>
  </si>
  <si>
    <t>3TG374A10101</t>
  </si>
  <si>
    <t>JPM+H10C(K)(FTM)10/箱</t>
  </si>
  <si>
    <t>3TG375A10100</t>
  </si>
  <si>
    <t>3TG375A10112</t>
  </si>
  <si>
    <t>JPM+H18C(K)(FTM)10/箱</t>
  </si>
  <si>
    <t>3TG374A10130</t>
  </si>
  <si>
    <t>3TG374A10131</t>
  </si>
  <si>
    <t>JPM+S10C(W)(FTM)10/箱</t>
  </si>
  <si>
    <t>3TG366A10140T</t>
  </si>
  <si>
    <t>3TG366A10140</t>
  </si>
  <si>
    <t>JPI-S100(藤和）12/箱</t>
  </si>
  <si>
    <t>3TG366A10140G</t>
  </si>
  <si>
    <t>JPI-S100（国际贸易）12/箱</t>
  </si>
  <si>
    <t>3TG368A10130T</t>
  </si>
  <si>
    <t>3TG368A10130</t>
  </si>
  <si>
    <t>JPI-S180（藤和）12/箱</t>
  </si>
  <si>
    <t>3TG368A10130G</t>
  </si>
  <si>
    <t>JPI-S180（国际贸易）12/箱</t>
  </si>
  <si>
    <t>2TG36600</t>
  </si>
  <si>
    <t>3TG366A10104</t>
  </si>
  <si>
    <t>JPI+A100(K)12/箱</t>
  </si>
  <si>
    <t>3TG392A10100</t>
  </si>
  <si>
    <t>3TG392A10104</t>
  </si>
  <si>
    <t>JRI-A100(KB)10/箱</t>
  </si>
  <si>
    <t>3TG392A10110</t>
  </si>
  <si>
    <t>3TG392A10114</t>
  </si>
  <si>
    <t>JRI-A100(W)10/箱</t>
  </si>
  <si>
    <t>3TG393A10100</t>
  </si>
  <si>
    <t>3TG393A10104</t>
  </si>
  <si>
    <t>JRI-B100(K)10/箱</t>
  </si>
  <si>
    <t>3TG393A10110</t>
  </si>
  <si>
    <t>3TG393A10114</t>
  </si>
  <si>
    <t>JRI-B100(W)10/箱</t>
  </si>
  <si>
    <t>3TG394A10100</t>
  </si>
  <si>
    <t>3TG394A10105</t>
  </si>
  <si>
    <t>JRI-A180(KB)10/箱</t>
  </si>
  <si>
    <t>3TG395A10100</t>
  </si>
  <si>
    <t>3TG395A10105</t>
  </si>
  <si>
    <t>JRI-B180(W)10/箱</t>
  </si>
  <si>
    <t>0261040213</t>
  </si>
  <si>
    <t>3TG326A10103</t>
  </si>
  <si>
    <t>JPB+G101(WG)白色W</t>
  </si>
  <si>
    <t>0261017214</t>
  </si>
  <si>
    <t>3TG326A10111</t>
  </si>
  <si>
    <t>JPB+G101(KG)黑色B 12/箱</t>
  </si>
  <si>
    <t>0241042208</t>
  </si>
  <si>
    <t>3TG332A10105</t>
  </si>
  <si>
    <t>JPC+A100(KG)黑色B12/箱</t>
  </si>
  <si>
    <t>0261840217</t>
  </si>
  <si>
    <t>3TG337A10140</t>
  </si>
  <si>
    <t>JPB+W18W  220V(JPBK)贸易</t>
  </si>
  <si>
    <t>0271001212</t>
  </si>
  <si>
    <t>3TG320A10104</t>
  </si>
  <si>
    <t>JPX+A061(K)12/箱</t>
  </si>
  <si>
    <t>0241042212</t>
  </si>
  <si>
    <t>3TG331A10120</t>
  </si>
  <si>
    <t>JPX+102X</t>
  </si>
  <si>
    <t>2TG341</t>
  </si>
  <si>
    <t>3TG341A10103</t>
  </si>
  <si>
    <t>JPG+X100  10/箱</t>
  </si>
  <si>
    <t>3TG342A10100</t>
  </si>
  <si>
    <t>JPH+A100  10/箱</t>
  </si>
  <si>
    <t>3TG348A10110</t>
  </si>
  <si>
    <t>3TG348A10123</t>
  </si>
  <si>
    <t>JPD+A06C(K)12/箱</t>
  </si>
  <si>
    <t>3TG348A10100</t>
  </si>
  <si>
    <t>3TG348A10104</t>
  </si>
  <si>
    <t>JPD+A060(K)12/箱</t>
  </si>
  <si>
    <t>3TG358A10120</t>
  </si>
  <si>
    <t>3TG358A10123</t>
  </si>
  <si>
    <t>JPC+K10S(WP)12/箱</t>
  </si>
  <si>
    <t>3TG360A10110</t>
  </si>
  <si>
    <t>3TG360A10113</t>
  </si>
  <si>
    <t>JPC+K18S(WP)12/箱</t>
  </si>
  <si>
    <t>2TG36800</t>
  </si>
  <si>
    <t>3TG368A10104</t>
  </si>
  <si>
    <t>JPI+A180(K)12/箱</t>
  </si>
  <si>
    <t>2TG36201</t>
  </si>
  <si>
    <t>3TG362A10101</t>
  </si>
  <si>
    <t>JPC+G10C(KM)黑色 12/箱</t>
  </si>
  <si>
    <t>2TG36202</t>
  </si>
  <si>
    <t>3TG362A10121</t>
  </si>
  <si>
    <t>JPC+G10R(KM)黑色 12/箱</t>
  </si>
  <si>
    <t>2TG36301</t>
  </si>
  <si>
    <t>3TG363A10101</t>
  </si>
  <si>
    <t>JPC+G18C(KM)(FTM)12/箱</t>
  </si>
  <si>
    <t>2TG36302</t>
  </si>
  <si>
    <t>3TG363A10121</t>
  </si>
  <si>
    <t>JPC+G18R(KM)(FTM)12/箱</t>
  </si>
  <si>
    <t>2TG36401</t>
  </si>
  <si>
    <t>3TG364A10111</t>
  </si>
  <si>
    <t>JPT+H10C(WS)白色 12/箱</t>
  </si>
  <si>
    <t>2TG36403</t>
  </si>
  <si>
    <t>3TG364A10131</t>
  </si>
  <si>
    <t>JPT+H10R(WS)白色 12/箱</t>
  </si>
  <si>
    <t>2TG36501</t>
  </si>
  <si>
    <t>3TG365A10111</t>
  </si>
  <si>
    <t>JPT+H18C(WS)(FTM)12/箱</t>
  </si>
  <si>
    <t>2TG36503</t>
  </si>
  <si>
    <t>3TG365A10131</t>
  </si>
  <si>
    <t>JPT+H18R(WS)(FTM)12/箱</t>
  </si>
  <si>
    <t>3TG367A10170T</t>
  </si>
  <si>
    <t>3TG367A10170</t>
  </si>
  <si>
    <t>JPI-Y100(WHT)（藤和）</t>
  </si>
  <si>
    <t>3TG367A10170G</t>
  </si>
  <si>
    <t>JPI-Y100(WHT)（国际贸易）</t>
  </si>
  <si>
    <t>3TG369A10170T</t>
  </si>
  <si>
    <t>3TG369A10170</t>
  </si>
  <si>
    <t>JPI-Y180(WHT)（藤和）</t>
  </si>
  <si>
    <t>3TG369A10170G</t>
  </si>
  <si>
    <t>JPI-Y180(WHT)（国际贸易）</t>
  </si>
  <si>
    <t>3TG389A10150</t>
  </si>
  <si>
    <t>JPI-10J3(WHT)</t>
  </si>
  <si>
    <t>0241042213-</t>
  </si>
  <si>
    <t>3TG312A10142</t>
  </si>
  <si>
    <t>JKX+V100+1K</t>
  </si>
  <si>
    <t>0241042214</t>
  </si>
  <si>
    <t>3TG313A10132</t>
  </si>
  <si>
    <t>JKX+V+150+1K</t>
  </si>
  <si>
    <t>JRI-A100(KB)</t>
  </si>
  <si>
    <t>JRI-A100(W)</t>
  </si>
  <si>
    <t>JRI-B100(K)</t>
  </si>
  <si>
    <t>JRI-B100(W)</t>
  </si>
  <si>
    <t>JRI-A180(KB)</t>
  </si>
  <si>
    <t>JRI-B180(W)</t>
  </si>
  <si>
    <t>3PA143A00300</t>
  </si>
  <si>
    <t>SR-JW057(K)   16/箱</t>
  </si>
  <si>
    <t>3PA143A00310</t>
  </si>
  <si>
    <t>SR-JW057(W)  16/箱</t>
  </si>
  <si>
    <t>PDU0000413</t>
  </si>
  <si>
    <t>3TG148K00302</t>
  </si>
  <si>
    <t>彩盒  PDU-A30R</t>
  </si>
  <si>
    <t>PDU0000414</t>
  </si>
  <si>
    <t>3TG149K00102</t>
  </si>
  <si>
    <t>彩盒  PDU-A40R</t>
  </si>
  <si>
    <t>PDU0000415</t>
  </si>
  <si>
    <t>3TG150K00102</t>
  </si>
  <si>
    <t>彩盒  PDU-A50R</t>
  </si>
  <si>
    <t>PDU0000416</t>
  </si>
  <si>
    <t>3TG148K00312</t>
  </si>
  <si>
    <t>彩盒  PDU-A30U</t>
  </si>
  <si>
    <t>PDU0000417</t>
  </si>
  <si>
    <t>3TG149K00112</t>
  </si>
  <si>
    <t>彩盒  PDU-A40U</t>
  </si>
  <si>
    <t>PDU0000418</t>
  </si>
  <si>
    <t>3TG150K00112</t>
  </si>
  <si>
    <t>彩盒  PDU-A50U</t>
  </si>
  <si>
    <t>PDU0000422</t>
  </si>
  <si>
    <t>3TG148K00320</t>
  </si>
  <si>
    <t>彩盒  PDU-A30W</t>
  </si>
  <si>
    <t>PDU0000423</t>
  </si>
  <si>
    <t>3TG149K00121</t>
  </si>
  <si>
    <t>彩盒  PDU-A40W</t>
  </si>
  <si>
    <t>PDU0000424</t>
  </si>
  <si>
    <t>3TG150K00121</t>
  </si>
  <si>
    <t>彩盒  PDU-A50W</t>
  </si>
  <si>
    <t>PDU0000425</t>
  </si>
  <si>
    <t>3TG148K00331</t>
  </si>
  <si>
    <t>彩盒  PDU-A30S</t>
  </si>
  <si>
    <t>PDU0000426</t>
  </si>
  <si>
    <t>3TG149K00131</t>
  </si>
  <si>
    <t>彩盒  PDU-A40S</t>
  </si>
  <si>
    <t>PDU0000427</t>
  </si>
  <si>
    <t>3TG150K00130</t>
  </si>
  <si>
    <t>彩盒  PDU-A50S</t>
  </si>
  <si>
    <t>PDU0000428</t>
  </si>
  <si>
    <t>3TG148K00340</t>
  </si>
  <si>
    <t>彩盒  PDU-A30A</t>
  </si>
  <si>
    <t>PDU0000429</t>
  </si>
  <si>
    <t>3TG149K00141</t>
  </si>
  <si>
    <t>彩盒  PDU-A40A</t>
  </si>
  <si>
    <t>PDU0000430</t>
  </si>
  <si>
    <t>3TG150K00141</t>
  </si>
  <si>
    <t>彩盒  PDU-A50A</t>
  </si>
  <si>
    <t>PDR0000414</t>
  </si>
  <si>
    <t>3TG137K00821</t>
  </si>
  <si>
    <t>彩盒  PDR-S30S</t>
  </si>
  <si>
    <t>PDR0000412</t>
  </si>
  <si>
    <t>3TG137K00802</t>
  </si>
  <si>
    <t>彩盒  PDR-S30R(CX)</t>
  </si>
  <si>
    <t>PDR0000415</t>
  </si>
  <si>
    <t>3TG137K00831</t>
  </si>
  <si>
    <t>彩盒  PDR-S30W</t>
  </si>
  <si>
    <t>PDR0000416</t>
  </si>
  <si>
    <t>3TG138K00802</t>
  </si>
  <si>
    <t>彩盒  PDR-S40R(CX)</t>
  </si>
  <si>
    <t>PDR0000418</t>
  </si>
  <si>
    <t>3TG138K00821</t>
  </si>
  <si>
    <t>彩盒  PDR-S40S</t>
  </si>
  <si>
    <t>PDR0000419</t>
  </si>
  <si>
    <t>3TG138K00831</t>
  </si>
  <si>
    <t>彩盒  PDR-S40W</t>
  </si>
  <si>
    <t>PDR0000422</t>
  </si>
  <si>
    <t>3TG137K00841</t>
  </si>
  <si>
    <t>彩盒  PDR-S30R(WUX)</t>
  </si>
  <si>
    <t>SHE0000801</t>
  </si>
  <si>
    <t>3MJ102A00800</t>
  </si>
  <si>
    <t>发热器组装 SHE35MD</t>
  </si>
  <si>
    <t>3MJ102P01800</t>
  </si>
  <si>
    <t>3MJ102P01801</t>
  </si>
  <si>
    <t>浮子 SHE35MD</t>
  </si>
  <si>
    <t>3MJ102E01101</t>
  </si>
  <si>
    <t>排线 SHE35MD</t>
  </si>
  <si>
    <t>PDN0000661</t>
  </si>
  <si>
    <t>3TG129P03510</t>
  </si>
  <si>
    <t>基板座PDU(新）</t>
  </si>
  <si>
    <t>PDU0000628</t>
  </si>
  <si>
    <t>3TG148P03700</t>
  </si>
  <si>
    <t>PDU大壳套环下KZ</t>
  </si>
  <si>
    <t>PDU0000626</t>
  </si>
  <si>
    <t>3TG129P03501</t>
  </si>
  <si>
    <t>基板座PDU</t>
  </si>
  <si>
    <t>PDU0000627</t>
  </si>
  <si>
    <t>3TG148P03600</t>
  </si>
  <si>
    <t>显示管固定胶板PDU-A30</t>
  </si>
  <si>
    <t>PDU0000629</t>
  </si>
  <si>
    <t>3TG149P03600</t>
  </si>
  <si>
    <t>显示管固定胶板PDU-A40</t>
  </si>
  <si>
    <t>PDU0000630</t>
  </si>
  <si>
    <t>3TG150P03600</t>
  </si>
  <si>
    <t>显示管固定胶板PDU-A50</t>
  </si>
  <si>
    <t>PDI0000171</t>
  </si>
  <si>
    <t>3TG115P07001</t>
  </si>
  <si>
    <t>显示管固定胶板PVW-B300</t>
  </si>
  <si>
    <t>PNRF49J670</t>
  </si>
  <si>
    <t>3PA911P01000</t>
  </si>
  <si>
    <t>SR-VSX180绝缘胶片</t>
  </si>
  <si>
    <t>PNRF49L710</t>
  </si>
  <si>
    <t>3PA912P01000</t>
  </si>
  <si>
    <t>SR-MPW180绝缘胶片</t>
  </si>
  <si>
    <t>SR00000650</t>
  </si>
  <si>
    <t>3PA904A01901</t>
  </si>
  <si>
    <t>完成阀 SR-HX184</t>
  </si>
  <si>
    <t>23F3000801</t>
  </si>
  <si>
    <t>3YM105A00304</t>
  </si>
  <si>
    <t>IPL 滚轮头部配件 23F3XX</t>
  </si>
  <si>
    <t>23F3000802</t>
  </si>
  <si>
    <t>3YM105A00400</t>
  </si>
  <si>
    <t>IPL 面部护理头部配件 23F3XX</t>
  </si>
  <si>
    <t>23F3000803</t>
  </si>
  <si>
    <t>3YM105A00500</t>
  </si>
  <si>
    <t>IPL VIO头部配件 23F3XX</t>
  </si>
  <si>
    <t>23F3000804</t>
  </si>
  <si>
    <t>3YM105A01002</t>
  </si>
  <si>
    <t>IPL 主体上盖组装 23F3XX</t>
  </si>
  <si>
    <t>23F3000806</t>
  </si>
  <si>
    <t>3YM105A00310</t>
  </si>
  <si>
    <t>滚轮头部配件展示样机用</t>
  </si>
  <si>
    <t>23F3000807</t>
  </si>
  <si>
    <t>3YM105A00410</t>
  </si>
  <si>
    <t>面部护理头部配件展示样机用</t>
  </si>
  <si>
    <t>23F3000808</t>
  </si>
  <si>
    <t>3YM105A00510</t>
  </si>
  <si>
    <t>VIO头部配件展示样机用</t>
  </si>
  <si>
    <t>23F3000809</t>
  </si>
  <si>
    <t>主体上盖组装展示样机用</t>
  </si>
  <si>
    <t>23F3000901</t>
  </si>
  <si>
    <t>3YM105P00200</t>
  </si>
  <si>
    <t>主体下盖(表面处理)23F3XX</t>
  </si>
  <si>
    <t>23F3000902</t>
  </si>
  <si>
    <t>3YM105P00300</t>
  </si>
  <si>
    <t>主体头部面板 (印刷)23F3XX</t>
  </si>
  <si>
    <t>23F3000903</t>
  </si>
  <si>
    <t>3YM105P00600</t>
  </si>
  <si>
    <t>主体环(表面处理)23F3XX</t>
  </si>
  <si>
    <t>23F3000904</t>
  </si>
  <si>
    <t>3YM105P00700</t>
  </si>
  <si>
    <t>主体头部环(表面处理)23F3XX</t>
  </si>
  <si>
    <t>23F3000616</t>
  </si>
  <si>
    <t>3YM105P00900</t>
  </si>
  <si>
    <t>头部塞子23F3XX左</t>
  </si>
  <si>
    <t>23F3000617</t>
  </si>
  <si>
    <t>3YM105P00800</t>
  </si>
  <si>
    <t>头部塞子23F3XX右</t>
  </si>
  <si>
    <t>23F3000618</t>
  </si>
  <si>
    <t>3YM105P01500</t>
  </si>
  <si>
    <t>蓝宝石支架23F3XX</t>
  </si>
  <si>
    <t>23F3000619</t>
  </si>
  <si>
    <t>3YM105P01600</t>
  </si>
  <si>
    <t>滤光片支架23F3XX</t>
  </si>
  <si>
    <t>23F3000620</t>
  </si>
  <si>
    <t>3YM105P01700</t>
  </si>
  <si>
    <t>闪光支架23F3XX</t>
  </si>
  <si>
    <t>23F3000621</t>
  </si>
  <si>
    <t>3YM105P01800</t>
  </si>
  <si>
    <t>散热器支架23F3XX</t>
  </si>
  <si>
    <t>23F3000703</t>
  </si>
  <si>
    <t>3YM105P02100</t>
  </si>
  <si>
    <t>连接器 (镀镍) 23F3XX</t>
  </si>
  <si>
    <t>23F3000301</t>
  </si>
  <si>
    <t>3YM105P02200</t>
  </si>
  <si>
    <t>灯帽23F3XX</t>
  </si>
  <si>
    <t>23F3000302</t>
  </si>
  <si>
    <t>3YM105P01100</t>
  </si>
  <si>
    <t>界面垫圈23F3XX</t>
  </si>
  <si>
    <t>23F3000311</t>
  </si>
  <si>
    <t>3YM105E01200</t>
  </si>
  <si>
    <t>电容器引线(+) UL1015 AWG20</t>
  </si>
  <si>
    <t>23F3000312</t>
  </si>
  <si>
    <t>3YM105E01300</t>
  </si>
  <si>
    <t xml:space="preserve">电容器引线(-) UL1015 AWG20 </t>
  </si>
  <si>
    <t>23F3000313</t>
  </si>
  <si>
    <t>3YM105E01400</t>
  </si>
  <si>
    <t>DC Jack电源线 UL1007 AWG22 片方脱皮镀锡</t>
  </si>
  <si>
    <t>23F3000314</t>
  </si>
  <si>
    <t>3YM105E01500</t>
  </si>
  <si>
    <t>MA-CN引线 23F3XX-CA-0050</t>
  </si>
  <si>
    <t>23F3000315</t>
  </si>
  <si>
    <t>3YM105E01600</t>
  </si>
  <si>
    <t>电容器间引线(+) UL1015 AWG20 红色 方半脱</t>
  </si>
  <si>
    <t>23F3000316</t>
  </si>
  <si>
    <t>3YM105E01800</t>
  </si>
  <si>
    <t>热敏电阻引线 UL1571 AWG30</t>
  </si>
  <si>
    <t>23F3000318</t>
  </si>
  <si>
    <t>3YM105E00100</t>
  </si>
  <si>
    <t>MA基板23F3XX</t>
  </si>
  <si>
    <t>23F3000319</t>
  </si>
  <si>
    <t>3YM105E00200</t>
  </si>
  <si>
    <t>CN基板23F3XX</t>
  </si>
  <si>
    <t>23F3000326</t>
  </si>
  <si>
    <t>3YM105P02400</t>
  </si>
  <si>
    <t>导热片 23F3XX</t>
  </si>
  <si>
    <t>23F3000327</t>
  </si>
  <si>
    <t>3YM105E01700</t>
  </si>
  <si>
    <t>电容器间引线(-) UL1015 AWG20 黑色</t>
  </si>
  <si>
    <t>23F3000354</t>
  </si>
  <si>
    <t>3YM105E00110</t>
  </si>
  <si>
    <t xml:space="preserve">MA基板 展示样机用23F3XX  </t>
  </si>
  <si>
    <t>23F3000355</t>
  </si>
  <si>
    <t>3YM105E00210</t>
  </si>
  <si>
    <t xml:space="preserve">CN基板 展示样机用23F3XX  </t>
  </si>
  <si>
    <t>23F3000408</t>
  </si>
  <si>
    <t>3YM105K00300</t>
  </si>
  <si>
    <t>CPE胶袋 0.04×150×300mm</t>
  </si>
  <si>
    <t>23F3000409</t>
  </si>
  <si>
    <t>3YM105K00400</t>
  </si>
  <si>
    <t>CPE胶袋 0.04×140×140mm</t>
  </si>
  <si>
    <t>WRH0000301</t>
  </si>
  <si>
    <t>3DA100P01700</t>
  </si>
  <si>
    <t>发热器瓷座 左 WRH134AS-H</t>
  </si>
  <si>
    <t>WRH0000302</t>
  </si>
  <si>
    <t>3DA100P01600</t>
  </si>
  <si>
    <t>发热器瓷座 右 WRH134AS-H</t>
  </si>
  <si>
    <t>WRH0000303</t>
  </si>
  <si>
    <t>3DA100P07700</t>
  </si>
  <si>
    <t>按钮垫圈 WRH134AS-H</t>
  </si>
  <si>
    <t>WRH0000701</t>
  </si>
  <si>
    <t>3DA100P01900</t>
  </si>
  <si>
    <t>绝缘云母片 辐射发热器WRH134SA-H</t>
  </si>
  <si>
    <t>0405220101</t>
  </si>
  <si>
    <t>0KFP5885</t>
  </si>
  <si>
    <t>UBE -22T容器組立</t>
  </si>
  <si>
    <t>UBE0000802</t>
  </si>
  <si>
    <t>3UM100P00100</t>
  </si>
  <si>
    <t>UBE -22T瓷座组装</t>
  </si>
  <si>
    <t>WHP0000078</t>
  </si>
  <si>
    <t>0KFP5400</t>
  </si>
  <si>
    <t>UBE -22T插座组装</t>
  </si>
  <si>
    <t>JPW0000717</t>
  </si>
  <si>
    <t>3TG376P90350</t>
  </si>
  <si>
    <t xml:space="preserve">放热板(氧化) JPW+G10S(英文刻印) </t>
  </si>
  <si>
    <t>JPW0000719</t>
  </si>
  <si>
    <t>3TG379P10330</t>
  </si>
  <si>
    <t>放热板(氧化) JPW+G18S(英文刻印)</t>
  </si>
  <si>
    <t>JPW0000713</t>
  </si>
  <si>
    <t>3TG376P90311</t>
  </si>
  <si>
    <t>放热板(氧化) JPW+T10C (当心烫伤)</t>
  </si>
  <si>
    <t>JPW0000715</t>
  </si>
  <si>
    <t>3TG380P10331</t>
  </si>
  <si>
    <t>放热板(氧化) JPW+T18C (当心烫伤)</t>
  </si>
  <si>
    <t>JPW0000709</t>
  </si>
  <si>
    <t>3TG376P90301</t>
  </si>
  <si>
    <t>放热板(氧化) JPW-A100(高温注意)</t>
  </si>
  <si>
    <t>JPW0000711</t>
  </si>
  <si>
    <t>3TG379P10301</t>
  </si>
  <si>
    <t>放热板(氧化) JPW-A180(高温注意)</t>
  </si>
  <si>
    <t>SR00000757</t>
  </si>
  <si>
    <t>3PA151P00500</t>
  </si>
  <si>
    <t>放热板(氧化) SR-FC108</t>
  </si>
  <si>
    <t>SR00000758</t>
  </si>
  <si>
    <t>3PA150P00500</t>
  </si>
  <si>
    <t>放热板(氧化) SR-FC188</t>
  </si>
  <si>
    <t>JRXT000705</t>
  </si>
  <si>
    <t>3TG391P10300</t>
  </si>
  <si>
    <t>放热板S(氧化) JRX-T100</t>
  </si>
  <si>
    <t>JRXT000707</t>
  </si>
  <si>
    <t>3TG390P10300</t>
  </si>
  <si>
    <t>放热板C(氧化) JRX-T060</t>
  </si>
  <si>
    <t>JRXT000701</t>
  </si>
  <si>
    <t>3TG390P11400</t>
  </si>
  <si>
    <t>铁拉扣C(抛光) JRX-T060</t>
  </si>
  <si>
    <t>JRXT000703</t>
  </si>
  <si>
    <t>3TG390P40400</t>
  </si>
  <si>
    <t>铁拉扣加强板C(抛光) JRX-T060</t>
  </si>
  <si>
    <t>JPV0000608</t>
  </si>
  <si>
    <t>3TG383P00200</t>
  </si>
  <si>
    <t>顶盖开关(电镀) JPV-A100</t>
  </si>
  <si>
    <t>JPV0000610</t>
  </si>
  <si>
    <t>3TG384P00210</t>
  </si>
  <si>
    <t>顶盖开关 JPV-C100 黑色</t>
  </si>
  <si>
    <t>JPV0000611</t>
  </si>
  <si>
    <t>3TG384P00200</t>
  </si>
  <si>
    <t>顶盖开关 JPV-B100</t>
  </si>
  <si>
    <t>JPV0000617</t>
  </si>
  <si>
    <t>3TG384P00220</t>
  </si>
  <si>
    <t>顶盖开关 JPV-H100</t>
  </si>
  <si>
    <t>JPX0000301</t>
  </si>
  <si>
    <t>3TG320P00201</t>
  </si>
  <si>
    <t>JPX-A060顶盖开关</t>
  </si>
  <si>
    <t>JPW0000602</t>
  </si>
  <si>
    <t>3TG376P00200</t>
  </si>
  <si>
    <t>JPW-A100顶盖开关（气高）</t>
  </si>
  <si>
    <t>JPW0000603</t>
  </si>
  <si>
    <t>3TG376P90200</t>
  </si>
  <si>
    <t>JPW-A100顶盖开关（虎记）</t>
  </si>
  <si>
    <t>KSF0000301</t>
  </si>
  <si>
    <t>00029015</t>
  </si>
  <si>
    <t>瓷座</t>
  </si>
  <si>
    <t>SKJ0000302</t>
  </si>
  <si>
    <t>3SK101P03200</t>
  </si>
  <si>
    <t>POP贴纸</t>
  </si>
  <si>
    <t>JRI0000322</t>
  </si>
  <si>
    <t>3TG392P30500</t>
  </si>
  <si>
    <t>内盖罩胶圈JRI-A100/A180  气高专用</t>
  </si>
  <si>
    <t>JRI0000313</t>
  </si>
  <si>
    <t>3TG392P31000</t>
  </si>
  <si>
    <t>负压阀胶圈JRI-A100</t>
  </si>
  <si>
    <t>PIG0000376</t>
  </si>
  <si>
    <t>5SMX00640120SVC</t>
  </si>
  <si>
    <t>螺丝 4*12</t>
  </si>
  <si>
    <t>3TG392A10140</t>
  </si>
  <si>
    <t>3TG392A10141</t>
  </si>
  <si>
    <t>JRI-G100(KKB)</t>
  </si>
  <si>
    <t>3TG392A10150</t>
  </si>
  <si>
    <t>3TG392A10151</t>
  </si>
  <si>
    <t>JRI-G100(WO)</t>
  </si>
  <si>
    <t>3TG393A10120</t>
  </si>
  <si>
    <t>3TG393A10121</t>
  </si>
  <si>
    <t>JRI-H100(KKB)</t>
  </si>
  <si>
    <t>3TG393A10130</t>
  </si>
  <si>
    <t>3TG393A10131</t>
  </si>
  <si>
    <t>JRI-H100(TGR)</t>
  </si>
  <si>
    <t>3TG394A10120</t>
  </si>
  <si>
    <t>3TG394A10121</t>
  </si>
  <si>
    <t>JRI-G180(KKB)</t>
  </si>
  <si>
    <t>3TG394A10130</t>
  </si>
  <si>
    <t>3TG394A10131</t>
  </si>
  <si>
    <t>JRI-G180(WO)</t>
  </si>
  <si>
    <t>3TG395A10110</t>
  </si>
  <si>
    <t>3TG395A10111</t>
  </si>
  <si>
    <t>JRI-H180(KKB)</t>
  </si>
  <si>
    <t>3TG383A10150T</t>
  </si>
  <si>
    <t>3TG383A10170</t>
  </si>
  <si>
    <t>JPV-X100(K)（藤和）</t>
  </si>
  <si>
    <t>3TG383A10150G</t>
  </si>
  <si>
    <t>JPV-X100(K)（国际贸易）</t>
  </si>
  <si>
    <t>3TG383A10150R</t>
  </si>
  <si>
    <t>JPV-X100(K)（第一电子）</t>
  </si>
  <si>
    <t>3TG383A10180T</t>
  </si>
  <si>
    <t>3TG383A10180</t>
  </si>
  <si>
    <t>JPV-X100(W)（藤和）</t>
  </si>
  <si>
    <t>3TG383A10180G</t>
  </si>
  <si>
    <t>JPV-X100(W)（国际贸易）</t>
  </si>
  <si>
    <t>3TG383A10180R</t>
  </si>
  <si>
    <t>JPV-X100(W)（第一电子）</t>
  </si>
  <si>
    <t>3TG385A10140T</t>
  </si>
  <si>
    <t>3TG385A10140</t>
  </si>
  <si>
    <t>JPV-X180(K)（藤和）</t>
  </si>
  <si>
    <t>3TG385A10140G</t>
  </si>
  <si>
    <t>JPV-X180(K)（国际贸易）</t>
  </si>
  <si>
    <t>3TG385A10140R</t>
  </si>
  <si>
    <t>JPV-X180(K)（第一电子）</t>
  </si>
  <si>
    <t>JRI0000710</t>
  </si>
  <si>
    <t>3TG396P10300</t>
  </si>
  <si>
    <t>放热板（氧化）JRI-C060</t>
  </si>
  <si>
    <t>JPV0000301</t>
  </si>
  <si>
    <t>3TG383P10500</t>
  </si>
  <si>
    <t>超压胶圈 JPV+A100</t>
  </si>
  <si>
    <t>JRI0000622</t>
  </si>
  <si>
    <t>3TG392P11800</t>
  </si>
  <si>
    <t>固定杠杆 红色 JRI-A 单品出货 (JRI604)</t>
  </si>
  <si>
    <t>JPK0000627</t>
  </si>
  <si>
    <t>3TG353P14200</t>
  </si>
  <si>
    <t>扣 JPK+A100 单品出货 (JPK606)</t>
  </si>
  <si>
    <t>JRI0000715</t>
  </si>
  <si>
    <t>3TG396P10600</t>
  </si>
  <si>
    <t>支架 单品出货 JRI-C060 (JRI714)</t>
  </si>
  <si>
    <t>JRI0000712</t>
  </si>
  <si>
    <t>3TG396P11400</t>
  </si>
  <si>
    <t>铁拉扣(震光)JRI-C060</t>
  </si>
  <si>
    <t>JPX0000326</t>
  </si>
  <si>
    <t>3TG392P13600</t>
  </si>
  <si>
    <t xml:space="preserve">定位轴定位 4*144 JPX+A060 </t>
  </si>
  <si>
    <t>JRI0000329</t>
  </si>
  <si>
    <t>3TG396P13000</t>
  </si>
  <si>
    <t>压力胶圈 JRI-C060</t>
  </si>
  <si>
    <t>JRI0000311</t>
  </si>
  <si>
    <t>3TG392P16201</t>
  </si>
  <si>
    <t>蒸气孔胶圈 JRI-A100</t>
  </si>
  <si>
    <t>JRI0000312</t>
  </si>
  <si>
    <t>3TG392P16300</t>
  </si>
  <si>
    <t>调压胶圈JRI-A100</t>
  </si>
  <si>
    <t>JRI0000328</t>
  </si>
  <si>
    <t>3TG396P16500</t>
  </si>
  <si>
    <t>蒸气管胶圈A JRI-C060</t>
  </si>
  <si>
    <t>JPV0000304</t>
  </si>
  <si>
    <t>3TG383P11000</t>
  </si>
  <si>
    <t>定位轴A SWRM 6.0*148 JPV+A...</t>
  </si>
  <si>
    <t>JRI0000621</t>
  </si>
  <si>
    <t>3TG392P11100</t>
  </si>
  <si>
    <t>轴套 JRI-A100 单品出货 (JRI615)</t>
  </si>
  <si>
    <t>JRI0000325</t>
  </si>
  <si>
    <t>3TG396P11200</t>
  </si>
  <si>
    <t>弹簧轴右R JRI-C060</t>
  </si>
  <si>
    <t>JRI0000326</t>
  </si>
  <si>
    <t>3TG396P11300</t>
  </si>
  <si>
    <t>弹簧轴左L JRI-C060</t>
  </si>
  <si>
    <t>0108222129</t>
  </si>
  <si>
    <t>0108230131</t>
  </si>
  <si>
    <t>0108240131</t>
  </si>
  <si>
    <t>0108222128</t>
  </si>
  <si>
    <t>0108230129</t>
  </si>
  <si>
    <t>2TG15900</t>
  </si>
  <si>
    <t>0111250103</t>
  </si>
  <si>
    <t>0108222201</t>
  </si>
  <si>
    <t>2TG14504</t>
  </si>
  <si>
    <t>2TG70102</t>
  </si>
  <si>
    <t>2TG70101</t>
  </si>
  <si>
    <t>2TG70100</t>
  </si>
  <si>
    <t>2TG15704</t>
  </si>
  <si>
    <t>2TG15804</t>
  </si>
  <si>
    <t>2TG15302</t>
  </si>
  <si>
    <t>2TG15402</t>
  </si>
  <si>
    <t>2TG15303</t>
  </si>
  <si>
    <t>2TG15403</t>
  </si>
  <si>
    <t>2TG15503</t>
  </si>
  <si>
    <t>2TG15603</t>
  </si>
  <si>
    <t>2TG14102</t>
  </si>
  <si>
    <t>2TG14202</t>
  </si>
  <si>
    <t>2TG15501</t>
  </si>
  <si>
    <t>2TG15601</t>
  </si>
  <si>
    <t>2TG15701</t>
  </si>
  <si>
    <t>2TG15801</t>
  </si>
  <si>
    <t>0111240102</t>
  </si>
  <si>
    <t>0108230202</t>
  </si>
  <si>
    <t>2TG14407</t>
  </si>
  <si>
    <t>2TG13903</t>
  </si>
  <si>
    <t>2TG14008</t>
  </si>
  <si>
    <t>2TG15602</t>
  </si>
  <si>
    <t>2TG15803</t>
  </si>
  <si>
    <t>2TG16001</t>
  </si>
  <si>
    <t>2TG15901</t>
  </si>
  <si>
    <t>2TG16002</t>
  </si>
  <si>
    <t>2TG15902</t>
  </si>
  <si>
    <t>2TG15304</t>
  </si>
  <si>
    <t>2TG15404</t>
  </si>
  <si>
    <t>2TG15705</t>
  </si>
  <si>
    <t>2TG15805</t>
  </si>
  <si>
    <t>2TG13603</t>
  </si>
  <si>
    <t>2TG13708</t>
  </si>
  <si>
    <t>2TG13807</t>
  </si>
  <si>
    <t>2TG13602</t>
  </si>
  <si>
    <t>2TG13702</t>
  </si>
  <si>
    <t>2TG13102</t>
  </si>
  <si>
    <t>2TG13202</t>
  </si>
  <si>
    <t>2TG13002</t>
  </si>
  <si>
    <t>2TG13302</t>
  </si>
  <si>
    <t>3TG152A30010</t>
  </si>
  <si>
    <t>3TG152A30000</t>
  </si>
  <si>
    <t>3TG145A30020</t>
  </si>
  <si>
    <t>3TG145A30010</t>
  </si>
  <si>
    <t>3TG144A30010</t>
  </si>
  <si>
    <t>3TG144A30020</t>
  </si>
  <si>
    <t>3TG151A30010</t>
  </si>
  <si>
    <t>3TG151A30000</t>
  </si>
  <si>
    <t>PDR-G221W</t>
  </si>
  <si>
    <t>PDR-G301W</t>
  </si>
  <si>
    <t>PDR-G401W</t>
  </si>
  <si>
    <t>PDR-G220WU</t>
  </si>
  <si>
    <t>PDR-G300WU</t>
  </si>
  <si>
    <t>PDR+C40RWX</t>
  </si>
  <si>
    <t>PDN-A500CU</t>
  </si>
  <si>
    <t>PIL-A220T</t>
  </si>
  <si>
    <t>PIE-A501K</t>
  </si>
  <si>
    <t>PTQ-A100RR</t>
  </si>
  <si>
    <t>PTQ-A100HS</t>
  </si>
  <si>
    <t>PTQ-A100KO</t>
  </si>
  <si>
    <t>PIS-G220KE</t>
  </si>
  <si>
    <t>PIS-G300KE</t>
  </si>
  <si>
    <t>PIQ-G220WC</t>
  </si>
  <si>
    <t>PIQ-G300WC</t>
  </si>
  <si>
    <t>PIQ-G220KC</t>
  </si>
  <si>
    <t>PIQ-G300KC</t>
  </si>
  <si>
    <t>PIP-G220WE</t>
  </si>
  <si>
    <t>PIP-G300WE</t>
  </si>
  <si>
    <t>PIW-A220T</t>
  </si>
  <si>
    <t>PIW-A300T</t>
  </si>
  <si>
    <t>PIP-22E6GD</t>
  </si>
  <si>
    <t>PIP-30E6GD</t>
  </si>
  <si>
    <t>PIS-22E6K</t>
  </si>
  <si>
    <t>PIS-30E6K</t>
  </si>
  <si>
    <t>PDN-A400CU</t>
  </si>
  <si>
    <t>PIL-A300T</t>
  </si>
  <si>
    <t>PIG-H300K</t>
  </si>
  <si>
    <t>PIK-KS22K</t>
  </si>
  <si>
    <t>PIK-KS30K</t>
  </si>
  <si>
    <t>PIP-A301R</t>
  </si>
  <si>
    <t>PIS-A30NT</t>
  </si>
  <si>
    <t>PDR+C30SWZ</t>
  </si>
  <si>
    <t>PDR+C40SWZ</t>
  </si>
  <si>
    <t>PDR+C30WWZ</t>
  </si>
  <si>
    <t>PDR+C40WWZ</t>
  </si>
  <si>
    <t>PIQ-N220T</t>
  </si>
  <si>
    <t>PIQ-N300T</t>
  </si>
  <si>
    <t>PIS-N220T</t>
  </si>
  <si>
    <t>PIS-N300T</t>
  </si>
  <si>
    <t>PIE+A40C</t>
  </si>
  <si>
    <t>PIEA40RﾊﾝｶﾝｾｲX1K</t>
  </si>
  <si>
    <t>PIEA50CﾊﾝｶﾝｾｲZC2K</t>
  </si>
  <si>
    <t>PIEA50RﾊﾝｶﾝｾｲX2K</t>
  </si>
  <si>
    <t>PIG+A30C</t>
  </si>
  <si>
    <t>PIGA30RﾊﾝｶﾝｾｲX1K</t>
  </si>
  <si>
    <t>PIGA40CﾊﾝｶﾝｾｲZC1K</t>
  </si>
  <si>
    <t>PIGA40RﾊﾝｶﾝｾｲX1K</t>
  </si>
  <si>
    <t>0117240108</t>
  </si>
  <si>
    <t>0117250111</t>
  </si>
  <si>
    <t>0117250110</t>
  </si>
  <si>
    <t>0116230105</t>
  </si>
  <si>
    <t>0116240107</t>
  </si>
  <si>
    <t>0116240106</t>
  </si>
  <si>
    <t>PIE0000703</t>
  </si>
  <si>
    <t>PIG0000763</t>
  </si>
  <si>
    <t>PIE0000715</t>
  </si>
  <si>
    <t>PIG0000731</t>
  </si>
  <si>
    <t>PIG0000733</t>
  </si>
  <si>
    <t>PDU0000404</t>
  </si>
  <si>
    <t>PDR0001310</t>
  </si>
  <si>
    <t>PIS0000802</t>
  </si>
  <si>
    <t>PIG0000805</t>
  </si>
  <si>
    <t>PDR0000381</t>
  </si>
  <si>
    <t>PIG0001323</t>
  </si>
  <si>
    <t>PIG0001322</t>
  </si>
  <si>
    <t>PIG0001325</t>
  </si>
  <si>
    <t>PIP0000605</t>
  </si>
  <si>
    <t>PIS0000605</t>
  </si>
  <si>
    <t>PIP0000603</t>
  </si>
  <si>
    <t>PIP0000604</t>
  </si>
  <si>
    <t>PIP0000607</t>
  </si>
  <si>
    <t>PIS0000620</t>
  </si>
  <si>
    <t>PIP0000322</t>
  </si>
  <si>
    <t>PIQ0000601</t>
  </si>
  <si>
    <t>PIQ0000603</t>
  </si>
  <si>
    <t>PIQ0000308</t>
  </si>
  <si>
    <t>PDU0000358</t>
  </si>
  <si>
    <t>PIQ0000602</t>
  </si>
  <si>
    <t>PIQ0000701</t>
  </si>
  <si>
    <t>PIQ0000304</t>
  </si>
  <si>
    <t>PIQ0000301</t>
  </si>
  <si>
    <t>PIQ0000607</t>
  </si>
  <si>
    <t>PIQ0000802</t>
  </si>
  <si>
    <t>PIQ0000803</t>
  </si>
  <si>
    <t>PIQ0000804</t>
  </si>
  <si>
    <t>PIQ0000612</t>
  </si>
  <si>
    <t>PIQ0000613</t>
  </si>
  <si>
    <t>PIQ0000617</t>
  </si>
  <si>
    <t>PIQ0000614</t>
  </si>
  <si>
    <t>PIQ0000322</t>
  </si>
  <si>
    <t>PDR0000801</t>
  </si>
  <si>
    <t>PDR0000701</t>
  </si>
  <si>
    <t>PDR0000380</t>
  </si>
  <si>
    <t>PIG0001344</t>
  </si>
  <si>
    <t>PIQ0000411</t>
  </si>
  <si>
    <t>PIP0000403</t>
  </si>
  <si>
    <t>PIS0000409</t>
  </si>
  <si>
    <t>PIW0000402</t>
  </si>
  <si>
    <t>PIW0000401</t>
  </si>
  <si>
    <t>PDN0000853</t>
  </si>
  <si>
    <t>PIS0000301</t>
  </si>
  <si>
    <t>PDI0000018</t>
  </si>
  <si>
    <t>PDI0000059</t>
  </si>
  <si>
    <t>PIG0000847</t>
  </si>
  <si>
    <t>PIG0000610</t>
  </si>
  <si>
    <t>PIG0001306</t>
  </si>
  <si>
    <t>PIP0000801</t>
  </si>
  <si>
    <t>PIW0000801</t>
  </si>
  <si>
    <t>PCQ0000644</t>
  </si>
  <si>
    <t>PVW0000729</t>
  </si>
  <si>
    <t>PIG0000801</t>
  </si>
  <si>
    <t>PCQ0000332</t>
  </si>
  <si>
    <t>PDU0000809</t>
  </si>
  <si>
    <t>PDU0000802</t>
  </si>
  <si>
    <t>PIS0000415</t>
  </si>
  <si>
    <t>PIS0000416</t>
  </si>
  <si>
    <t>PIQ0000412</t>
  </si>
  <si>
    <t>PIQ0000413</t>
  </si>
  <si>
    <t>PDR0000416-1</t>
  </si>
  <si>
    <t>PIG0000841</t>
  </si>
  <si>
    <t>PDR0000838</t>
  </si>
  <si>
    <t>PDR0000708</t>
  </si>
  <si>
    <t>PDR0000710</t>
  </si>
  <si>
    <t>PDR0000306</t>
  </si>
  <si>
    <t>PIE0000801</t>
  </si>
  <si>
    <t>PIQ0000627</t>
  </si>
  <si>
    <t>PIQ0000628</t>
  </si>
  <si>
    <t>PIQ0000626</t>
  </si>
  <si>
    <t>PIQ0000342</t>
  </si>
  <si>
    <t>PIQ0000345</t>
  </si>
  <si>
    <t>PIQ0000410</t>
  </si>
  <si>
    <t>PIL0000306</t>
  </si>
  <si>
    <t>PIS0000407</t>
  </si>
  <si>
    <t>PCQ0000703</t>
  </si>
  <si>
    <t>PDR0000398</t>
  </si>
  <si>
    <t>PVW0000337</t>
  </si>
  <si>
    <t>PDR0001311</t>
  </si>
  <si>
    <t>PDR0001320</t>
  </si>
  <si>
    <t>PDR0001312</t>
  </si>
  <si>
    <t>PDR00001316</t>
  </si>
  <si>
    <t>PDR0000828</t>
  </si>
  <si>
    <t>PIS0000801</t>
  </si>
  <si>
    <t>PCQ0000801</t>
  </si>
  <si>
    <t>PDU0000737</t>
  </si>
  <si>
    <t>PVV0000805</t>
  </si>
  <si>
    <t>PIL0000806</t>
  </si>
  <si>
    <t>PIK0000805</t>
  </si>
  <si>
    <t>PDR0001316</t>
  </si>
  <si>
    <t>PVW0000811</t>
  </si>
  <si>
    <t>PIG0000723</t>
  </si>
  <si>
    <t>PIQ0000323</t>
  </si>
  <si>
    <t>PIE0000604</t>
  </si>
  <si>
    <t>PILT000601</t>
  </si>
  <si>
    <t>PILT000602</t>
  </si>
  <si>
    <t>PILT000603</t>
  </si>
  <si>
    <t>PIL0000319</t>
  </si>
  <si>
    <t>PIL0000315</t>
  </si>
  <si>
    <t>PIL0000705</t>
  </si>
  <si>
    <t>PIL0000314</t>
  </si>
  <si>
    <t>PIL0000706</t>
  </si>
  <si>
    <t>PIP0000307</t>
  </si>
  <si>
    <t>PIG0000734</t>
  </si>
  <si>
    <t>PIG0000826</t>
  </si>
  <si>
    <t>2TG15703</t>
  </si>
  <si>
    <t>PIS0000704</t>
  </si>
  <si>
    <t>PIG0000802</t>
  </si>
  <si>
    <t>PIG0000609</t>
  </si>
  <si>
    <t>PVW0001322</t>
  </si>
  <si>
    <t>PDR0000356</t>
  </si>
  <si>
    <t>PIF0000101</t>
  </si>
  <si>
    <t>WHP0000049</t>
  </si>
  <si>
    <t>PIG0000708</t>
  </si>
  <si>
    <t>PIK0000703</t>
  </si>
  <si>
    <t>PIS0000411</t>
  </si>
  <si>
    <t>PIS0000412</t>
  </si>
  <si>
    <t>PIL0000316</t>
  </si>
  <si>
    <t>PIS0000348</t>
  </si>
  <si>
    <t>PIK0000326</t>
  </si>
  <si>
    <t>PIL0000318</t>
  </si>
  <si>
    <t>PIL0000317</t>
  </si>
  <si>
    <t>WMJ0000803</t>
  </si>
  <si>
    <t>WMZ0000801</t>
  </si>
  <si>
    <t>PIK0000330</t>
  </si>
  <si>
    <t>PIK0000331</t>
  </si>
  <si>
    <t>PDI0000704</t>
  </si>
  <si>
    <t>WVP0000801</t>
  </si>
  <si>
    <t>PIP0000405</t>
  </si>
  <si>
    <t>PIP0000406</t>
  </si>
  <si>
    <t>PIL0000307</t>
  </si>
  <si>
    <t>PCQ0000623</t>
  </si>
  <si>
    <t>PCQ0000808</t>
  </si>
  <si>
    <t>PVW0000827</t>
  </si>
  <si>
    <t>PVW0000834</t>
  </si>
  <si>
    <t>PVW0000349</t>
  </si>
  <si>
    <t>PDK0000342</t>
  </si>
  <si>
    <t>PIQ0000801</t>
  </si>
  <si>
    <t>PDR0000365</t>
  </si>
  <si>
    <t>PDVW0000371</t>
  </si>
  <si>
    <t>PCQ0000805</t>
  </si>
  <si>
    <t>PCQ0000657</t>
  </si>
  <si>
    <t>PCQ0000812</t>
  </si>
  <si>
    <t>PCQ0000354</t>
  </si>
  <si>
    <t>PIG0000307</t>
  </si>
  <si>
    <t>PDR0000408</t>
  </si>
  <si>
    <t>PIS0000410</t>
  </si>
  <si>
    <t>PVW0000617</t>
  </si>
  <si>
    <t>PIG0001330</t>
  </si>
  <si>
    <t>PIG0001337</t>
  </si>
  <si>
    <t>PIS0000811</t>
  </si>
  <si>
    <t>PIS0000349</t>
  </si>
  <si>
    <t>PIS0000354</t>
  </si>
  <si>
    <t>PIS0000616</t>
  </si>
  <si>
    <t>PIS0000615</t>
  </si>
  <si>
    <t>PIS0000351</t>
  </si>
  <si>
    <t>PIS0000350</t>
  </si>
  <si>
    <t>PIS0000355</t>
  </si>
  <si>
    <t>PIS0000356</t>
  </si>
  <si>
    <t>PIP0000616</t>
  </si>
  <si>
    <t>PIQ0000812</t>
  </si>
  <si>
    <t>PIQ0000618</t>
  </si>
  <si>
    <t>PIQ0000619</t>
  </si>
  <si>
    <t>PIQ0000336</t>
  </si>
  <si>
    <t>PIS0000603</t>
  </si>
  <si>
    <t>PIS0000631</t>
  </si>
  <si>
    <t>PIG0001340</t>
  </si>
  <si>
    <t>PIG0001339</t>
  </si>
  <si>
    <t>PIG0001341</t>
  </si>
  <si>
    <t>PIG0001342</t>
  </si>
  <si>
    <t>PIG0001343</t>
  </si>
  <si>
    <t>PIG0001346</t>
  </si>
  <si>
    <t>PIP0000803</t>
  </si>
  <si>
    <t>PIP0000324</t>
  </si>
  <si>
    <t>PIP0000618</t>
  </si>
  <si>
    <t>PIP0000617</t>
  </si>
  <si>
    <t>PIP0000619</t>
  </si>
  <si>
    <t>PIP0000621</t>
  </si>
  <si>
    <t>PIP0000620</t>
  </si>
  <si>
    <t>PIP0000622</t>
  </si>
  <si>
    <t>PIP0000325</t>
  </si>
  <si>
    <t>PIP0000326</t>
  </si>
  <si>
    <t>PIP0000329</t>
  </si>
  <si>
    <t>PIQ0000330</t>
  </si>
  <si>
    <t>PIQ0000620</t>
  </si>
  <si>
    <t>PIQ0000335</t>
  </si>
  <si>
    <t>PIQ0000622</t>
  </si>
  <si>
    <t>PIQ0000625</t>
  </si>
  <si>
    <t>PIQ0000333</t>
  </si>
  <si>
    <t>PIQ0000324</t>
  </si>
  <si>
    <t>PIQ0000334</t>
  </si>
  <si>
    <t>PIQ0000325</t>
  </si>
  <si>
    <t>PIQ0000621</t>
  </si>
  <si>
    <t>PIQ0000624</t>
  </si>
  <si>
    <t>PIQ0000623</t>
  </si>
  <si>
    <t>PIQ0000337</t>
  </si>
  <si>
    <t>WVP0000703</t>
  </si>
  <si>
    <t>WVP0000705</t>
  </si>
  <si>
    <t>PIS0000413</t>
  </si>
  <si>
    <t>PIS0000414</t>
  </si>
  <si>
    <t>PIP0000407</t>
  </si>
  <si>
    <t>PIP0000408</t>
  </si>
  <si>
    <t>PIQ0000408</t>
  </si>
  <si>
    <t>PIQ0000409</t>
  </si>
  <si>
    <t>PDU0000801</t>
  </si>
  <si>
    <t>PCQ0000658</t>
  </si>
  <si>
    <t>PIG0000818</t>
  </si>
  <si>
    <t>PDR0000429</t>
  </si>
  <si>
    <t>PDR0001305</t>
  </si>
  <si>
    <t>PVW0000825</t>
  </si>
  <si>
    <t>PIG0000846</t>
  </si>
  <si>
    <t>PDR0000399</t>
  </si>
  <si>
    <t>PDN0000324</t>
  </si>
  <si>
    <t>PIK0000806</t>
  </si>
  <si>
    <t>PDR0000391</t>
  </si>
  <si>
    <t>PDU0000810</t>
  </si>
  <si>
    <t>PIE0000812</t>
  </si>
  <si>
    <t>PDK0000331</t>
  </si>
  <si>
    <t>PCQ0000620</t>
  </si>
  <si>
    <t>PDN0000627</t>
  </si>
  <si>
    <t>PDR0000341</t>
  </si>
  <si>
    <t>PDR0000806</t>
  </si>
  <si>
    <t>PDN0000803</t>
  </si>
  <si>
    <t>PIG0000820</t>
  </si>
  <si>
    <t>PDU0000840</t>
  </si>
  <si>
    <t>PIG0000638</t>
  </si>
  <si>
    <t>PIG0000639</t>
  </si>
  <si>
    <t>PIG0000641</t>
  </si>
  <si>
    <t>PIG0000640</t>
  </si>
  <si>
    <t>PIG0000621</t>
  </si>
  <si>
    <t>PVW0000802</t>
  </si>
  <si>
    <t>0241042210</t>
  </si>
  <si>
    <t>PDN0100403</t>
  </si>
  <si>
    <t>PDN0000404</t>
  </si>
  <si>
    <t>PDR0000407</t>
  </si>
  <si>
    <t>PDR0000382</t>
  </si>
  <si>
    <t>PIE0000406</t>
  </si>
  <si>
    <t>PIP0000404</t>
  </si>
  <si>
    <t>PIS0000408</t>
  </si>
  <si>
    <t>PCQ0000401</t>
  </si>
  <si>
    <t>PCQ0000402</t>
  </si>
  <si>
    <t>PCQ0000403</t>
  </si>
  <si>
    <t>PIE0000405</t>
  </si>
  <si>
    <t>PIE0000323</t>
  </si>
  <si>
    <t>PIG0000414</t>
  </si>
  <si>
    <t>PIG0000415</t>
  </si>
  <si>
    <t>PDI00000018</t>
  </si>
  <si>
    <t>PVW0001311</t>
  </si>
  <si>
    <t>PDN0000664</t>
  </si>
  <si>
    <t>PIM0000902</t>
  </si>
  <si>
    <t>PIM0000903</t>
  </si>
  <si>
    <t>PDN0000901</t>
  </si>
  <si>
    <t>PDR0000901</t>
  </si>
  <si>
    <t>PDN0000399</t>
  </si>
  <si>
    <t>PDN0000398</t>
  </si>
  <si>
    <t>PIM0000901</t>
  </si>
  <si>
    <t>PIS0000356-2</t>
  </si>
  <si>
    <t>PIF0000901</t>
  </si>
  <si>
    <t>3TG145A00804</t>
  </si>
  <si>
    <t>3TG144A00830</t>
  </si>
  <si>
    <t>3TG145A02203</t>
  </si>
  <si>
    <t>3TG151A00800</t>
  </si>
  <si>
    <t>3TG144A00810</t>
  </si>
  <si>
    <t>3TG148K00601</t>
  </si>
  <si>
    <t>3TG153P00203</t>
  </si>
  <si>
    <t>3TG157A01000</t>
  </si>
  <si>
    <t>3TG144A00400</t>
  </si>
  <si>
    <t>3TG137K01600</t>
  </si>
  <si>
    <t>3TG144P05210</t>
  </si>
  <si>
    <t>3TG144P04510</t>
  </si>
  <si>
    <t>3TG144P02330</t>
  </si>
  <si>
    <t>3TG155P01300</t>
  </si>
  <si>
    <t>3TG157P13001</t>
  </si>
  <si>
    <t>3TG141P02400</t>
  </si>
  <si>
    <t>3TG141P02500</t>
  </si>
  <si>
    <t>3TG154P03521</t>
  </si>
  <si>
    <t>3TG158P03512</t>
  </si>
  <si>
    <t>3TG155K00220</t>
  </si>
  <si>
    <t>3TG153P00100</t>
  </si>
  <si>
    <t>3TG153P00300</t>
  </si>
  <si>
    <t>3TG153P09300</t>
  </si>
  <si>
    <t>3TG148P01000</t>
  </si>
  <si>
    <t>3TG153P00500</t>
  </si>
  <si>
    <t>3TG153P05100</t>
  </si>
  <si>
    <t>3TG153E00210</t>
  </si>
  <si>
    <t>3TG153P02500</t>
  </si>
  <si>
    <t>3TG153A01000</t>
  </si>
  <si>
    <t>3TG153P02610</t>
  </si>
  <si>
    <t>3TG154P02610</t>
  </si>
  <si>
    <t>3TG153P07000</t>
  </si>
  <si>
    <t>3TG154P07000</t>
  </si>
  <si>
    <t>3TG154P05900</t>
  </si>
  <si>
    <t>3TG153P03501</t>
  </si>
  <si>
    <t>3TG153K00201</t>
  </si>
  <si>
    <t>3TG136A00100</t>
  </si>
  <si>
    <t>3TG136P00201</t>
  </si>
  <si>
    <t>3TG136K01600</t>
  </si>
  <si>
    <t>3TG144K00920</t>
  </si>
  <si>
    <t>3TG154K00330</t>
  </si>
  <si>
    <t>3TG155K00310</t>
  </si>
  <si>
    <t>3TG157K00320</t>
  </si>
  <si>
    <t>3TG142K00320</t>
  </si>
  <si>
    <t>3TG141K00320</t>
  </si>
  <si>
    <t>3TG130A00100</t>
  </si>
  <si>
    <t>3TG143A01000</t>
  </si>
  <si>
    <t>3TG157P05100</t>
  </si>
  <si>
    <t>3TG701E01100</t>
  </si>
  <si>
    <t>3TG701E01200</t>
  </si>
  <si>
    <t>3TG112A00202</t>
  </si>
  <si>
    <t>0SE15211</t>
  </si>
  <si>
    <t>3TG144A00100</t>
  </si>
  <si>
    <t>3TG143P05004</t>
  </si>
  <si>
    <t>3TG143P02901</t>
  </si>
  <si>
    <t>3TG155A00100</t>
  </si>
  <si>
    <t>3TG141A00200</t>
  </si>
  <si>
    <t>3TG701P04800</t>
  </si>
  <si>
    <t>3TG701P05900</t>
  </si>
  <si>
    <t>3TG140A00613</t>
  </si>
  <si>
    <t>3TG148E00600</t>
  </si>
  <si>
    <t>3TG148A00110</t>
  </si>
  <si>
    <t>3TG157K00350</t>
  </si>
  <si>
    <t>3TG158K00350</t>
  </si>
  <si>
    <t>3TG153K00340</t>
  </si>
  <si>
    <t>3TG154K00340</t>
  </si>
  <si>
    <t>3TG138K00803</t>
  </si>
  <si>
    <t>3TG143A00900</t>
  </si>
  <si>
    <t>3TG136A00140</t>
  </si>
  <si>
    <t>3TG137A00501</t>
  </si>
  <si>
    <t>3TG138A00501</t>
  </si>
  <si>
    <t>3TG112P00712</t>
  </si>
  <si>
    <t>3TG145A00100</t>
  </si>
  <si>
    <t>3TG153P05020</t>
  </si>
  <si>
    <t>3TG153P02520</t>
  </si>
  <si>
    <t>3TG153P03520</t>
  </si>
  <si>
    <t>3TG153E00220</t>
  </si>
  <si>
    <t>3TG153E00310</t>
  </si>
  <si>
    <t>3TG153K00330</t>
  </si>
  <si>
    <t>3TG132K00121</t>
  </si>
  <si>
    <t>3TG157K00310</t>
  </si>
  <si>
    <t>3TG701P02900</t>
  </si>
  <si>
    <t>3TG159P00700</t>
  </si>
  <si>
    <t>3TG140E01300</t>
  </si>
  <si>
    <t>3TG160P00410</t>
  </si>
  <si>
    <t>3TG160K01110</t>
  </si>
  <si>
    <t>3TG159P00410</t>
  </si>
  <si>
    <t>3TG160K01100</t>
  </si>
  <si>
    <t>3TG136A00130</t>
  </si>
  <si>
    <t>3TG145A00200</t>
  </si>
  <si>
    <t>3TG157A00100</t>
  </si>
  <si>
    <t>3TG701A00100</t>
  </si>
  <si>
    <t>3TG149A00302</t>
  </si>
  <si>
    <t>3TG132A00900</t>
  </si>
  <si>
    <t>3TG132A00200</t>
  </si>
  <si>
    <t>3TG139A01100</t>
  </si>
  <si>
    <t>3TG159K01101</t>
  </si>
  <si>
    <t>3TG145E01202</t>
  </si>
  <si>
    <t>3TG155P03700</t>
  </si>
  <si>
    <t>3TG140A01022</t>
  </si>
  <si>
    <t>3TG145A00615</t>
  </si>
  <si>
    <t>3TG157A00603</t>
  </si>
  <si>
    <t>3TG153P05110</t>
  </si>
  <si>
    <t>3TG145P08200</t>
  </si>
  <si>
    <t>3PC137K01150</t>
  </si>
  <si>
    <t>3PC137K01250</t>
  </si>
  <si>
    <t>3PC138K01250</t>
  </si>
  <si>
    <t>3TG140P04000</t>
  </si>
  <si>
    <t>3PC137E02000</t>
  </si>
  <si>
    <t>3TG149K00140</t>
  </si>
  <si>
    <t>3PC137K00104</t>
  </si>
  <si>
    <t>3PC137K00240</t>
  </si>
  <si>
    <t>3PC138K00240</t>
  </si>
  <si>
    <t>3PC139K00240</t>
  </si>
  <si>
    <t>3PC137K00340</t>
  </si>
  <si>
    <t>3PC138K00340</t>
  </si>
  <si>
    <t>3PC139K00340</t>
  </si>
  <si>
    <t>3TG118A00512</t>
  </si>
  <si>
    <t>3PC137A00120</t>
  </si>
  <si>
    <t>3TG143A00100</t>
  </si>
  <si>
    <t>3TG139P05110</t>
  </si>
  <si>
    <t>3TG148K00301</t>
  </si>
  <si>
    <t>3TG136A00703</t>
  </si>
  <si>
    <t>3TG132P00130</t>
  </si>
  <si>
    <t>3TG120P01210</t>
  </si>
  <si>
    <t>3TG141P03610</t>
  </si>
  <si>
    <t>3TG132K00425</t>
  </si>
  <si>
    <t>3TG132P00330</t>
  </si>
  <si>
    <t>3TG132P00730</t>
  </si>
  <si>
    <t>3TG139P02310</t>
  </si>
  <si>
    <t>3TG132P00740</t>
  </si>
  <si>
    <t>3TG130P00603</t>
  </si>
  <si>
    <t>3TG156P03700</t>
  </si>
  <si>
    <t>3TG144A00623</t>
  </si>
  <si>
    <t>3TG151A00400</t>
  </si>
  <si>
    <t>3TG158A00603</t>
  </si>
  <si>
    <t>3TG143A00200</t>
  </si>
  <si>
    <t>3TG145P08000</t>
  </si>
  <si>
    <t>3TG140K00121</t>
  </si>
  <si>
    <t>3TG137K01300</t>
  </si>
  <si>
    <t>-</t>
  </si>
  <si>
    <t>3TG143P00501</t>
  </si>
  <si>
    <t>3TG139P00400</t>
  </si>
  <si>
    <t>3TG157K00330</t>
  </si>
  <si>
    <t>3TG158K00330</t>
  </si>
  <si>
    <t>3TG132K00130</t>
  </si>
  <si>
    <t>3TG157K00230</t>
  </si>
  <si>
    <t>3TG139K00510</t>
  </si>
  <si>
    <t>3TG132P02610</t>
  </si>
  <si>
    <t>3TG132P02620</t>
  </si>
  <si>
    <t>3PC138A00402</t>
  </si>
  <si>
    <t>3PC140A00100</t>
  </si>
  <si>
    <t>3TG139K00612</t>
  </si>
  <si>
    <t>3TG140K00612</t>
  </si>
  <si>
    <t>3TG112P05511</t>
  </si>
  <si>
    <t>3PC146A00100</t>
  </si>
  <si>
    <t>3TG155K00320</t>
  </si>
  <si>
    <t>3TG156K00320</t>
  </si>
  <si>
    <t>3TG133K00121</t>
  </si>
  <si>
    <t>3TG701P03400</t>
  </si>
  <si>
    <t>3TG701S10000</t>
  </si>
  <si>
    <t>3TG140A00435</t>
  </si>
  <si>
    <t>3TG140P04403</t>
  </si>
  <si>
    <t>3TG140K00150</t>
  </si>
  <si>
    <t>3TG120P00400</t>
  </si>
  <si>
    <t>3TG153A00100</t>
  </si>
  <si>
    <t>3TG137P02500</t>
  </si>
  <si>
    <t>3TG140P02810</t>
  </si>
  <si>
    <t>3TG701A00310</t>
  </si>
  <si>
    <t>3TG701P03410</t>
  </si>
  <si>
    <t>5SMX00540120SAC</t>
  </si>
  <si>
    <t>3TG143P08600</t>
  </si>
  <si>
    <t>3TG137K00601</t>
  </si>
  <si>
    <t>3TG158K00320</t>
  </si>
  <si>
    <t>3TG144K00910</t>
  </si>
  <si>
    <t>3TG157A00110</t>
  </si>
  <si>
    <t>3TG157P05110</t>
  </si>
  <si>
    <t>3TG155E00220</t>
  </si>
  <si>
    <t>3TG158P07003</t>
  </si>
  <si>
    <t>3TG157P07001</t>
  </si>
  <si>
    <t>3TG158P02310</t>
  </si>
  <si>
    <t>3TG157P02310</t>
  </si>
  <si>
    <t>3TG155E00320</t>
  </si>
  <si>
    <t>3TG157K00240</t>
  </si>
  <si>
    <t>3TG155P00110</t>
  </si>
  <si>
    <t>3TG153A00110</t>
  </si>
  <si>
    <t>3TG153P00110</t>
  </si>
  <si>
    <t>3TG153P00310</t>
  </si>
  <si>
    <t>3TG157P00310</t>
  </si>
  <si>
    <t>3TG144P05220</t>
  </si>
  <si>
    <t>3TG144P04520</t>
  </si>
  <si>
    <t>3TG144E00520</t>
  </si>
  <si>
    <t>3TG144E00620</t>
  </si>
  <si>
    <t>3TG144P02340</t>
  </si>
  <si>
    <t>3TG144K00620</t>
  </si>
  <si>
    <t>3TG155A00110</t>
  </si>
  <si>
    <t>3TG155P05100</t>
  </si>
  <si>
    <t>3TG155P13000</t>
  </si>
  <si>
    <t>3TG155P05020</t>
  </si>
  <si>
    <t>3TG155P02520</t>
  </si>
  <si>
    <t>3TG156P03500</t>
  </si>
  <si>
    <t>3TG155P05900</t>
  </si>
  <si>
    <t>3TG156P05900</t>
  </si>
  <si>
    <t>3TG155P02300</t>
  </si>
  <si>
    <t>3TG156P02300</t>
  </si>
  <si>
    <t>3TG155K00230</t>
  </si>
  <si>
    <t>3TG153P05120</t>
  </si>
  <si>
    <t>3TG153P13010</t>
  </si>
  <si>
    <t>3TG153P05010</t>
  </si>
  <si>
    <t>3TG153P02510</t>
  </si>
  <si>
    <t>3TG153P02320</t>
  </si>
  <si>
    <t>3TG153P02310</t>
  </si>
  <si>
    <t>3TG154P02320</t>
  </si>
  <si>
    <t>3TG154P02310</t>
  </si>
  <si>
    <t>3TG153P05910</t>
  </si>
  <si>
    <t>3TG154P05910</t>
  </si>
  <si>
    <t>3TG153P03510</t>
  </si>
  <si>
    <t>3TG153K00220</t>
  </si>
  <si>
    <t>3PC146A00300</t>
  </si>
  <si>
    <t>3PC147A00300</t>
  </si>
  <si>
    <t>3TG157K90340</t>
  </si>
  <si>
    <t>3TG158K90340</t>
  </si>
  <si>
    <t>3TG155K00330</t>
  </si>
  <si>
    <t>3TG156K00330</t>
  </si>
  <si>
    <t>3TG153K00320</t>
  </si>
  <si>
    <t>3TG154K00320</t>
  </si>
  <si>
    <t>3TG159E00600</t>
  </si>
  <si>
    <t>3TG148A00100</t>
  </si>
  <si>
    <t>3TG701P03420</t>
  </si>
  <si>
    <t>3TG143A01200</t>
  </si>
  <si>
    <t>3TG159K00800</t>
  </si>
  <si>
    <t>3TG159K01100</t>
  </si>
  <si>
    <t>3TG140A01002</t>
  </si>
  <si>
    <t>3TG144A00200</t>
  </si>
  <si>
    <t>3TG159P00400</t>
  </si>
  <si>
    <t>3TG131P03201</t>
  </si>
  <si>
    <t>3TG139A01110</t>
  </si>
  <si>
    <t>3TG701P07300</t>
  </si>
  <si>
    <t>3TG137E00103</t>
  </si>
  <si>
    <t>3TG148E02001</t>
  </si>
  <si>
    <t>3TG145E01100</t>
  </si>
  <si>
    <t>3TG112P00810</t>
  </si>
  <si>
    <t>3TG701P03300</t>
  </si>
  <si>
    <t>3TG131P03602</t>
  </si>
  <si>
    <t>3TG136P03000</t>
  </si>
  <si>
    <t>3TG136A00702</t>
  </si>
  <si>
    <t>3TG149A00400</t>
  </si>
  <si>
    <t>3TG143P03702</t>
  </si>
  <si>
    <t>3TG129P03502</t>
  </si>
  <si>
    <t>3TG144P07001</t>
  </si>
  <si>
    <t>3TG145P07000</t>
  </si>
  <si>
    <t>3TG151P07100</t>
  </si>
  <si>
    <t>3TG143P03300</t>
  </si>
  <si>
    <t>3TG139A00200</t>
  </si>
  <si>
    <t>3TG334A10104</t>
  </si>
  <si>
    <t>3TG130K00102</t>
  </si>
  <si>
    <t>3TG131K00102</t>
  </si>
  <si>
    <t>3TG136K00601</t>
  </si>
  <si>
    <t>3TG138K01600</t>
  </si>
  <si>
    <t>3TG145K00310</t>
  </si>
  <si>
    <t>3TG156K00310</t>
  </si>
  <si>
    <t>3TG158K00310</t>
  </si>
  <si>
    <t>3TG701K00200</t>
  </si>
  <si>
    <t>3TG701K00210</t>
  </si>
  <si>
    <t>3TG701K00220</t>
  </si>
  <si>
    <t>3TG137K00820</t>
  </si>
  <si>
    <t>3TG137K00830</t>
  </si>
  <si>
    <t>3TG138K00801</t>
  </si>
  <si>
    <t>3TG138K00820</t>
  </si>
  <si>
    <t>3TG138K00830</t>
  </si>
  <si>
    <t>3TG152K00311</t>
  </si>
  <si>
    <t>3TG145K00802</t>
  </si>
  <si>
    <t>3TG144K00321</t>
  </si>
  <si>
    <t>3TG151K00311</t>
  </si>
  <si>
    <t>3TG150K00140</t>
  </si>
  <si>
    <t>3TG149K00101</t>
  </si>
  <si>
    <t>3TG150K00101</t>
  </si>
  <si>
    <t>3TG148K00330</t>
  </si>
  <si>
    <t>3TG149K00130</t>
  </si>
  <si>
    <t>3TG148K00311</t>
  </si>
  <si>
    <t>3TG149K00111</t>
  </si>
  <si>
    <t>3TG149K00120</t>
  </si>
  <si>
    <t>3TG150K00120</t>
  </si>
  <si>
    <t>3TG129P03420</t>
  </si>
  <si>
    <t>確認中</t>
  </si>
  <si>
    <t>3TG130P21200</t>
  </si>
  <si>
    <t>3TG147E00500</t>
  </si>
  <si>
    <t>3TG129P04610</t>
  </si>
  <si>
    <t>3TG157K00242</t>
  </si>
  <si>
    <t>3TG147A03300</t>
  </si>
  <si>
    <t>PIE-A500</t>
  </si>
  <si>
    <t>PIG-J300</t>
  </si>
  <si>
    <t>PIE-A50C</t>
  </si>
  <si>
    <t>PIG-A40C</t>
  </si>
  <si>
    <t>PIG-A30R</t>
  </si>
  <si>
    <t>JPWﾚﾊﾞｰ</t>
  </si>
  <si>
    <t>JRXTﾎｳﾈﾂｲﾀC</t>
  </si>
  <si>
    <t>JPWレバー(気高向け)</t>
  </si>
  <si>
    <t>PDUAﾄﾘｾﾂX1</t>
  </si>
  <si>
    <t>PIQAシタイタ2</t>
  </si>
  <si>
    <t>PDRCﾒｲﾊﾞﾝZSSEM</t>
  </si>
  <si>
    <t>PISAバルブ完成</t>
  </si>
  <si>
    <t>PIGA300ガラスパイプ完成</t>
  </si>
  <si>
    <t>PDR-G301W個装箱</t>
  </si>
  <si>
    <t>PIGJ操作パネルKDG</t>
  </si>
  <si>
    <t>PIGJメニューシート</t>
  </si>
  <si>
    <t>PIGJ300水量シートKDG</t>
  </si>
  <si>
    <t>PISAとっ手RBT</t>
  </si>
  <si>
    <t>PISA上枠RBT</t>
  </si>
  <si>
    <t>PIBAヒンジロックRBT</t>
  </si>
  <si>
    <t>PIBAヒンジカバーRBT</t>
  </si>
  <si>
    <t>PIQA本体ケースMRBT</t>
  </si>
  <si>
    <t>PISA300本体ケースRBT</t>
  </si>
  <si>
    <t>PIPA1取扱説明書</t>
  </si>
  <si>
    <t>PIQAふたKCS</t>
  </si>
  <si>
    <t>PIQA開閉レバーＫＣＳ</t>
  </si>
  <si>
    <t>PIQAふたアルミ</t>
  </si>
  <si>
    <t>PDUAレバースプリングＸ</t>
  </si>
  <si>
    <t>PIQA下板２</t>
  </si>
  <si>
    <t>PIQA栓内ふた</t>
  </si>
  <si>
    <t>PIQA操作パネルKCS</t>
  </si>
  <si>
    <t>PIQAマイコン基板完成</t>
  </si>
  <si>
    <t>PIQAヒンジカバーWAX</t>
  </si>
  <si>
    <t>PIQAバルブ完成</t>
  </si>
  <si>
    <t>PIQA220ガラスパイプ完成</t>
  </si>
  <si>
    <t>PIQA300ガラスパイプ完成</t>
  </si>
  <si>
    <t>PIQA220水量カバー</t>
  </si>
  <si>
    <t>PIQA300水量カバー</t>
  </si>
  <si>
    <t>PIQA300前パネルKCS</t>
  </si>
  <si>
    <t>PIQA本体ケースSWAX</t>
  </si>
  <si>
    <t>PIQA1取扱説明書</t>
  </si>
  <si>
    <t>PDRA上ふた完成WAX(WU)</t>
  </si>
  <si>
    <t>PDRA栓内ふた</t>
  </si>
  <si>
    <t>PDR-G221W個装箱</t>
  </si>
  <si>
    <t>PIG-H300K個装箱</t>
  </si>
  <si>
    <t>PIQ-G300KC個装箱</t>
  </si>
  <si>
    <t>PIP-22E6K個装箱</t>
  </si>
  <si>
    <t>PIS-A221T個装箱</t>
  </si>
  <si>
    <t>PIW-A300T個装箱</t>
  </si>
  <si>
    <t>PIW-A220個装箱</t>
  </si>
  <si>
    <t>ＰＤＮＡ上ふた完成ＣＵ</t>
  </si>
  <si>
    <t>ＰＩＧＡバルブ完成</t>
  </si>
  <si>
    <t>ＰＩＳＡ操作パネルＫＣＳ</t>
  </si>
  <si>
    <t>ＰＴＱＡマイコン基板完成</t>
  </si>
  <si>
    <t>ＰＴＱＡ電源基板完成</t>
  </si>
  <si>
    <t>PDIAバルブ完成1</t>
  </si>
  <si>
    <t>PVHA底センサー</t>
  </si>
  <si>
    <t>PIGSふた完成KCS</t>
  </si>
  <si>
    <t>PIGA上枠1KCS</t>
  </si>
  <si>
    <t>PIGA口パッキン</t>
  </si>
  <si>
    <t>PIPAふた完成1KCS</t>
  </si>
  <si>
    <t>PIWAふた完成TBL</t>
  </si>
  <si>
    <t>PTQAスイッチ軸</t>
  </si>
  <si>
    <t>PTQA温度センサーパッキン</t>
  </si>
  <si>
    <t>PVWB30内容器完成F1OKZC</t>
  </si>
  <si>
    <t>PDUA リード YSX</t>
  </si>
  <si>
    <t>PDUA上ふた完成YKCS</t>
  </si>
  <si>
    <t>PIS-N220個装箱</t>
  </si>
  <si>
    <t>PIS-N300個装箱</t>
  </si>
  <si>
    <t>PIQ-N220個装箱</t>
  </si>
  <si>
    <t>PIQ-N300個装箱</t>
  </si>
  <si>
    <t>PDR+S40R CX化粧箱</t>
  </si>
  <si>
    <t>PIGAポンプ完成</t>
  </si>
  <si>
    <t>PDRCﾌﾀ$ZSWAX</t>
  </si>
  <si>
    <t>PDRA30SｳﾁﾖｳｷUF2ZS</t>
  </si>
  <si>
    <t>PDRA40SｳﾁﾖｳｷUF2ZS</t>
  </si>
  <si>
    <t>PIS-N220T個装箱</t>
  </si>
  <si>
    <t>PIS-N300T個装箱</t>
  </si>
  <si>
    <t>PIQ-N220T個装箱</t>
  </si>
  <si>
    <t>PIQ-N300T個装箱</t>
  </si>
  <si>
    <t>PDAAふたパッキン</t>
  </si>
  <si>
    <t>PIEAふた完成1KCS</t>
  </si>
  <si>
    <t>PIQAｼﾀｸﾁTBL</t>
  </si>
  <si>
    <t>PIQAﾋﾝｼﾞｶﾊﾞ-TBL</t>
  </si>
  <si>
    <t>PIQA220ﾌﾟﾗCTBL</t>
  </si>
  <si>
    <t>PIQNﾏｲｺﾝKU</t>
  </si>
  <si>
    <t>PIQGﾃﾞﾝｹﾞﾝKU</t>
  </si>
  <si>
    <t>PIQ-G220KC個装箱</t>
  </si>
  <si>
    <t>PIL-A220T個装箱</t>
  </si>
  <si>
    <t>PIS-22E6GD個装箱</t>
  </si>
  <si>
    <t>PTQA内容器完成1</t>
  </si>
  <si>
    <t>PDEMｿｺｾﾝｻ$Z</t>
  </si>
  <si>
    <t>PDRC30SｽｲﾘﾖｳｼZSSEM</t>
  </si>
  <si>
    <t>PDRCﾄﾘｾﾂZW</t>
  </si>
  <si>
    <t>PDRC40SｽｲﾘﾖｳｼZSSEM</t>
  </si>
  <si>
    <t>PDRCﾄﾘｾﾂZS</t>
  </si>
  <si>
    <t>PDRA上ふた完成XTAA (C)</t>
  </si>
  <si>
    <t>PIEAふた完成X1KCS</t>
  </si>
  <si>
    <t>PISAふた完成1KCS</t>
  </si>
  <si>
    <t>PISNﾏｲｺﾝKU</t>
  </si>
  <si>
    <t>ＰＩＳＧ電源基板</t>
  </si>
  <si>
    <t>PTQAふた完成KHM</t>
  </si>
  <si>
    <t>PIS-22E6K個装箱</t>
  </si>
  <si>
    <t>PIP-22E6GD個装箱</t>
  </si>
  <si>
    <t>PDUA400内容器完成F1ZC</t>
  </si>
  <si>
    <t>PVVAポンプ完成</t>
  </si>
  <si>
    <t>PDRAふた完成TBL</t>
  </si>
  <si>
    <t>PIKA上ふた完成TAA</t>
  </si>
  <si>
    <t>ＰＤＲＣ取扱説明書Ｘ２</t>
  </si>
  <si>
    <t>ＰＩＥＡスイッチリード１</t>
  </si>
  <si>
    <t>ＰＩＰＡ２２０横断熱</t>
  </si>
  <si>
    <t>PVWA 上ふた完成 ZCAC</t>
  </si>
  <si>
    <t>ＰＩＥＡ５００内容器完成Ｆ３ＯＫ</t>
  </si>
  <si>
    <t>ＰＩＳＡ２２０内容器完成Ｆ２ＯＫ</t>
  </si>
  <si>
    <t>PIQGﾒｲﾊﾞﾝHKL</t>
  </si>
  <si>
    <t>PIGA内容器カバーXKCS</t>
  </si>
  <si>
    <t>HC-EPトリセツ</t>
  </si>
  <si>
    <t>HC-EP22 個装箱</t>
  </si>
  <si>
    <t>HC-EP30 個装箱</t>
  </si>
  <si>
    <t>PVWBﾏｲｺﾝ基盤ｶﾊﾞｰY</t>
  </si>
  <si>
    <t>PDRA上ふた完成TBL</t>
  </si>
  <si>
    <t>電源コードセット</t>
  </si>
  <si>
    <t>PDU-A40A個装箱</t>
  </si>
  <si>
    <t>WMS　取説</t>
  </si>
  <si>
    <t>WMS-22　個装箱</t>
  </si>
  <si>
    <t>WMS-30　個装箱</t>
  </si>
  <si>
    <t>WMS-40　個装箱</t>
  </si>
  <si>
    <t>WMS-22　カートン</t>
  </si>
  <si>
    <t>WMS-30　カートン</t>
  </si>
  <si>
    <t>WMS-40　カートン</t>
  </si>
  <si>
    <t>PDIA300内容器完成F2</t>
  </si>
  <si>
    <t>WMS上蓋セット</t>
  </si>
  <si>
    <t>PIGAフタ完成1KCS</t>
  </si>
  <si>
    <t>PTQAﾏｲｺﾝ基板$</t>
  </si>
  <si>
    <t>PTQAﾃﾞﾝｹﾞﾝK$</t>
  </si>
  <si>
    <t>PIKKS操作ﾊﾟﾈﾙSCU</t>
  </si>
  <si>
    <t>PDU+A30R個装箱</t>
  </si>
  <si>
    <t>PIPA220横断熱</t>
  </si>
  <si>
    <t>PDRAヒーター完成700</t>
  </si>
  <si>
    <t>PILT上枠WAX</t>
  </si>
  <si>
    <t>PILT上枠ｶﾊﾞｰWAX</t>
  </si>
  <si>
    <t>PILTｿｺWAX</t>
  </si>
  <si>
    <t>PILA取扱説明書5</t>
  </si>
  <si>
    <t>PILT操作ﾊﾟﾈﾙWAX</t>
  </si>
  <si>
    <t>PILT220WF　ｹｰｽ</t>
  </si>
  <si>
    <t>PILT220水量ｼｰﾄWAX</t>
  </si>
  <si>
    <t>PILT220WO　ｹｰｽ</t>
  </si>
  <si>
    <t>PIQA操作ﾊﾟﾈﾙKCS</t>
  </si>
  <si>
    <t>PDNAふたパッキン1</t>
  </si>
  <si>
    <t>PIPA300横断熱</t>
  </si>
  <si>
    <t>PIG-A30C内容器F4OKZC</t>
  </si>
  <si>
    <t>PIEAふた完成K1CS</t>
  </si>
  <si>
    <t>PIG-A40C ｶﾞﾗｽﾊﾟｲﾌﾟ完成ZC</t>
  </si>
  <si>
    <t>PIS-A22N(T)JAR POT</t>
  </si>
  <si>
    <t>PIS-A30N(T)JAR POT</t>
  </si>
  <si>
    <t>PILTｼﾀｸﾁ</t>
  </si>
  <si>
    <t>PILTｿｺ</t>
  </si>
  <si>
    <t>PILTﾒｲﾊﾞﾝ</t>
  </si>
  <si>
    <t>PISA300内容器完成F2OK</t>
  </si>
  <si>
    <t>PIGAﾍﾞﾛｰｽﾞ完成</t>
  </si>
  <si>
    <t>PIEA下板カバー</t>
  </si>
  <si>
    <t>PVWB取扱説明書Y1</t>
  </si>
  <si>
    <t>PDRS取扱説明書ZW</t>
  </si>
  <si>
    <t>PDRA上ふた完成C</t>
  </si>
  <si>
    <t>WXPﾋｰﾀｰｾｯﾄ</t>
  </si>
  <si>
    <t>PVW-B30W 内容器完成F1OKZC</t>
  </si>
  <si>
    <t>PIGA栓内フタ</t>
  </si>
  <si>
    <t>PVWAｾﾝｳﾁﾌﾀ</t>
  </si>
  <si>
    <t>PIS-A22N個装箱</t>
  </si>
  <si>
    <t>PIS-A30N個装箱</t>
  </si>
  <si>
    <t>PIL-T220個装箱</t>
  </si>
  <si>
    <t>PISA2取扱説明書</t>
  </si>
  <si>
    <t>PIKKS取扱説明書</t>
  </si>
  <si>
    <t>PIL-T220WF JANｼｰﾙ</t>
  </si>
  <si>
    <t>PIL-T220WO JANｼｰﾙ</t>
  </si>
  <si>
    <t>WMJ-30　ランプユニット</t>
  </si>
  <si>
    <t>WMZ(H)上蓋セット</t>
  </si>
  <si>
    <t>PDN-A400　上蓋完成CU</t>
  </si>
  <si>
    <t>PDDAふたﾊﾟｯｷﾝ</t>
  </si>
  <si>
    <t>PIK-KS22Kﾊｺ</t>
  </si>
  <si>
    <t>PIK-KS30Kﾊｺ</t>
  </si>
  <si>
    <t>PIW-A300Tﾊｺ</t>
  </si>
  <si>
    <t>PDIAﾍﾞｱﾘﾝｸﾞ1#</t>
  </si>
  <si>
    <t>PVWA上ふた完成ZCAC</t>
  </si>
  <si>
    <t>WVP上蓋ｾｯﾄ</t>
  </si>
  <si>
    <t>PIW-A220Tﾊｺ</t>
  </si>
  <si>
    <t>PIP-A221Rﾊｺ</t>
  </si>
  <si>
    <t>PIP-A301Rﾊｺ</t>
  </si>
  <si>
    <t>PIS-A221Tﾊｺ</t>
  </si>
  <si>
    <t>PIL-A300Tﾊｺ</t>
  </si>
  <si>
    <t>PIS-A PISA操作ﾊﾟﾈﾙKCS</t>
  </si>
  <si>
    <t>PTQAｿｺｾﾝｻPK　</t>
  </si>
  <si>
    <t>PTQA10 本体ケースKHM</t>
  </si>
  <si>
    <t>PTQA100温度ｾﾝｻｰ完成</t>
  </si>
  <si>
    <t>PVWBﾋｰﾀｰ完成700SPZS1</t>
  </si>
  <si>
    <t>PVWB底遮熱板1(ﾋｰﾀｰ押付)</t>
  </si>
  <si>
    <t>PVWB取扱説明書ZS</t>
  </si>
  <si>
    <t>PDJA口ﾊﾟｯｷﾝ</t>
  </si>
  <si>
    <t>PIQAふた完成2KCS</t>
  </si>
  <si>
    <t>PDR+S30RCX POPｼｰﾙ</t>
  </si>
  <si>
    <t>PVW+B30RCUX POPｼｰﾙ</t>
  </si>
  <si>
    <t>電源プレート完成HIY</t>
  </si>
  <si>
    <t>PIG-S300ﾌﾀ完成1KCS</t>
  </si>
  <si>
    <t>PDR-G221 PDRA上蓋完成WAX(WU)</t>
  </si>
  <si>
    <t>PIKA上フタ完成TAA</t>
  </si>
  <si>
    <t>PTQA10本体ケースHIY</t>
  </si>
  <si>
    <t>PTQA内容器完成1（ｼﾘｶ塗装空焚きｻｰﾓ有）</t>
  </si>
  <si>
    <t>WSFﾊﾞ4x12NIﾛｯｸ</t>
  </si>
  <si>
    <t>PVSAふたパッキン</t>
  </si>
  <si>
    <t>PDR-G300WU個装箱(JANｼｰﾙ付き)</t>
  </si>
  <si>
    <t>PIS-A301T個装箱</t>
  </si>
  <si>
    <t>PIEAﾌﾀ完成1KCS</t>
  </si>
  <si>
    <t>PVWBマイコン基盤カバーY</t>
  </si>
  <si>
    <t>PIG-J300K個装箱</t>
  </si>
  <si>
    <t>PIK-KS30K個装箱</t>
  </si>
  <si>
    <t>PIS-A22NT個装箱</t>
  </si>
  <si>
    <t>PIS-A30NT個装箱</t>
  </si>
  <si>
    <t>PDNA上ふた完成CU</t>
  </si>
  <si>
    <t>PIEAｽｲｯﾁﾘｰﾄﾞ1</t>
  </si>
  <si>
    <t>PISE6ﾌﾀUKCS</t>
  </si>
  <si>
    <t>PISGﾒｲﾊﾞﾝKKU</t>
  </si>
  <si>
    <t>PISGﾏｲｺﾝKU</t>
  </si>
  <si>
    <t>PISA300ｽｲﾘﾖｳｶﾊﾞ-3</t>
  </si>
  <si>
    <t>PISA220ｽｲﾘﾖｳｶﾊﾞ-1</t>
  </si>
  <si>
    <t>PISG300ｽｲﾘﾖｳｼ-ﾄKKV</t>
  </si>
  <si>
    <t>PISG220ｽｲﾘﾖｳｼ-ﾄKKV</t>
  </si>
  <si>
    <t>PISGﾃﾞﾝｹﾞﾝKU</t>
  </si>
  <si>
    <t>PISGﾄﾘｾﾂ</t>
  </si>
  <si>
    <t>PIPAﾌﾀWHT</t>
  </si>
  <si>
    <t>PIQAﾌﾀU2WAB</t>
  </si>
  <si>
    <t>PIQAﾌﾀWAB</t>
  </si>
  <si>
    <t>PIQAｶｲﾍｲﾚﾊﾞ-WAB</t>
  </si>
  <si>
    <t>PISAｶｲﾍｲﾚﾊﾞ-WHT</t>
  </si>
  <si>
    <t>PIGHﾒｲﾊﾞﾝKKT</t>
  </si>
  <si>
    <t>PIGHﾒﾆﾕ-ｼｰﾄDCG</t>
  </si>
  <si>
    <t>PIGHﾏｲｺﾝKU</t>
  </si>
  <si>
    <t>PIGHﾃﾞﾝｹﾞﾝK$</t>
  </si>
  <si>
    <t>PIGH300ｽｲﾘﾖｳｼ-ﾄSEL</t>
  </si>
  <si>
    <t>PIGHﾄﾘｾﾂ</t>
  </si>
  <si>
    <t>PIPAﾌﾀU1WHT</t>
  </si>
  <si>
    <t>PISGﾒｲﾊﾞﾝWJO</t>
  </si>
  <si>
    <t>PISAｳｴﾊﾟﾈﾙ1WHT</t>
  </si>
  <si>
    <t>PISAｼﾀｸﾁWAX</t>
  </si>
  <si>
    <t>PIBAﾋﾝｼﾞｶﾊﾞ-WAX</t>
  </si>
  <si>
    <t>PISA300ﾌﾟﾗC1WAX</t>
  </si>
  <si>
    <t>PISA220ﾏｴﾊﾟﾈﾙ1WHT</t>
  </si>
  <si>
    <t>PISA300ﾏｴﾊﾟﾈﾙ1WHT</t>
  </si>
  <si>
    <t>PIPG220ｽｲﾘﾖｳｼ-ﾄWJP</t>
  </si>
  <si>
    <t>PIPG300ｽｲﾘﾖｳｼ-ﾄWJP</t>
  </si>
  <si>
    <t>PIPGﾄﾘｾﾂ</t>
  </si>
  <si>
    <t>PIQGﾒｲﾊﾞﾝKCS</t>
  </si>
  <si>
    <t>PIQAｳｴﾊﾟﾈﾙWAB</t>
  </si>
  <si>
    <t>PIQGﾏｲｺﾝKU</t>
  </si>
  <si>
    <t>PIQAｼﾀｸﾁKCS</t>
  </si>
  <si>
    <t>PIQAﾋﾝｼﾞｶﾊﾞｰKCS</t>
  </si>
  <si>
    <t>PIQG220ｽｲﾘﾖｳｼｰﾄKCS</t>
  </si>
  <si>
    <t>PIQG220ｽｲﾘﾖｳｼｰﾄHKI</t>
  </si>
  <si>
    <t>PIQG300ｽｲﾖｳｼｰﾄKCS</t>
  </si>
  <si>
    <t>PIQG300ｽｲﾘﾖｳｼ-ﾄHKI</t>
  </si>
  <si>
    <t>PIQA220ﾏｴﾊﾟﾈﾙWAB</t>
  </si>
  <si>
    <t>PIQA300ﾏｴﾊﾟﾈﾙWAB</t>
  </si>
  <si>
    <t>PIQA220ﾌﾟﾗCKCS</t>
  </si>
  <si>
    <t>PIQGﾄﾘｾﾂ</t>
  </si>
  <si>
    <t>WVP-22内容器ヒーター付き</t>
  </si>
  <si>
    <t>WVP-30内容器ヒーター付き</t>
  </si>
  <si>
    <t>PIS-G220KE個装箱</t>
  </si>
  <si>
    <t>PIS-G300KE個装箱</t>
  </si>
  <si>
    <t>PIP-G220WE個装箱</t>
  </si>
  <si>
    <t>PIP-G300WE個装箱</t>
  </si>
  <si>
    <t>PIQ-G220WC個装箱</t>
  </si>
  <si>
    <t>PIQ-G300WC個装箱</t>
  </si>
  <si>
    <t>PDRCｺｰﾄﾞ$X1</t>
  </si>
  <si>
    <t>PDU-A30R　上蓋完成XKCS</t>
  </si>
  <si>
    <t>PTQA10本体ケースREW</t>
  </si>
  <si>
    <t>PDRA上ふた完成XTAA(c)</t>
  </si>
  <si>
    <t>PIGAふた完成ZCKCS</t>
  </si>
  <si>
    <t>PDR+C40RWX個装箱</t>
  </si>
  <si>
    <t>PDRCﾄﾘｾﾂX</t>
  </si>
  <si>
    <t>PVWA上ふた完成XCAC(CU)</t>
  </si>
  <si>
    <t>PIGJふた完成KCS</t>
  </si>
  <si>
    <t>PDRCﾒｲﾊﾞﾝXSEM</t>
  </si>
  <si>
    <t>PDRC40RｽｲﾘﾖｳｼｰﾄXSEM</t>
  </si>
  <si>
    <t>PDNA500水量シートCU</t>
  </si>
  <si>
    <t>PIEAフタ完成1KCS</t>
  </si>
  <si>
    <t>PIEA500内容器完成F30K</t>
  </si>
  <si>
    <t>PVWA上フタ完成KCS</t>
  </si>
  <si>
    <t>WSFバ4×12NIロック</t>
  </si>
  <si>
    <t>PDRA300スイッチリード1</t>
  </si>
  <si>
    <t>PDUA 温度ヒューズ完成 134ZC</t>
  </si>
  <si>
    <t>PIEA温度ヒューズ134ZC</t>
  </si>
  <si>
    <t>PDKA栓本体パッキン</t>
  </si>
  <si>
    <t>PTQA下口KHM</t>
  </si>
  <si>
    <t>PDNA500水量カバー</t>
  </si>
  <si>
    <t>PDRG1操作パネルWDK</t>
  </si>
  <si>
    <t>PDUA400水管完成</t>
  </si>
  <si>
    <t>PIGAふた完成Ｘ1KCS</t>
  </si>
  <si>
    <t>PTQA内容器完成１</t>
  </si>
  <si>
    <t>PDUAｼﾀｸﾁｶﾊﾞｰXKCS</t>
  </si>
  <si>
    <t>PIGAｼﾀｸﾁｶﾊﾞｰKCS</t>
  </si>
  <si>
    <t>PDNAﾃﾞﾝｹﾞﾝBOXｶﾊﾞｰY</t>
  </si>
  <si>
    <t>PDNAﾃﾞﾝｹﾞﾝBOXｶﾊﾞｰY1</t>
  </si>
  <si>
    <t>PDUA30ｽｲﾘｮｳｶﾊﾞｰX</t>
  </si>
  <si>
    <t>PDUA40ｽｲﾘｮｳｶﾊﾞｰX</t>
  </si>
  <si>
    <t>PDUA50ｽｲﾘｮｳｶﾊﾞｰX</t>
  </si>
  <si>
    <t>PDJS(PVW)300ｽｲﾘｮｳｶﾊﾞｰ</t>
  </si>
  <si>
    <t>PIGA300ｽｲﾘｮｳｶﾊﾞｰ</t>
  </si>
  <si>
    <t>PIEA500ｽｲﾘｮｳｶﾊﾞｰ</t>
  </si>
  <si>
    <t>PIGA40ｽｲﾘｮｳｶﾊﾞｰZC</t>
  </si>
  <si>
    <t>PIGA_LCDｶﾊﾞｰ</t>
  </si>
  <si>
    <t>PVWベローズU</t>
  </si>
  <si>
    <t>JPW-A100</t>
  </si>
  <si>
    <t>JPW+T10CﾎｳﾈﾂｲﾀS</t>
  </si>
  <si>
    <t>JPW+T18CﾎｳﾈﾂｲﾀM</t>
  </si>
  <si>
    <t>JRXTﾎｳﾈﾂｲﾀS</t>
  </si>
  <si>
    <t>JPW+G10Sホウネツイタ</t>
  </si>
  <si>
    <t>JRXTｽﾄｯﾊﾟｰﾎｷｮｳｲﾀC</t>
  </si>
  <si>
    <t>JRXTｽﾄｯﾊﾟｰC</t>
  </si>
  <si>
    <t>JPC-G18C(KG)ポリカバー</t>
  </si>
  <si>
    <t>JPC-G18R(KG)ポリカバー</t>
  </si>
  <si>
    <t>JPT-H18C(WG)ポリカバー</t>
  </si>
  <si>
    <t>JPT-H18R(WS)ポリカバー</t>
  </si>
  <si>
    <t>JPC-A180(KG)ポリカバー</t>
  </si>
  <si>
    <t>JPK18SCポリカバー</t>
  </si>
  <si>
    <t>PDN-A400</t>
  </si>
  <si>
    <t>PDN-A500</t>
  </si>
  <si>
    <t>PDR-G220</t>
  </si>
  <si>
    <t>PDR-G221</t>
  </si>
  <si>
    <t>PDR-G300</t>
  </si>
  <si>
    <t>PDR-G301</t>
  </si>
  <si>
    <t>PDR-G401</t>
  </si>
  <si>
    <t>PIE-A501</t>
  </si>
  <si>
    <t>PIL-A220</t>
  </si>
  <si>
    <t>PIL-A300</t>
  </si>
  <si>
    <t>PIL-T220</t>
  </si>
  <si>
    <t>PIP-22E6</t>
  </si>
  <si>
    <t>PIP-30E6</t>
  </si>
  <si>
    <t>PIS-22E6個装箱</t>
  </si>
  <si>
    <t>PIS-30E6</t>
  </si>
  <si>
    <t>PIS-A22N</t>
  </si>
  <si>
    <t>PIS-A30N</t>
  </si>
  <si>
    <t>PIW-A220</t>
  </si>
  <si>
    <t>PIW-A300</t>
  </si>
  <si>
    <t>PTQ-A100(KO)</t>
  </si>
  <si>
    <t>PTQ-A100(HS)</t>
  </si>
  <si>
    <t>PTQ-A100(RR)</t>
  </si>
  <si>
    <t>PDR+S30RCX</t>
  </si>
  <si>
    <t>PDR+S30RWU</t>
  </si>
  <si>
    <t>PDR+S30S</t>
  </si>
  <si>
    <t>PDR+S30W</t>
  </si>
  <si>
    <t>PDR+S40R</t>
  </si>
  <si>
    <t>PDR+S40S</t>
  </si>
  <si>
    <t>PDR+S40W</t>
  </si>
  <si>
    <t>PIE-A40R</t>
  </si>
  <si>
    <t>PIE-A50R</t>
  </si>
  <si>
    <t>PIG-A40R</t>
  </si>
  <si>
    <t>PDU+A30A</t>
  </si>
  <si>
    <t>PDU+A40A</t>
  </si>
  <si>
    <t>PDU+A50A</t>
  </si>
  <si>
    <t>PDU+A30R</t>
  </si>
  <si>
    <t>PDU+A40R</t>
  </si>
  <si>
    <t>PDU+A50R</t>
  </si>
  <si>
    <t>PDU+A30S</t>
  </si>
  <si>
    <t>PDU+A40S</t>
  </si>
  <si>
    <t>PDU+A50S</t>
  </si>
  <si>
    <t>PDU+A30U</t>
  </si>
  <si>
    <t>PDU+A40U</t>
  </si>
  <si>
    <t>PDU+A50U</t>
  </si>
  <si>
    <t>PDU+A40W</t>
  </si>
  <si>
    <t>PDU+A50W</t>
  </si>
  <si>
    <t>PDNAﾃﾞﾝｹﾞﾝBOXY1</t>
  </si>
  <si>
    <t>PIMJﾋ-ﾀ-700$ZC</t>
  </si>
  <si>
    <t>PIMJｾﾝｻ-ｻﾞｲﾀZC</t>
  </si>
  <si>
    <t>PDNAｲﾝﾚﾂﾄｶﾊﾞ-ZAKBR</t>
  </si>
  <si>
    <t>PIFAｱ-ｽﾘ-ﾄﾞ$ZS</t>
  </si>
  <si>
    <t>PDMAﾕｽﾃｼ-ﾙZC</t>
  </si>
  <si>
    <t>PDMAﾕｽﾃｼ-ﾙY</t>
  </si>
  <si>
    <t>PIMJﾀ-ﾐﾅﾙ$ZC</t>
  </si>
  <si>
    <t>PISG取扱説明書2</t>
  </si>
  <si>
    <t>PIFAｿｺｲﾀｶｹﾅｼZS$WAL</t>
  </si>
  <si>
    <t>客先コード</t>
    <rPh sb="0" eb="2">
      <t>キャクサキ</t>
    </rPh>
    <phoneticPr fontId="2"/>
  </si>
  <si>
    <t>JPW1079</t>
  </si>
  <si>
    <t>PIG1325</t>
  </si>
  <si>
    <t>PIQ1051</t>
  </si>
  <si>
    <t>PIS1000</t>
  </si>
  <si>
    <t>PIG1052</t>
  </si>
  <si>
    <t>PIG1282</t>
  </si>
  <si>
    <t>PIG1281</t>
  </si>
  <si>
    <t>PIG1279</t>
  </si>
  <si>
    <t>PIS1073</t>
  </si>
  <si>
    <t>PIS1072</t>
  </si>
  <si>
    <t>PIB1080</t>
  </si>
  <si>
    <t>PIB1081</t>
  </si>
  <si>
    <t>PIQ1021</t>
  </si>
  <si>
    <t>PIS1078</t>
  </si>
  <si>
    <t>PIP1034</t>
  </si>
  <si>
    <t>PIQ1024</t>
  </si>
  <si>
    <t>PIQ1025</t>
  </si>
  <si>
    <t>PIQ1019</t>
  </si>
  <si>
    <t>PDU1215</t>
  </si>
  <si>
    <t>PIQ1018</t>
  </si>
  <si>
    <t>PIQ1032</t>
  </si>
  <si>
    <t>PIQ1015</t>
  </si>
  <si>
    <t>PIQ1028</t>
  </si>
  <si>
    <t>PIQ1017</t>
  </si>
  <si>
    <t>PIQ1029</t>
  </si>
  <si>
    <t>PIQ1037</t>
  </si>
  <si>
    <t>PIQ1006</t>
  </si>
  <si>
    <t>PIQ1007</t>
  </si>
  <si>
    <t>PIQ1038</t>
  </si>
  <si>
    <t>PIQ1033</t>
  </si>
  <si>
    <t>PIQ1065</t>
  </si>
  <si>
    <t>PDR1022</t>
  </si>
  <si>
    <t>PDR1013</t>
  </si>
  <si>
    <t>PDN1064</t>
  </si>
  <si>
    <t>PIG1002</t>
  </si>
  <si>
    <t>PIS1049</t>
  </si>
  <si>
    <t>PTQ1145</t>
  </si>
  <si>
    <t>PTQ1146</t>
  </si>
  <si>
    <t>PDI1138</t>
  </si>
  <si>
    <t>PVH9000</t>
  </si>
  <si>
    <t>PIG1252</t>
  </si>
  <si>
    <t>PIG1247</t>
  </si>
  <si>
    <t>PIG1010</t>
  </si>
  <si>
    <t>PIP1025</t>
  </si>
  <si>
    <t>PIW1015</t>
  </si>
  <si>
    <t>PTQ1032</t>
  </si>
  <si>
    <t>PTQ1046</t>
  </si>
  <si>
    <t>PVW1266</t>
  </si>
  <si>
    <t>PDU1113</t>
  </si>
  <si>
    <t>PDU1151</t>
  </si>
  <si>
    <t>PIG1015</t>
  </si>
  <si>
    <t>PDR1288</t>
  </si>
  <si>
    <t>PDR1230</t>
  </si>
  <si>
    <t>PDR1231</t>
  </si>
  <si>
    <t>PDA1090</t>
  </si>
  <si>
    <t>PIE1181</t>
  </si>
  <si>
    <t>PIQ1105</t>
  </si>
  <si>
    <t>PIQ1106</t>
  </si>
  <si>
    <t>PIQ1107</t>
  </si>
  <si>
    <t>PIQ1104</t>
  </si>
  <si>
    <t>PIQ1067</t>
  </si>
  <si>
    <t>PTQ1154</t>
  </si>
  <si>
    <t>PDR1290</t>
  </si>
  <si>
    <t>PDE4427</t>
  </si>
  <si>
    <t>PDR1295</t>
  </si>
  <si>
    <t>PDR1280</t>
  </si>
  <si>
    <t>PDR1296</t>
  </si>
  <si>
    <t>PDR1278</t>
  </si>
  <si>
    <t>PDR1155</t>
  </si>
  <si>
    <t>PIE1182</t>
  </si>
  <si>
    <t>PIS1117</t>
  </si>
  <si>
    <t>PIS1173</t>
  </si>
  <si>
    <t>PIS1143</t>
  </si>
  <si>
    <t>PTQ1110</t>
  </si>
  <si>
    <t>PDU1347</t>
  </si>
  <si>
    <t>PVV1006</t>
  </si>
  <si>
    <t>PDR1040</t>
  </si>
  <si>
    <t>PIK1020</t>
  </si>
  <si>
    <t>PDR1302</t>
  </si>
  <si>
    <t>PIE1204</t>
  </si>
  <si>
    <t>PIP1011</t>
  </si>
  <si>
    <t>PVW1122</t>
  </si>
  <si>
    <t>PIE1185</t>
  </si>
  <si>
    <t>PIS1126</t>
  </si>
  <si>
    <t>PIQ1097</t>
  </si>
  <si>
    <t>PIG1107</t>
  </si>
  <si>
    <t>PVW1145</t>
  </si>
  <si>
    <t>PDU1158</t>
  </si>
  <si>
    <t>PDI1169</t>
  </si>
  <si>
    <t>PIG1249</t>
  </si>
  <si>
    <t>PIK1042</t>
  </si>
  <si>
    <t>PDU1319</t>
  </si>
  <si>
    <t>PDR1002</t>
  </si>
  <si>
    <t>PDJ1189</t>
  </si>
  <si>
    <t>PDJ1190</t>
  </si>
  <si>
    <t>PDJ1191</t>
  </si>
  <si>
    <t>PIL1023</t>
  </si>
  <si>
    <t>PIL1026</t>
  </si>
  <si>
    <t>PIL1027</t>
  </si>
  <si>
    <t>PIL1028</t>
  </si>
  <si>
    <t>PIL1029</t>
  </si>
  <si>
    <t>PDN1167</t>
  </si>
  <si>
    <t>PIP1012</t>
  </si>
  <si>
    <t>PIG1296</t>
  </si>
  <si>
    <t>PIG1146</t>
  </si>
  <si>
    <t>PIS1127</t>
  </si>
  <si>
    <t>PIG1047</t>
  </si>
  <si>
    <t>PIE1024</t>
  </si>
  <si>
    <t>PVW1253</t>
  </si>
  <si>
    <t>PDR1107</t>
  </si>
  <si>
    <t>PDR1039</t>
  </si>
  <si>
    <t>PIG1039</t>
  </si>
  <si>
    <t>PVW1013</t>
  </si>
  <si>
    <t>PIS1138</t>
  </si>
  <si>
    <t>PIS1140</t>
  </si>
  <si>
    <t>PIL1022</t>
  </si>
  <si>
    <t>PIS1137</t>
  </si>
  <si>
    <t>PIK1034</t>
  </si>
  <si>
    <t>PDI1170</t>
  </si>
  <si>
    <t>PTQ1070</t>
  </si>
  <si>
    <t>PTQ1147</t>
  </si>
  <si>
    <t>PVW1275</t>
  </si>
  <si>
    <t>PVW1229</t>
  </si>
  <si>
    <t>PVW1103</t>
  </si>
  <si>
    <t>PDJ1183</t>
  </si>
  <si>
    <t>PIQ1050</t>
  </si>
  <si>
    <t>PTQ1132</t>
  </si>
  <si>
    <t>PTQ1103</t>
  </si>
  <si>
    <t>WSF2262</t>
  </si>
  <si>
    <t>PVS1026</t>
  </si>
  <si>
    <t>PIS1159</t>
  </si>
  <si>
    <t>PIS1168</t>
  </si>
  <si>
    <t>PIS1142</t>
  </si>
  <si>
    <t>PIS1148</t>
  </si>
  <si>
    <t>PIS1147</t>
  </si>
  <si>
    <t>PIS1170</t>
  </si>
  <si>
    <t>PIS1169</t>
  </si>
  <si>
    <t>PIS1144</t>
  </si>
  <si>
    <t>PIP1039</t>
  </si>
  <si>
    <t>PIQ1073</t>
  </si>
  <si>
    <t>PIQ1074</t>
  </si>
  <si>
    <t>PIQ1075</t>
  </si>
  <si>
    <t>PIS1150</t>
  </si>
  <si>
    <t>PIG1326</t>
  </si>
  <si>
    <t>PIG1327</t>
  </si>
  <si>
    <t>PIG1318</t>
  </si>
  <si>
    <t>PIG1319</t>
  </si>
  <si>
    <t>PIG1328</t>
  </si>
  <si>
    <t>PIG1320</t>
  </si>
  <si>
    <t>PIP1038</t>
  </si>
  <si>
    <t>PIS1171</t>
  </si>
  <si>
    <t>PIS1154</t>
  </si>
  <si>
    <t>PIS1152</t>
  </si>
  <si>
    <t>PIB1093</t>
  </si>
  <si>
    <t>PIS1158</t>
  </si>
  <si>
    <t>PIS1155</t>
  </si>
  <si>
    <t>PIS1157</t>
  </si>
  <si>
    <t>PIP1046</t>
  </si>
  <si>
    <t>PIP1048</t>
  </si>
  <si>
    <t>PIP1035</t>
  </si>
  <si>
    <t>PIQ1085</t>
  </si>
  <si>
    <t>PIQ1078</t>
  </si>
  <si>
    <t>PIQ1066</t>
  </si>
  <si>
    <t>PIQ1083</t>
  </si>
  <si>
    <t>PIQ1084</t>
  </si>
  <si>
    <t>PIQ1088</t>
  </si>
  <si>
    <t>PIQ1098</t>
  </si>
  <si>
    <t>PIQ1095</t>
  </si>
  <si>
    <t>PIQ1101</t>
  </si>
  <si>
    <t>PIQ1077</t>
  </si>
  <si>
    <t>PIQ1090</t>
  </si>
  <si>
    <t>PIQ1086</t>
  </si>
  <si>
    <t>PIQ1068</t>
  </si>
  <si>
    <t>PDU1318</t>
  </si>
  <si>
    <t>PDU1146</t>
  </si>
  <si>
    <t>PTQ1089</t>
  </si>
  <si>
    <t>PIG1250</t>
  </si>
  <si>
    <t>PDR1265</t>
  </si>
  <si>
    <t>PDR1262</t>
  </si>
  <si>
    <t>PVW1134</t>
  </si>
  <si>
    <t>PIG1284</t>
  </si>
  <si>
    <t>PDR1263</t>
  </si>
  <si>
    <t>PDR1264</t>
  </si>
  <si>
    <t>PDN1079</t>
  </si>
  <si>
    <t>PVW1225</t>
  </si>
  <si>
    <t>PDR1241</t>
  </si>
  <si>
    <t>PDU1121</t>
  </si>
  <si>
    <t>PIE1113</t>
  </si>
  <si>
    <t>PDK1026</t>
  </si>
  <si>
    <t>PTQ1069</t>
  </si>
  <si>
    <t>PDN1056</t>
  </si>
  <si>
    <t>PDR1176</t>
  </si>
  <si>
    <t>PDU1205</t>
  </si>
  <si>
    <t>PIG1251</t>
  </si>
  <si>
    <t>PIG1090</t>
  </si>
  <si>
    <t>PDN1404</t>
  </si>
  <si>
    <t>PIG1079</t>
  </si>
  <si>
    <t>PIE1005</t>
  </si>
  <si>
    <t>PIG1170</t>
  </si>
  <si>
    <t>PIG1004</t>
  </si>
  <si>
    <t>PVW1021</t>
  </si>
  <si>
    <t>JPW1012</t>
  </si>
  <si>
    <t>JPW1219</t>
  </si>
  <si>
    <t>JRX1027</t>
  </si>
  <si>
    <t>JPW1559</t>
  </si>
  <si>
    <t>JRX1116</t>
  </si>
  <si>
    <t>JRX1122</t>
  </si>
  <si>
    <t>JRX1139</t>
  </si>
  <si>
    <t>JPC2255</t>
  </si>
  <si>
    <t>JPC2265</t>
  </si>
  <si>
    <t>JPC2292</t>
  </si>
  <si>
    <t>JPC2293</t>
  </si>
  <si>
    <t>PDU1379</t>
  </si>
  <si>
    <t>PDN1405</t>
  </si>
  <si>
    <t>PIM1116</t>
  </si>
  <si>
    <t>PIM1173</t>
  </si>
  <si>
    <t>PDN1233</t>
  </si>
  <si>
    <t>PIF1026</t>
  </si>
  <si>
    <t>PDM1065</t>
  </si>
  <si>
    <t>PDM1063</t>
  </si>
  <si>
    <t>PIM1117</t>
  </si>
  <si>
    <t>PIS1174</t>
  </si>
  <si>
    <t>PIF1076</t>
  </si>
  <si>
    <t>確認願</t>
    <rPh sb="0" eb="2">
      <t>カクニン</t>
    </rPh>
    <rPh sb="2" eb="3">
      <t>ネガ</t>
    </rPh>
    <phoneticPr fontId="2"/>
  </si>
  <si>
    <t>評価アップデータファイルパス</t>
  </si>
  <si>
    <t>品名</t>
    <rPh sb="0" eb="2">
      <t>ヒンメイ</t>
    </rPh>
    <phoneticPr fontId="2"/>
  </si>
  <si>
    <t>気高コード</t>
    <rPh sb="0" eb="2">
      <t>ケタカ</t>
    </rPh>
    <phoneticPr fontId="2"/>
  </si>
  <si>
    <t>備考</t>
    <rPh sb="0" eb="2">
      <t>ビコウ</t>
    </rPh>
    <phoneticPr fontId="2"/>
  </si>
  <si>
    <t>科目</t>
    <rPh sb="0" eb="2">
      <t>カモク</t>
    </rPh>
    <phoneticPr fontId="2"/>
  </si>
  <si>
    <t>その他</t>
    <rPh sb="2" eb="3">
      <t>タ</t>
    </rPh>
    <phoneticPr fontId="2"/>
  </si>
  <si>
    <t>0110222542</t>
  </si>
  <si>
    <t>0110240544</t>
  </si>
  <si>
    <t>2PC14600</t>
  </si>
  <si>
    <t>0110230543</t>
  </si>
  <si>
    <t>0110222545</t>
  </si>
  <si>
    <t>0110230547</t>
  </si>
  <si>
    <t>0110240549</t>
  </si>
  <si>
    <t>2PC14700</t>
  </si>
  <si>
    <t>2PC14603</t>
  </si>
  <si>
    <t>2PC14601</t>
  </si>
  <si>
    <t>2PC14701</t>
  </si>
  <si>
    <t>2PC13705</t>
  </si>
  <si>
    <t>2PC13805</t>
  </si>
  <si>
    <t>2PC13702</t>
  </si>
  <si>
    <t>2PC13802</t>
  </si>
  <si>
    <t>2PC13902</t>
  </si>
  <si>
    <t>2PC13703</t>
  </si>
  <si>
    <t>2PC13803</t>
  </si>
  <si>
    <t>2PC14602</t>
  </si>
  <si>
    <t>2PC13704</t>
  </si>
  <si>
    <t>2PC13804</t>
  </si>
  <si>
    <t>2PC13700</t>
  </si>
  <si>
    <t>2PC13800</t>
  </si>
  <si>
    <t>2PC13900</t>
  </si>
  <si>
    <t>2PC14000</t>
  </si>
  <si>
    <t>2PC14100</t>
  </si>
  <si>
    <t>2PC14200</t>
  </si>
  <si>
    <t>2PC13903</t>
  </si>
  <si>
    <t>WMJ-22 W</t>
  </si>
  <si>
    <t>WMJ-30 W</t>
  </si>
  <si>
    <t>WMJ-40 W</t>
  </si>
  <si>
    <t>WMZ-22 H</t>
  </si>
  <si>
    <t>WMZ-30 H</t>
  </si>
  <si>
    <t>WMZ-40 H</t>
  </si>
  <si>
    <t>WVP-22 W</t>
  </si>
  <si>
    <t>WVP-30 W</t>
  </si>
  <si>
    <t>WVP-22 WA</t>
  </si>
  <si>
    <t>WZP-22 W</t>
  </si>
  <si>
    <t>WZP-30 W</t>
  </si>
  <si>
    <t>HC-EP22 WH</t>
  </si>
  <si>
    <t>HC-EP30 WH</t>
  </si>
  <si>
    <t>WMJ-22 WA</t>
  </si>
  <si>
    <t>WMJ-30 WA</t>
  </si>
  <si>
    <t>WMJ-40 WA</t>
  </si>
  <si>
    <t>WM-22 B</t>
  </si>
  <si>
    <t>WM-30 B</t>
  </si>
  <si>
    <t>WV-22 B</t>
  </si>
  <si>
    <t>WMS-22 HL</t>
  </si>
  <si>
    <t>WMS-30 HL</t>
  </si>
  <si>
    <t>WMS-40 HL</t>
  </si>
  <si>
    <t>3PC137A00100</t>
  </si>
  <si>
    <t>WMJ0000323</t>
  </si>
  <si>
    <t>WXP0000801</t>
  </si>
  <si>
    <t>WXP0000802</t>
  </si>
  <si>
    <t>WZP0000403</t>
  </si>
  <si>
    <t>WMG0000704</t>
  </si>
  <si>
    <t>WMJ0000403</t>
  </si>
  <si>
    <t>3PC140K01000</t>
  </si>
  <si>
    <t>3PC140K01200</t>
  </si>
  <si>
    <t>3PC146K00110</t>
  </si>
  <si>
    <t>3PC146K00310</t>
  </si>
  <si>
    <t>3PC126A00300</t>
  </si>
  <si>
    <t>3PC139K00201</t>
  </si>
  <si>
    <t>WMJ 上蓋セット</t>
    <rPh sb="4" eb="6">
      <t>ウワブタ</t>
    </rPh>
    <phoneticPr fontId="3"/>
  </si>
  <si>
    <t>WMZ-22化粧箱</t>
  </si>
  <si>
    <t>WMZ-22カートン</t>
  </si>
  <si>
    <t>WZP-22化粧箱</t>
  </si>
  <si>
    <t>WZP-22カートン</t>
  </si>
  <si>
    <t>WMJ-30 内容器ヒーター付</t>
  </si>
  <si>
    <t>電源ｺｰﾄﾞｾｯﾄ</t>
  </si>
  <si>
    <t>WMJ-40化粧箱</t>
  </si>
  <si>
    <t>対象</t>
    <rPh sb="0" eb="2">
      <t>タイショウ</t>
    </rPh>
    <phoneticPr fontId="2"/>
  </si>
  <si>
    <t>B0600</t>
  </si>
  <si>
    <t>9121</t>
  </si>
  <si>
    <t>8033</t>
  </si>
  <si>
    <t>B0010</t>
  </si>
  <si>
    <t>OSAKA</t>
  </si>
  <si>
    <t>FUZILOGIX</t>
  </si>
  <si>
    <t>（輸入）営業データ入力依頼書</t>
    <rPh sb="1" eb="3">
      <t>ユニュウ</t>
    </rPh>
    <rPh sb="4" eb="6">
      <t>エイギョウ</t>
    </rPh>
    <rPh sb="9" eb="14">
      <t>ニュウリョクイライショ</t>
    </rPh>
    <phoneticPr fontId="38"/>
  </si>
  <si>
    <t>受付日</t>
    <rPh sb="0" eb="3">
      <t>ウケツケビ</t>
    </rPh>
    <phoneticPr fontId="38"/>
  </si>
  <si>
    <t>ID</t>
    <phoneticPr fontId="38"/>
  </si>
  <si>
    <t>組織コード(KI)</t>
    <rPh sb="0" eb="2">
      <t>ソシキ</t>
    </rPh>
    <phoneticPr fontId="38"/>
  </si>
  <si>
    <t>通関地</t>
    <rPh sb="0" eb="3">
      <t>ツウカンチ</t>
    </rPh>
    <phoneticPr fontId="38"/>
  </si>
  <si>
    <t>　1.神戸　2.大阪　3.名古屋　4.横浜　5.東京　6.境港　7.門司　8.博多　9.その他</t>
    <rPh sb="3" eb="5">
      <t>コウベ</t>
    </rPh>
    <rPh sb="8" eb="10">
      <t>オオサカ</t>
    </rPh>
    <rPh sb="13" eb="16">
      <t>ナゴヤ</t>
    </rPh>
    <rPh sb="19" eb="21">
      <t>ヨコハマ</t>
    </rPh>
    <rPh sb="24" eb="26">
      <t>トウキョウ</t>
    </rPh>
    <rPh sb="29" eb="31">
      <t>サカイミナト</t>
    </rPh>
    <rPh sb="34" eb="36">
      <t>モジ</t>
    </rPh>
    <rPh sb="39" eb="41">
      <t>ハカタ</t>
    </rPh>
    <rPh sb="46" eb="47">
      <t>タ</t>
    </rPh>
    <phoneticPr fontId="38"/>
  </si>
  <si>
    <t>通関指示</t>
    <rPh sb="0" eb="4">
      <t>ツウカンシジ</t>
    </rPh>
    <phoneticPr fontId="38"/>
  </si>
  <si>
    <t>　1.申告する　2.申告保留</t>
    <rPh sb="3" eb="5">
      <t>シンコク</t>
    </rPh>
    <rPh sb="10" eb="14">
      <t>シンコクホリュウ</t>
    </rPh>
    <phoneticPr fontId="38"/>
  </si>
  <si>
    <t>荷主</t>
    <rPh sb="0" eb="2">
      <t>ニヌシ</t>
    </rPh>
    <phoneticPr fontId="38"/>
  </si>
  <si>
    <t>　気高電機株式会社</t>
    <rPh sb="1" eb="5">
      <t>ケタカデンキ</t>
    </rPh>
    <rPh sb="5" eb="9">
      <t>カブシキガイシャ</t>
    </rPh>
    <phoneticPr fontId="38"/>
  </si>
  <si>
    <t>荷主TEL</t>
    <rPh sb="0" eb="2">
      <t>ニヌシ</t>
    </rPh>
    <phoneticPr fontId="38"/>
  </si>
  <si>
    <t>0857-82-0912</t>
    <phoneticPr fontId="38"/>
  </si>
  <si>
    <t>(コード：K537)</t>
    <phoneticPr fontId="38"/>
  </si>
  <si>
    <t>荷主担当</t>
    <rPh sb="0" eb="4">
      <t>ニヌシタントウ</t>
    </rPh>
    <phoneticPr fontId="38"/>
  </si>
  <si>
    <t>請求書</t>
    <rPh sb="0" eb="3">
      <t>セイキュウショ</t>
    </rPh>
    <phoneticPr fontId="38"/>
  </si>
  <si>
    <t>REF No.</t>
    <phoneticPr fontId="38"/>
  </si>
  <si>
    <t>INVOICE No</t>
    <phoneticPr fontId="38"/>
  </si>
  <si>
    <t>通関　免許希望日（　　月　　日）</t>
    <rPh sb="0" eb="2">
      <t>ツウカン</t>
    </rPh>
    <rPh sb="3" eb="5">
      <t>メンキョ</t>
    </rPh>
    <rPh sb="5" eb="8">
      <t>キボウビ</t>
    </rPh>
    <rPh sb="11" eb="12">
      <t>ガツ</t>
    </rPh>
    <rPh sb="14" eb="15">
      <t>ニチ</t>
    </rPh>
    <phoneticPr fontId="38"/>
  </si>
  <si>
    <t>入港予定日</t>
    <rPh sb="0" eb="5">
      <t>ニュウコウヨテイビ</t>
    </rPh>
    <phoneticPr fontId="38"/>
  </si>
  <si>
    <t>INV明細</t>
    <rPh sb="3" eb="5">
      <t>メイサイ</t>
    </rPh>
    <phoneticPr fontId="38"/>
  </si>
  <si>
    <t>FOB</t>
    <phoneticPr fontId="38"/>
  </si>
  <si>
    <t>　建値（　PIF　C&amp;F　C&amp;I　FOB　EX-WORK　）</t>
    <rPh sb="1" eb="3">
      <t>タテネ</t>
    </rPh>
    <phoneticPr fontId="38"/>
  </si>
  <si>
    <t>特恵</t>
    <rPh sb="0" eb="1">
      <t>トク</t>
    </rPh>
    <rPh sb="1" eb="2">
      <t>エ</t>
    </rPh>
    <phoneticPr fontId="38"/>
  </si>
  <si>
    <t>　0.無　1.有（　①GPS有　②GPS欠　）</t>
    <rPh sb="3" eb="4">
      <t>ナ</t>
    </rPh>
    <rPh sb="7" eb="8">
      <t>ア</t>
    </rPh>
    <rPh sb="14" eb="15">
      <t>アリ</t>
    </rPh>
    <rPh sb="20" eb="21">
      <t>カ</t>
    </rPh>
    <phoneticPr fontId="38"/>
  </si>
  <si>
    <t>評価</t>
    <rPh sb="0" eb="2">
      <t>ヒョウカ</t>
    </rPh>
    <phoneticPr fontId="38"/>
  </si>
  <si>
    <t>　0.無　1.個別　2.包括（No.　　-　　-　　）3.個別+包括</t>
    <rPh sb="3" eb="4">
      <t>ナシ</t>
    </rPh>
    <rPh sb="7" eb="9">
      <t>コベツ</t>
    </rPh>
    <rPh sb="12" eb="14">
      <t>ホウカツ</t>
    </rPh>
    <rPh sb="29" eb="31">
      <t>コベツ</t>
    </rPh>
    <rPh sb="32" eb="34">
      <t>ホウカツ</t>
    </rPh>
    <phoneticPr fontId="38"/>
  </si>
  <si>
    <t>他法令</t>
    <rPh sb="0" eb="3">
      <t>タホウレイ</t>
    </rPh>
    <phoneticPr fontId="38"/>
  </si>
  <si>
    <t>　0.無　1.食品　2.植検　3.動検　4.薬事</t>
    <rPh sb="3" eb="4">
      <t>ナ</t>
    </rPh>
    <rPh sb="7" eb="9">
      <t>ショクヒン</t>
    </rPh>
    <rPh sb="12" eb="14">
      <t>ショクケン</t>
    </rPh>
    <rPh sb="17" eb="19">
      <t>ドウケン</t>
    </rPh>
    <rPh sb="22" eb="24">
      <t>ヤクジ</t>
    </rPh>
    <phoneticPr fontId="38"/>
  </si>
  <si>
    <t>通関場所</t>
    <rPh sb="0" eb="4">
      <t>ツウカンバショ</t>
    </rPh>
    <phoneticPr fontId="38"/>
  </si>
  <si>
    <t>　1.CY通関　2.CFS通関　3.移動後通関　4.他</t>
    <rPh sb="5" eb="7">
      <t>ツウカン</t>
    </rPh>
    <rPh sb="13" eb="15">
      <t>ツウカン</t>
    </rPh>
    <rPh sb="18" eb="23">
      <t>イドウゴツウカン</t>
    </rPh>
    <rPh sb="26" eb="27">
      <t>ホカ</t>
    </rPh>
    <phoneticPr fontId="38"/>
  </si>
  <si>
    <t>移動形態</t>
    <rPh sb="0" eb="2">
      <t>イドウ</t>
    </rPh>
    <rPh sb="2" eb="4">
      <t>ケイタイ</t>
    </rPh>
    <phoneticPr fontId="38"/>
  </si>
  <si>
    <t>×</t>
    <phoneticPr fontId="38"/>
  </si>
  <si>
    <t>　1.保税運送　2.内貨移動　3.デバン即トラック積</t>
    <rPh sb="3" eb="7">
      <t>ホゼイウンソウ</t>
    </rPh>
    <rPh sb="10" eb="12">
      <t>ナイカ</t>
    </rPh>
    <rPh sb="12" eb="14">
      <t>イドウ</t>
    </rPh>
    <rPh sb="20" eb="21">
      <t>ソク</t>
    </rPh>
    <rPh sb="25" eb="26">
      <t>ツミ</t>
    </rPh>
    <phoneticPr fontId="38"/>
  </si>
  <si>
    <t>関税</t>
    <rPh sb="0" eb="2">
      <t>カンゼイ</t>
    </rPh>
    <phoneticPr fontId="38"/>
  </si>
  <si>
    <t>　1.包括保険　2.個別延納　3.リアルタイム口座</t>
    <rPh sb="3" eb="7">
      <t>ホウカツホケン</t>
    </rPh>
    <rPh sb="10" eb="12">
      <t>コベツ</t>
    </rPh>
    <rPh sb="12" eb="14">
      <t>エンノウ</t>
    </rPh>
    <rPh sb="23" eb="25">
      <t>コウザ</t>
    </rPh>
    <phoneticPr fontId="38"/>
  </si>
  <si>
    <t>海上保険</t>
    <rPh sb="0" eb="4">
      <t>カイジョウホケン</t>
    </rPh>
    <phoneticPr fontId="38"/>
  </si>
  <si>
    <t>　1.付保せず　2.添付　3.不要　4.後送　5.ソーラー　6.包括保険</t>
    <rPh sb="3" eb="5">
      <t>フホ</t>
    </rPh>
    <rPh sb="10" eb="12">
      <t>テンプ</t>
    </rPh>
    <rPh sb="15" eb="17">
      <t>フヨウ</t>
    </rPh>
    <rPh sb="20" eb="21">
      <t>ゴ</t>
    </rPh>
    <rPh sb="21" eb="22">
      <t>ソウ</t>
    </rPh>
    <rPh sb="32" eb="34">
      <t>ホウカツ</t>
    </rPh>
    <rPh sb="34" eb="36">
      <t>ホケン</t>
    </rPh>
    <phoneticPr fontId="38"/>
  </si>
  <si>
    <t>B/L</t>
    <phoneticPr fontId="38"/>
  </si>
  <si>
    <t xml:space="preserve">　1.添付　2.手配中　3.元地回収　4.包括 L/G </t>
    <rPh sb="3" eb="5">
      <t>テンプ</t>
    </rPh>
    <rPh sb="8" eb="11">
      <t>テハイチュウ</t>
    </rPh>
    <rPh sb="14" eb="18">
      <t>モトチカイシュウ</t>
    </rPh>
    <rPh sb="21" eb="23">
      <t>ホウカツ</t>
    </rPh>
    <phoneticPr fontId="38"/>
  </si>
  <si>
    <t>納入先No</t>
    <rPh sb="0" eb="3">
      <t>ノウニュウサキ</t>
    </rPh>
    <phoneticPr fontId="38"/>
  </si>
  <si>
    <t>出荷先</t>
    <rPh sb="0" eb="3">
      <t>シュッカサキ</t>
    </rPh>
    <phoneticPr fontId="38"/>
  </si>
  <si>
    <t>コンテナNo</t>
    <phoneticPr fontId="38"/>
  </si>
  <si>
    <t>20'/40'</t>
    <phoneticPr fontId="38"/>
  </si>
  <si>
    <t>納入日</t>
    <rPh sb="0" eb="3">
      <t>ノウニュウビ</t>
    </rPh>
    <phoneticPr fontId="38"/>
  </si>
  <si>
    <t>曜日</t>
    <rPh sb="0" eb="2">
      <t>ヨウビ</t>
    </rPh>
    <phoneticPr fontId="38"/>
  </si>
  <si>
    <t>時間</t>
    <rPh sb="0" eb="2">
      <t>ジカン</t>
    </rPh>
    <phoneticPr fontId="38"/>
  </si>
  <si>
    <t>特記事項</t>
    <rPh sb="0" eb="4">
      <t>トッキジコウ</t>
    </rPh>
    <phoneticPr fontId="38"/>
  </si>
  <si>
    <t>評価UP：</t>
    <rPh sb="0" eb="2">
      <t>ヒョウカ</t>
    </rPh>
    <phoneticPr fontId="38"/>
  </si>
  <si>
    <t>HKD</t>
    <phoneticPr fontId="38"/>
  </si>
  <si>
    <t>TRADIA</t>
  </si>
  <si>
    <t>【INVOICE自動処理システム 設定シート】</t>
  </si>
  <si>
    <t>設定項目</t>
  </si>
  <si>
    <t>設定値</t>
  </si>
  <si>
    <t>説明</t>
  </si>
  <si>
    <t>元データ保存先フォルダ</t>
  </si>
  <si>
    <t>L:\004-商品部業務Ｇ\KEN-CORP\輸入書類\元データ保存先</t>
  </si>
  <si>
    <t>AQSS04L/05Lファイル配置場所</t>
  </si>
  <si>
    <t>タイガー保存先</t>
  </si>
  <si>
    <t>L:\004-商品部業務Ｇ\KEN-CORP\輸入書類\タイガー</t>
  </si>
  <si>
    <t>タイガー向け資料保存先</t>
  </si>
  <si>
    <t>ピーコック保存先</t>
  </si>
  <si>
    <t>L:\004-商品部業務Ｇ\KEN-CORP\輸入書類\ピーコック</t>
  </si>
  <si>
    <t>ピーコック向け資料保存先</t>
  </si>
  <si>
    <t>気高保存先</t>
  </si>
  <si>
    <t>L:\004-商品部業務Ｇ\KEN-CORP\輸入書類\気高</t>
  </si>
  <si>
    <t>気高向け資料保存先</t>
  </si>
  <si>
    <t>ヤーマン保存先</t>
  </si>
  <si>
    <t>L:\004-商品部業務Ｇ\KEN-CORP\輸入書類\ヤーマン</t>
  </si>
  <si>
    <t>ヤーマン向け資料保存先</t>
  </si>
  <si>
    <t>インストンファイルパス</t>
  </si>
  <si>
    <t>K:\100_公開情報\004_商品部業務Ｇ\森原\輸出業務\インストン.xlsx</t>
  </si>
  <si>
    <t>インストン管理ファイル</t>
  </si>
  <si>
    <t>ピーコック納入日取得用</t>
  </si>
  <si>
    <t>確認願Word雛形</t>
  </si>
  <si>
    <t>K:\100_公開情報\004_商品部業務Ｇ\森原\輸出業務\評価UPデータ.xlsx</t>
  </si>
  <si>
    <t>評価UP判定用データ</t>
  </si>
  <si>
    <t>客先別担当</t>
  </si>
  <si>
    <t>気高,ヤーマン</t>
  </si>
  <si>
    <t>タイガー,ピーコック</t>
  </si>
  <si>
    <t>判定コード</t>
  </si>
  <si>
    <t>T</t>
  </si>
  <si>
    <t>タイガー向け</t>
  </si>
  <si>
    <t>K,P,Q</t>
  </si>
  <si>
    <t>気高/ピーコック/ヤーマン向け</t>
  </si>
  <si>
    <t>予備</t>
  </si>
  <si>
    <t>■ 納入先リスト</t>
  </si>
  <si>
    <t>納入先番号</t>
  </si>
  <si>
    <t>気高</t>
  </si>
  <si>
    <t>18</t>
  </si>
  <si>
    <t>タイガー</t>
  </si>
  <si>
    <t>2営業日後</t>
  </si>
  <si>
    <t>2</t>
  </si>
  <si>
    <t>ピーコック（大阪）</t>
  </si>
  <si>
    <t>14</t>
  </si>
  <si>
    <t>ピーコック（横浜）</t>
  </si>
  <si>
    <t>11</t>
  </si>
  <si>
    <t>ヤーマン</t>
  </si>
  <si>
    <t>5</t>
  </si>
  <si>
    <t>■ STEP3 メール送付設定 【新規追加】</t>
  </si>
  <si>
    <t>メール送付_有効化</t>
  </si>
  <si>
    <t>TRUE</t>
  </si>
  <si>
    <t>STEP3でメール送付機能を使用する場合はTRUE</t>
  </si>
  <si>
    <t>AQSS05Lフォルダパス</t>
  </si>
  <si>
    <t>PL(AQSS05L)ファイル保存先</t>
  </si>
  <si>
    <t>PL_PDF保存フォルダ</t>
  </si>
  <si>
    <t>空欄の場合はREF No.フォルダに保存</t>
  </si>
  <si>
    <t>【ピーコック（大阪）向けメール設定】</t>
  </si>
  <si>
    <t>メール宛先To_ピーコック大阪</t>
  </si>
  <si>
    <t>y.tanishige@the-peacock.co.jp</t>
  </si>
  <si>
    <t>ピーコック担当者（大阪）</t>
  </si>
  <si>
    <t>メール宛先Cc_ピーコック大阪</t>
  </si>
  <si>
    <t>CCがある場合はカンマ区切り</t>
  </si>
  <si>
    <t>本文宛名_ピーコック大阪</t>
  </si>
  <si>
    <t>谷重様</t>
  </si>
  <si>
    <t>メール本文の宛名</t>
  </si>
  <si>
    <t>宛先会社名_ピーコック大阪</t>
  </si>
  <si>
    <t>ピーコック魔法瓶工業株式会社</t>
  </si>
  <si>
    <t>メール本文の会社名</t>
  </si>
  <si>
    <t>【ピーコック（横浜）向けメール設定】</t>
  </si>
  <si>
    <t>メール宛先To_ピーコック横浜</t>
  </si>
  <si>
    <t>ピーコック担当者（横浜）</t>
  </si>
  <si>
    <t>メール宛先Cc_ピーコック横浜</t>
  </si>
  <si>
    <t>本文宛名_ピーコック横浜</t>
  </si>
  <si>
    <t>宛先会社名_ピーコック横浜</t>
  </si>
  <si>
    <t>追加宛先_尼崎</t>
  </si>
  <si>
    <t>トランスシティ尼崎追加To</t>
  </si>
  <si>
    <t>追加Cc_尼崎</t>
  </si>
  <si>
    <t>トランスシティ尼崎追加Cc</t>
  </si>
  <si>
    <t>追加宛名_尼崎</t>
  </si>
  <si>
    <t>トランスシティ尼崎宛名</t>
  </si>
  <si>
    <t>トランスシティ会社名</t>
  </si>
  <si>
    <t>納入時間_尼崎</t>
  </si>
  <si>
    <t>大阪向け納入時間</t>
  </si>
  <si>
    <t>納入場所_尼崎</t>
  </si>
  <si>
    <t>日本トランスシティ尼崎</t>
  </si>
  <si>
    <t>大阪向け納入場所</t>
  </si>
  <si>
    <t>【トランスシティ（大和）CC追加設定】</t>
  </si>
  <si>
    <t>追加宛先_横浜</t>
  </si>
  <si>
    <t>トランスシティ大和追加To</t>
  </si>
  <si>
    <t>追加宛名_横浜</t>
  </si>
  <si>
    <t>トランスシティ大和宛名</t>
  </si>
  <si>
    <t>納入時間_横浜</t>
  </si>
  <si>
    <t>横浜向け納入時間</t>
  </si>
  <si>
    <t>納入場所_横浜</t>
  </si>
  <si>
    <t>日本トランスシティ大和</t>
  </si>
  <si>
    <t>横浜向け納入場所</t>
  </si>
  <si>
    <t>売上先_タイガー</t>
  </si>
  <si>
    <t>売上先_タイガー直送</t>
  </si>
  <si>
    <t>売上先_ピーコック</t>
  </si>
  <si>
    <t>売上先_気高</t>
  </si>
  <si>
    <t>売上先_ヤーマン</t>
  </si>
  <si>
    <t>■ 受入倉庫・依頼部門設定</t>
  </si>
  <si>
    <t>受入倉庫_海外</t>
  </si>
  <si>
    <t>受入倉庫_気高</t>
  </si>
  <si>
    <t>依頼部門_海外</t>
  </si>
  <si>
    <t>依頼部門_気高</t>
  </si>
  <si>
    <t>科目_製品</t>
  </si>
  <si>
    <t>科目_部品</t>
  </si>
  <si>
    <t>評価アップデータ対象列</t>
  </si>
  <si>
    <t>F列</t>
  </si>
  <si>
    <t>評価UPチェック対象列</t>
  </si>
  <si>
    <t>評価アップデータ対象条件</t>
  </si>
  <si>
    <t>6文字</t>
  </si>
  <si>
    <t>マッチング閾値</t>
  </si>
  <si>
    <t>確認願対象キーワード</t>
  </si>
  <si>
    <t>カンマ区切りで指定</t>
  </si>
  <si>
    <t>アフター部品対象キーワード</t>
  </si>
  <si>
    <t>1</t>
  </si>
  <si>
    <t>KOBE</t>
  </si>
  <si>
    <t>名古屋</t>
  </si>
  <si>
    <t>3</t>
  </si>
  <si>
    <t>NAGOYA</t>
  </si>
  <si>
    <t>4</t>
  </si>
  <si>
    <t>YOKOHAMA</t>
  </si>
  <si>
    <t>TOKYO</t>
  </si>
  <si>
    <t>門司</t>
  </si>
  <si>
    <t>7</t>
  </si>
  <si>
    <t>MOJI</t>
  </si>
  <si>
    <t>博多</t>
  </si>
  <si>
    <t>8</t>
  </si>
  <si>
    <t>HAKATA</t>
  </si>
  <si>
    <t>その他</t>
  </si>
  <si>
    <t>9</t>
  </si>
  <si>
    <t>OTHER</t>
  </si>
  <si>
    <t>akihiro-yamamoto@trancy.co.jp</t>
  </si>
  <si>
    <t>kayo-yabushita@trancy.co.jp</t>
  </si>
  <si>
    <t>ryo-matsuki@trancy.co.jp</t>
  </si>
  <si>
    <t>yu.nakagawa@the-peacock.co.jp,seizou@the-peacock.co.jp,umeda_s@ketaka.co.jp</t>
  </si>
  <si>
    <t>ETD</t>
    <phoneticPr fontId="2"/>
  </si>
  <si>
    <t>ETA</t>
    <phoneticPr fontId="2"/>
  </si>
  <si>
    <t>確認願</t>
    <phoneticPr fontId="2"/>
  </si>
  <si>
    <t>コンテナNo.</t>
  </si>
  <si>
    <t>対象</t>
    <rPh sb="0" eb="2">
      <t>タイショウ</t>
    </rPh>
    <phoneticPr fontId="2"/>
  </si>
  <si>
    <t>REF NO</t>
  </si>
  <si>
    <t>40'/HC</t>
  </si>
  <si>
    <t>Size</t>
  </si>
  <si>
    <t>納品日</t>
  </si>
  <si>
    <t>納品時間</t>
  </si>
  <si>
    <t>納品先</t>
  </si>
  <si>
    <t>備考</t>
  </si>
  <si>
    <t>納入先種別</t>
  </si>
  <si>
    <t>処理状況</t>
  </si>
  <si>
    <t>未処理</t>
  </si>
  <si>
    <t>【過去データ読込】</t>
  </si>
  <si>
    <t>WVP-30</t>
  </si>
  <si>
    <t>KINTONE入力データ</t>
  </si>
  <si>
    <t>過去に処理済みのデータからKINTONE入力情報を読み込みます。</t>
  </si>
  <si>
    <t>【REF No.別サマリー】</t>
    <phoneticPr fontId="2"/>
  </si>
  <si>
    <t>件数</t>
    <phoneticPr fontId="2"/>
  </si>
  <si>
    <t>数量合計</t>
    <phoneticPr fontId="2"/>
  </si>
  <si>
    <t>金額合計</t>
    <phoneticPr fontId="2"/>
  </si>
  <si>
    <t>CARTONS合計</t>
    <phoneticPr fontId="2"/>
  </si>
  <si>
    <t>CBM合計</t>
    <phoneticPr fontId="2"/>
  </si>
  <si>
    <t>担当者</t>
    <phoneticPr fontId="2"/>
  </si>
  <si>
    <t>海運業者</t>
    <phoneticPr fontId="2"/>
  </si>
  <si>
    <t>JPD-A060(K)(FTM)</t>
  </si>
  <si>
    <t>JRI-G100(KO)</t>
  </si>
  <si>
    <t>顶盖组装成品 JRI-H100K</t>
  </si>
  <si>
    <t>PDZ0000611</t>
  </si>
  <si>
    <t>基板座 PDZ+A30U 单品出荷</t>
  </si>
  <si>
    <t>0116230105</t>
    <phoneticPr fontId="2"/>
  </si>
  <si>
    <t>PIG-A30R内容器</t>
    <rPh sb="8" eb="11">
      <t>ウチヨウキ</t>
    </rPh>
    <phoneticPr fontId="2"/>
  </si>
  <si>
    <t>■ 評価UPチェック</t>
    <rPh sb="2" eb="4">
      <t>ヒョウカ</t>
    </rPh>
    <phoneticPr fontId="2"/>
  </si>
  <si>
    <t>N.W.合計</t>
    <phoneticPr fontId="2"/>
  </si>
  <si>
    <t>なし</t>
  </si>
  <si>
    <t>山本 和弥</t>
  </si>
  <si>
    <t>PARTS NO</t>
    <phoneticPr fontId="2"/>
  </si>
  <si>
    <t>資料共有_宛先To</t>
  </si>
  <si>
    <t>ryosuke_nakagawa@tiger.co.jp</t>
  </si>
  <si>
    <t>宛先（To）</t>
  </si>
  <si>
    <t>資料共有_宛先Cc</t>
  </si>
  <si>
    <t>aya_matsuda@tiger.co.jp</t>
  </si>
  <si>
    <t>宛先（Cc）</t>
  </si>
  <si>
    <t>資料共有_宛名</t>
  </si>
  <si>
    <t>中川 様</t>
  </si>
  <si>
    <t>本文内の宛名</t>
  </si>
  <si>
    <t>資料共有_宛先会社名</t>
  </si>
  <si>
    <t>タイガー魔法瓶株式会社</t>
  </si>
  <si>
    <t>本文1行目</t>
  </si>
  <si>
    <t>資料共有_Thunderbirdパス</t>
  </si>
  <si>
    <t>既存設定を流用可</t>
  </si>
  <si>
    <t>FAX送付状</t>
    <rPh sb="3" eb="6">
      <t>ソウフジョウ</t>
    </rPh>
    <phoneticPr fontId="58"/>
  </si>
  <si>
    <t>年</t>
    <rPh sb="0" eb="1">
      <t>ネン</t>
    </rPh>
    <phoneticPr fontId="58"/>
  </si>
  <si>
    <t>月</t>
    <rPh sb="0" eb="1">
      <t>ガツ</t>
    </rPh>
    <phoneticPr fontId="58"/>
  </si>
  <si>
    <t>日</t>
    <rPh sb="0" eb="1">
      <t>ヒ</t>
    </rPh>
    <phoneticPr fontId="58"/>
  </si>
  <si>
    <t>送信枚数</t>
    <rPh sb="0" eb="2">
      <t>ソウシン</t>
    </rPh>
    <rPh sb="2" eb="4">
      <t>マイスウ</t>
    </rPh>
    <phoneticPr fontId="58"/>
  </si>
  <si>
    <t>枚</t>
    <rPh sb="0" eb="1">
      <t>マイ</t>
    </rPh>
    <phoneticPr fontId="58"/>
  </si>
  <si>
    <t>会社名</t>
    <rPh sb="0" eb="3">
      <t>カイシャメイ</t>
    </rPh>
    <phoneticPr fontId="58"/>
  </si>
  <si>
    <t>氏　 名</t>
    <rPh sb="0" eb="1">
      <t>シ</t>
    </rPh>
    <rPh sb="3" eb="4">
      <t>メイ</t>
    </rPh>
    <phoneticPr fontId="58"/>
  </si>
  <si>
    <t>TEL</t>
    <phoneticPr fontId="58"/>
  </si>
  <si>
    <t>06-6409-6170</t>
    <phoneticPr fontId="58"/>
  </si>
  <si>
    <t>FAX</t>
    <phoneticPr fontId="58"/>
  </si>
  <si>
    <t>06-6409-6174</t>
    <phoneticPr fontId="58"/>
  </si>
  <si>
    <t>【用件】</t>
    <rPh sb="1" eb="3">
      <t>ヨウケン</t>
    </rPh>
    <phoneticPr fontId="58"/>
  </si>
  <si>
    <t>いつもお世話になっています。</t>
    <rPh sb="4" eb="6">
      <t>セワ</t>
    </rPh>
    <phoneticPr fontId="58"/>
  </si>
  <si>
    <t xml:space="preserve"> </t>
    <phoneticPr fontId="58"/>
  </si>
  <si>
    <t>早速ですが、希望納入日のご連絡を致します。</t>
    <rPh sb="0" eb="2">
      <t>サッソク</t>
    </rPh>
    <rPh sb="6" eb="8">
      <t>キボウ</t>
    </rPh>
    <rPh sb="8" eb="11">
      <t>ノウニュウビ</t>
    </rPh>
    <rPh sb="13" eb="15">
      <t>レンラク</t>
    </rPh>
    <rPh sb="16" eb="17">
      <t>イタ</t>
    </rPh>
    <phoneticPr fontId="58"/>
  </si>
  <si>
    <t>宜しくお願い致します。</t>
    <rPh sb="0" eb="1">
      <t>ヨロ</t>
    </rPh>
    <rPh sb="4" eb="5">
      <t>ネガ</t>
    </rPh>
    <rPh sb="6" eb="7">
      <t>イタ</t>
    </rPh>
    <phoneticPr fontId="58"/>
  </si>
  <si>
    <t>【発信者】</t>
    <rPh sb="1" eb="3">
      <t>ハッシン</t>
    </rPh>
    <rPh sb="3" eb="4">
      <t>シャ</t>
    </rPh>
    <phoneticPr fontId="58"/>
  </si>
  <si>
    <t>気高電機株式会社</t>
    <rPh sb="0" eb="2">
      <t>ケタカ</t>
    </rPh>
    <rPh sb="2" eb="4">
      <t>デンキ</t>
    </rPh>
    <rPh sb="4" eb="6">
      <t>カブシキ</t>
    </rPh>
    <rPh sb="6" eb="8">
      <t>カイシャ</t>
    </rPh>
    <phoneticPr fontId="58"/>
  </si>
  <si>
    <t>生産管理部</t>
    <rPh sb="0" eb="2">
      <t>セイサン</t>
    </rPh>
    <rPh sb="2" eb="4">
      <t>カンリ</t>
    </rPh>
    <rPh sb="4" eb="5">
      <t>ブ</t>
    </rPh>
    <phoneticPr fontId="58"/>
  </si>
  <si>
    <t>山本　和弥</t>
    <rPh sb="0" eb="2">
      <t>ヤマモト</t>
    </rPh>
    <rPh sb="3" eb="5">
      <t>カズヤ</t>
    </rPh>
    <phoneticPr fontId="58"/>
  </si>
  <si>
    <t>TEL：0857-82-0912</t>
  </si>
  <si>
    <t>FAX：0857-82-0935</t>
  </si>
  <si>
    <t>E-mail：yamamoto_ka@ketaka.co.jp</t>
    <phoneticPr fontId="58"/>
  </si>
  <si>
    <t>PDR-G221 色柄(W)</t>
  </si>
  <si>
    <t>PDR-G301 色柄(W)</t>
  </si>
  <si>
    <t>PIP-G220(WE)</t>
  </si>
  <si>
    <t>長期入荷予定表パス</t>
  </si>
  <si>
    <t>梅田 勝太</t>
  </si>
  <si>
    <t>山本様</t>
  </si>
  <si>
    <t>日本トランスシティ株式会社</t>
  </si>
  <si>
    <t>松木様</t>
  </si>
  <si>
    <t>【タイガー向けメール設定】</t>
  </si>
  <si>
    <t>【タイガー向け入力依頼メール設定】</t>
  </si>
  <si>
    <t>入力依頼_宛先To</t>
  </si>
  <si>
    <t>宛先(To)カンマ区切り</t>
  </si>
  <si>
    <t>入力依頼_宛先Cc</t>
  </si>
  <si>
    <t>kobayashi_y@ketaka.co.jp,umeda_s@ketaka.co.jp</t>
  </si>
  <si>
    <t>宛先(Cc)カンマ区切り</t>
  </si>
  <si>
    <t>入力依頼_宛先会社名</t>
  </si>
  <si>
    <t>本文1行目(HTML)</t>
  </si>
  <si>
    <t>入力依頼_差出人会社名</t>
  </si>
  <si>
    <t>気高電機</t>
  </si>
  <si>
    <t>差出人の会社名</t>
  </si>
  <si>
    <t>入力依頼_差出人名</t>
  </si>
  <si>
    <t>山本</t>
  </si>
  <si>
    <t>差出人名(姓のみ)</t>
  </si>
  <si>
    <t>入力依頼_Thunderbirdパス</t>
  </si>
  <si>
    <t>空欄で担当者リスト流用</t>
  </si>
  <si>
    <t>WMJ-22 合理化</t>
  </si>
  <si>
    <t>PIE-A501(K) 100V</t>
  </si>
  <si>
    <t>PDR-G401 色柄(W)</t>
  </si>
  <si>
    <t>■ ショートカット、個別機能</t>
    <rPh sb="10" eb="12">
      <t>コベツ</t>
    </rPh>
    <rPh sb="12" eb="14">
      <t>キノウ</t>
    </rPh>
    <phoneticPr fontId="2"/>
  </si>
  <si>
    <t>JPI-A100(KG)</t>
  </si>
  <si>
    <t>2TG14812</t>
  </si>
  <si>
    <t>PDZ+A30U  半成品出荷</t>
  </si>
  <si>
    <t>2TG14913</t>
  </si>
  <si>
    <t>PDZ+A40U 半成品出荷</t>
  </si>
  <si>
    <t>2TG15013</t>
  </si>
  <si>
    <t>PDZ+A50U  半成品出荷</t>
  </si>
  <si>
    <t>23F3000805-1</t>
  </si>
  <si>
    <t>IPL 主体下盖组装 23F3N1 香槟金</t>
  </si>
  <si>
    <t>【トランスシティ（尼崎）CC追加設定】</t>
    <phoneticPr fontId="2"/>
  </si>
  <si>
    <t>K:\100_公開情報\004_商品部業務Ｇ\森原\川瀬\●ピーコック\ピーコック様入荷予定表_Ver1.0.xlsm</t>
    <phoneticPr fontId="2"/>
  </si>
  <si>
    <t>日本トランスシティ株式会社　尼崎営業所</t>
    <phoneticPr fontId="58"/>
  </si>
  <si>
    <t>山本様</t>
    <phoneticPr fontId="58"/>
  </si>
  <si>
    <t>PIQ-G220(KC)</t>
  </si>
  <si>
    <t>\\kte\kte-files\kte-sv1\public01\004-商品部業務Ｇ\KEN-CORP\輸入書類\タイガー\確認願テンプレート.docx</t>
    <phoneticPr fontId="2"/>
  </si>
  <si>
    <t>フジロジックス株式会社&lt;br&gt;松丸様　石橋様　向山様&lt;br&gt;&lt;br&gt;新港洋海運株式会社&lt;br&gt;木下様</t>
    <rPh sb="23" eb="25">
      <t>ムカイヤマ</t>
    </rPh>
    <rPh sb="25" eb="26">
      <t>サマ</t>
    </rPh>
    <phoneticPr fontId="2"/>
  </si>
  <si>
    <t>satoshi_matsumaru@fujilgx.co.jp,torikd@shinkoyokaiun.co.jp,mika_ishibashi@fujilgx.co.jp,yuri_mukaiyama@fujilgx.co.jp</t>
    <phoneticPr fontId="2"/>
  </si>
  <si>
    <t>PDZ0000704</t>
  </si>
  <si>
    <t>水箱组合 电解研磨 PDZ+A30U</t>
  </si>
  <si>
    <t>26T0209</t>
  </si>
  <si>
    <t>I000015174</t>
  </si>
  <si>
    <t>PIS-G300(KE)</t>
  </si>
  <si>
    <t>JPT+H18C(WG)</t>
  </si>
  <si>
    <t>26T0210</t>
  </si>
  <si>
    <t>I000015180</t>
  </si>
  <si>
    <t>PIS-G220(KE)</t>
  </si>
  <si>
    <t>PDN0000709</t>
  </si>
  <si>
    <t>固定支板 PDN-A</t>
  </si>
  <si>
    <t>PDU0000815</t>
  </si>
  <si>
    <t>发热线组装 PDU-A**U 中国材</t>
  </si>
  <si>
    <t>PDZ0000605</t>
  </si>
  <si>
    <t>基板盒 PDZ+A</t>
  </si>
  <si>
    <t>PDZ0000607</t>
  </si>
  <si>
    <t>插座盖下 PDZ+A30U</t>
  </si>
  <si>
    <t>PDZ0000609</t>
  </si>
  <si>
    <t>底座 PDZ+A30U</t>
  </si>
  <si>
    <t>PIS0000622</t>
  </si>
  <si>
    <t>前镶板 PIS-A300</t>
  </si>
  <si>
    <t>26T0301</t>
  </si>
  <si>
    <t>I000015190</t>
  </si>
  <si>
    <t>26T0302</t>
  </si>
  <si>
    <t>I000015195</t>
  </si>
  <si>
    <t>蒸气导管胶圈 PDIA センホンタイPK</t>
  </si>
  <si>
    <t>PDR0000386</t>
  </si>
  <si>
    <t>插座组装 PVFAプラグウケ$插座组装</t>
  </si>
  <si>
    <t>PDZ0000401</t>
  </si>
  <si>
    <t>说明书 PDZ+A40C</t>
  </si>
  <si>
    <t>PDZ0000402</t>
  </si>
  <si>
    <t>说明书 PDZ+A30U</t>
  </si>
  <si>
    <t>PDZ0000705</t>
  </si>
  <si>
    <t>水箱组合 电解研磨 PDZ+A40C/40U</t>
  </si>
  <si>
    <t>PDZ0000706</t>
  </si>
  <si>
    <t>水箱组合 电解研磨 PDZ+A50C/50U</t>
  </si>
  <si>
    <t>PDZ0000803</t>
  </si>
  <si>
    <t>底板组装 PDZ+A**U</t>
  </si>
  <si>
    <t>PIW0000303</t>
  </si>
  <si>
    <t>操作牌片 PIW-A</t>
  </si>
  <si>
    <t>26P0301</t>
  </si>
  <si>
    <t>I000015196</t>
  </si>
  <si>
    <t>WMZ-22</t>
  </si>
  <si>
    <t>26K0301</t>
  </si>
  <si>
    <t>I000015198</t>
  </si>
  <si>
    <t>蒸气孔胶圈JRI-A100</t>
  </si>
  <si>
    <t>26T0303</t>
  </si>
  <si>
    <t>I000015202</t>
  </si>
  <si>
    <t>26K0352</t>
  </si>
  <si>
    <t>I000015208</t>
  </si>
  <si>
    <t>滚轮头部配件 23F3XX</t>
  </si>
  <si>
    <t>面部护理头部配件 23F3XX</t>
  </si>
  <si>
    <t>23F3000804-1</t>
  </si>
  <si>
    <t>IPL 主体上盖组装 23F3N1 香槟金</t>
  </si>
  <si>
    <t>23F3000810</t>
  </si>
  <si>
    <t>定位头部配件 23F3N1 铝合金/浅金色</t>
  </si>
  <si>
    <t>超压胶圈 JPV-A100</t>
  </si>
  <si>
    <t>26T0305</t>
  </si>
  <si>
    <t>I000015213</t>
  </si>
  <si>
    <t>PIL-A220(T)</t>
  </si>
  <si>
    <t>PIQ-G300(KC)</t>
  </si>
  <si>
    <t>26P0302</t>
  </si>
  <si>
    <t>I000015217</t>
  </si>
  <si>
    <t>WMZ-40</t>
  </si>
  <si>
    <t>WMJ-40 合理化</t>
  </si>
  <si>
    <t>26T0304</t>
  </si>
  <si>
    <t>I000015209</t>
  </si>
  <si>
    <t>40HQ</t>
  </si>
  <si>
    <t>PIS-N220(T)</t>
  </si>
  <si>
    <t>26T0306</t>
  </si>
  <si>
    <t>I000015218</t>
  </si>
  <si>
    <t>PDR-G220(WU)</t>
  </si>
  <si>
    <t>PCQ0000621</t>
  </si>
  <si>
    <t>外壳套环(HIY) PCQA</t>
  </si>
  <si>
    <t>PDJ0000032</t>
  </si>
  <si>
    <t>基板盒 PDJ</t>
  </si>
  <si>
    <t>PIE-A</t>
  </si>
  <si>
    <t>PIG0000614</t>
  </si>
  <si>
    <t>手柄 PIG-A</t>
  </si>
  <si>
    <t>开关盒 PVW-B30U</t>
  </si>
  <si>
    <t>26K0203</t>
  </si>
  <si>
    <t>I000015179</t>
  </si>
  <si>
    <t>JPC+G10R(KG)</t>
  </si>
  <si>
    <t>JPT+H10C(WG)</t>
  </si>
  <si>
    <t>JPH-A100(K)</t>
  </si>
  <si>
    <t>顶盖组装成品 JPV-H100(KJE)</t>
  </si>
  <si>
    <t>顶盖组装成品 JPV-H180(KJE)</t>
  </si>
  <si>
    <t>顶盖组装成品 JRI-A100(KB)</t>
  </si>
  <si>
    <t>顶盖组装成品 JRI-A100(W)</t>
  </si>
  <si>
    <t>顶盖组装成品 JRI-B100(K)</t>
  </si>
  <si>
    <t>顶盖组装成品 JRI-G180KO</t>
  </si>
  <si>
    <t>顶盖组装成品 JRI-G180WO</t>
  </si>
  <si>
    <t>定位轴A JPV-A100</t>
  </si>
  <si>
    <t>定位轴定位</t>
  </si>
  <si>
    <t>内盖罩胶圈JRI-A100/A180</t>
  </si>
  <si>
    <t>26K0302</t>
  </si>
  <si>
    <t>I000015214</t>
  </si>
  <si>
    <t>23F3000374</t>
  </si>
  <si>
    <t>MA06基板 23F3N1</t>
  </si>
  <si>
    <t>顶盖组装成品 JPI-S100(KG)</t>
  </si>
  <si>
    <t>JPV-X100(K)</t>
  </si>
  <si>
    <t>JPV-X100(W)</t>
  </si>
  <si>
    <t>顶盖组装成品 JRI-A180(KB)</t>
  </si>
  <si>
    <t>顶盖组装成品 JRI-H180K</t>
  </si>
  <si>
    <t>蒸气管胶圈 JRI-C060</t>
  </si>
  <si>
    <t>26T0308</t>
  </si>
  <si>
    <t>I000015223</t>
  </si>
  <si>
    <t>PIL-A300(T)</t>
  </si>
  <si>
    <t>26T0307</t>
  </si>
  <si>
    <t>I000015221</t>
  </si>
  <si>
    <t>水箱出荷 PIG-J300</t>
  </si>
  <si>
    <t>26K0356</t>
  </si>
  <si>
    <t>I000015229</t>
  </si>
  <si>
    <t>VIO头部配件 23F3XX</t>
  </si>
  <si>
    <t>23F3000903-1</t>
  </si>
  <si>
    <t>主体环(表面处理) 出荷编号 23F3N1</t>
  </si>
  <si>
    <t>26T0309</t>
  </si>
  <si>
    <t>I000015228</t>
  </si>
  <si>
    <t>PCQ0000651</t>
  </si>
  <si>
    <t>电源座底板(KHM) PCQA</t>
  </si>
  <si>
    <t>顶盖组装 PDN-A400(CU)</t>
  </si>
  <si>
    <t>PIG0000602</t>
  </si>
  <si>
    <t>风琴内盖 PIG-A</t>
  </si>
  <si>
    <t>26T0310</t>
  </si>
  <si>
    <t>I000015237</t>
  </si>
  <si>
    <t>PIQ-G220(WC)</t>
  </si>
  <si>
    <t>26P0303</t>
  </si>
  <si>
    <t>I000015239</t>
  </si>
  <si>
    <t>WMJ-30 合理化</t>
  </si>
  <si>
    <t>40'HC</t>
  </si>
  <si>
    <t>26K0303</t>
  </si>
  <si>
    <t>I000015222</t>
  </si>
  <si>
    <t>顶盖组装成品 JPK+G18C(T)(FTM)</t>
  </si>
  <si>
    <t>顶盖组装成品 JPV-A100(KHM)</t>
  </si>
  <si>
    <t>基板座 PDN G21236X(单品出荷）</t>
  </si>
  <si>
    <t>显示管固定胶板(单品出荷）PDU-A30</t>
  </si>
  <si>
    <t>显示管固定胶板(单品出荷）PDU-A40</t>
  </si>
  <si>
    <t>显示管固定胶板(单品出荷）PDU-A50</t>
  </si>
  <si>
    <t>WSFナ4X12CMヒラW16</t>
  </si>
  <si>
    <t>LCD 罩 PIG-A</t>
  </si>
  <si>
    <t>26K0350</t>
  </si>
  <si>
    <t>I000015182</t>
  </si>
  <si>
    <t>PDI0000021</t>
  </si>
  <si>
    <t>圆壳 PDI.PDJ通用</t>
  </si>
  <si>
    <t>PDI0000023</t>
  </si>
  <si>
    <t>活塞盒 PDI.PDJ通用</t>
  </si>
  <si>
    <t>PDI0000024</t>
  </si>
  <si>
    <t>活塞盖 PDI.PDJ通用</t>
  </si>
  <si>
    <t>PDR0000603</t>
  </si>
  <si>
    <t>圆胶管 PDR PVVG PVW PDK-Y</t>
  </si>
  <si>
    <t>PIX0000804</t>
  </si>
  <si>
    <t>PIXA活塞组装 PIX-A500</t>
  </si>
  <si>
    <t>YKK3604010</t>
  </si>
  <si>
    <t>纸卡板 Honeycomb Pallet 1200*1000*140mm</t>
  </si>
  <si>
    <t>26K0351</t>
  </si>
  <si>
    <t>I000015191</t>
  </si>
  <si>
    <t>23F3000371</t>
  </si>
  <si>
    <t>USB双面胶 23F3XX</t>
  </si>
  <si>
    <t>26K0353</t>
  </si>
  <si>
    <t>I000015201</t>
  </si>
  <si>
    <t>ESS0000613</t>
  </si>
  <si>
    <t>手柄本体 ES-S002 新模</t>
  </si>
  <si>
    <t>26K0358</t>
  </si>
  <si>
    <t>I000015244</t>
  </si>
  <si>
    <t>23F3000618-1</t>
  </si>
  <si>
    <t>蓝宝石支架  23F3N1</t>
  </si>
  <si>
    <t>23F3000620-1</t>
  </si>
  <si>
    <t>闪光支架  23F3N1</t>
  </si>
  <si>
    <t>60010</t>
  </si>
  <si>
    <t>26T0312</t>
  </si>
  <si>
    <t>I000015246</t>
  </si>
  <si>
    <t>PDR-G300(WU)</t>
  </si>
  <si>
    <t>大壳套环下(单品出荷）PIG</t>
  </si>
  <si>
    <t>26T0313</t>
  </si>
  <si>
    <t>I000015247</t>
  </si>
  <si>
    <t>PIQ-G300(WC)</t>
  </si>
  <si>
    <t>26K0304</t>
  </si>
  <si>
    <t>I000015236</t>
  </si>
  <si>
    <t>顶盖组装成品 JRI-G100WO</t>
  </si>
  <si>
    <t>26K0305</t>
  </si>
  <si>
    <t>I000015245</t>
  </si>
  <si>
    <t>JPX-A060-1  K</t>
  </si>
  <si>
    <t>23F3000616-1</t>
  </si>
  <si>
    <t>头部塞子 左 23F3XX</t>
  </si>
  <si>
    <t>23F3000617-1</t>
  </si>
  <si>
    <t>头部塞子 右 23F3XX</t>
  </si>
  <si>
    <t>23F3000619-1</t>
  </si>
  <si>
    <t>滤光片支架 23F3XX</t>
  </si>
  <si>
    <t>23F3000621-1</t>
  </si>
  <si>
    <t>滤光片支架  23F3N1</t>
  </si>
  <si>
    <t>3TG398A10100</t>
  </si>
  <si>
    <t>JPV+H10R(K) 110V</t>
  </si>
  <si>
    <t>3TG398A10120</t>
  </si>
  <si>
    <t>JPV+H10W/C(K) 220V</t>
  </si>
  <si>
    <t>3TG398A10130</t>
  </si>
  <si>
    <t>JPV+H10C(W) 220V</t>
  </si>
  <si>
    <t>3TG399A10100</t>
  </si>
  <si>
    <t>JPV+H18R(K) 110V</t>
  </si>
  <si>
    <t>3TG399A10120</t>
  </si>
  <si>
    <t>JPV+H18W/C(K) 220V</t>
  </si>
  <si>
    <t>大壳套环下(单品出荷）PDU-A</t>
  </si>
  <si>
    <t>26P0304</t>
  </si>
  <si>
    <t>I000015250</t>
  </si>
  <si>
    <t>26T0311</t>
  </si>
  <si>
    <t>I000015241</t>
  </si>
  <si>
    <t>26T0314</t>
  </si>
  <si>
    <t>I000015252</t>
  </si>
  <si>
    <t>PIW-A300(T)</t>
  </si>
  <si>
    <t>PIP-G300(WE)</t>
  </si>
  <si>
    <t>26K0306</t>
  </si>
  <si>
    <t>I000015248</t>
  </si>
  <si>
    <t>灯帽 23F3XX</t>
  </si>
  <si>
    <t>界面垫圈 23F3XX</t>
  </si>
  <si>
    <t>23F3000303</t>
  </si>
  <si>
    <t>玻璃垫圈 23F3XX</t>
  </si>
  <si>
    <t>23F3000374-1</t>
  </si>
  <si>
    <t>顶盖组装成品 JPV-A180(KHM)</t>
  </si>
  <si>
    <t>JPV-X180(K)</t>
  </si>
  <si>
    <t>放热板(氧化) JPW-A180(高温注意) 中钢铝</t>
  </si>
  <si>
    <t>放热板(氧化) JPW+G18S 英文刻印 中钢铝</t>
  </si>
  <si>
    <t>26K0361</t>
  </si>
  <si>
    <t>I000015251</t>
  </si>
  <si>
    <t>3TG405A10100</t>
  </si>
  <si>
    <t>JRDA顶盖组装CKJE JRD-A060 KJE 黑</t>
  </si>
  <si>
    <t>3TG405A10110</t>
  </si>
  <si>
    <t>JRDA顶盖组装CWHQ JRD-A060 WHQ 灰白</t>
  </si>
  <si>
    <t>PDN0000621</t>
  </si>
  <si>
    <t>底板 PDN-A</t>
  </si>
  <si>
    <t>PIF0000601</t>
  </si>
  <si>
    <t>底板 PIF-A30S</t>
  </si>
  <si>
    <t>26T0315</t>
  </si>
  <si>
    <t>I000015255</t>
  </si>
  <si>
    <t>PIW-A220(T)</t>
  </si>
  <si>
    <t>26T0317</t>
  </si>
  <si>
    <t>I000015265</t>
  </si>
  <si>
    <t>PDN-A500(CU)</t>
  </si>
  <si>
    <t>26T0316</t>
  </si>
  <si>
    <t>I000015264</t>
  </si>
  <si>
    <t>26P0305</t>
  </si>
  <si>
    <t>I000015263</t>
  </si>
  <si>
    <t>26T0350</t>
  </si>
  <si>
    <t>I000015211</t>
  </si>
  <si>
    <t>PIX0000305</t>
  </si>
  <si>
    <r>
      <t>PIXA蒸气</t>
    </r>
    <r>
      <rPr>
        <sz val="11"/>
        <color theme="1"/>
        <rFont val="Microsoft JhengHei"/>
        <family val="2"/>
        <charset val="136"/>
      </rPr>
      <t>单</t>
    </r>
    <r>
      <rPr>
        <sz val="11"/>
        <color theme="1"/>
        <rFont val="游ゴシック"/>
        <family val="3"/>
        <charset val="128"/>
      </rPr>
      <t>元胶圈 PIX-A500</t>
    </r>
    <phoneticPr fontId="2"/>
  </si>
  <si>
    <r>
      <t>水箱温</t>
    </r>
    <r>
      <rPr>
        <sz val="11"/>
        <color theme="1"/>
        <rFont val="Microsoft JhengHei"/>
        <family val="2"/>
        <charset val="136"/>
      </rPr>
      <t>检</t>
    </r>
    <r>
      <rPr>
        <sz val="11"/>
        <color theme="1"/>
        <rFont val="游ゴシック"/>
        <family val="3"/>
        <charset val="128"/>
      </rPr>
      <t xml:space="preserve"> PIE-A500</t>
    </r>
    <phoneticPr fontId="2"/>
  </si>
  <si>
    <t>26K0307</t>
  </si>
  <si>
    <t>I000015259</t>
  </si>
  <si>
    <t>CPE胶袋 0.04×150×140mm</t>
  </si>
  <si>
    <t>连接器 (表面处理) 23F3XX</t>
  </si>
  <si>
    <t>顶盖开关 JPV-H</t>
  </si>
  <si>
    <t>放热板(氧化) JPW+T10C (当心烫伤) 中钢铝</t>
  </si>
  <si>
    <t>26T0318</t>
  </si>
  <si>
    <t>I000015269</t>
  </si>
  <si>
    <t>PIS-N300(T)</t>
  </si>
  <si>
    <t>PVW</t>
  </si>
  <si>
    <t>26T0401</t>
  </si>
  <si>
    <t>I000015281</t>
  </si>
  <si>
    <t>PIQ-N300(T)</t>
  </si>
  <si>
    <t>顶盖开关 JPW-A100 （镀铬) 虎记14.85</t>
  </si>
  <si>
    <t>26K0308</t>
  </si>
  <si>
    <t>I000015278</t>
  </si>
  <si>
    <t>23F3000902-1</t>
  </si>
  <si>
    <t>主体头部面板 (印刷)出荷编号 23F3N1</t>
  </si>
  <si>
    <t>26K0401</t>
  </si>
  <si>
    <t>I000015285</t>
  </si>
  <si>
    <t>3TG394A10140</t>
  </si>
  <si>
    <t>JRIG内盖组装UMKKBｻ JRI-G180</t>
  </si>
  <si>
    <t>26K0402</t>
  </si>
  <si>
    <t>I000015287</t>
  </si>
  <si>
    <t>26P0401</t>
  </si>
  <si>
    <t>I000015284</t>
  </si>
  <si>
    <t>WVP-22</t>
  </si>
  <si>
    <t>WMG0000729</t>
  </si>
  <si>
    <t>过滤网组立 WMH</t>
  </si>
  <si>
    <t>WMJ0000301</t>
  </si>
  <si>
    <t>内胆盖胶圈 WMJ-</t>
  </si>
  <si>
    <t>WMJ0000801-1</t>
  </si>
  <si>
    <t>顶盖组装 WMJ-合理化</t>
  </si>
  <si>
    <t>WMT0000310</t>
  </si>
  <si>
    <t>WMT说明书 6枚折叠 WMT-22</t>
  </si>
  <si>
    <t>26P0401納入日依頼の件</t>
    <phoneticPr fontId="58"/>
  </si>
  <si>
    <t xml:space="preserve">  26P0401  納入日 4月22日(水)  AM9:30</t>
    <phoneticPr fontId="58"/>
  </si>
  <si>
    <t>26P0450</t>
  </si>
  <si>
    <t>I200000050</t>
  </si>
  <si>
    <t>WMJ0000389</t>
  </si>
  <si>
    <t>电源线 合理化 マグネットプラグHVFF 1.0M 7A-125V WMT-</t>
  </si>
  <si>
    <t>26K0454</t>
  </si>
  <si>
    <t>I000015298</t>
  </si>
  <si>
    <t>顶盖 PIP-G220/G300</t>
  </si>
  <si>
    <t>PIX0000301</t>
  </si>
  <si>
    <t>PIXA内胆盖胶圈 PIX-A500</t>
  </si>
  <si>
    <t>26T0402</t>
  </si>
  <si>
    <t>I000015288</t>
  </si>
  <si>
    <t>26T0402</t>
    <phoneticPr fontId="2"/>
  </si>
  <si>
    <t>I000015288</t>
    <phoneticPr fontId="2"/>
  </si>
  <si>
    <t>26P0402</t>
  </si>
  <si>
    <t>I000015294</t>
  </si>
  <si>
    <t>JAR POT</t>
  </si>
  <si>
    <t>ALS VENUS V.086N</t>
  </si>
  <si>
    <t>CCLU7325102</t>
  </si>
  <si>
    <t>WMJ-40(WA)</t>
  </si>
  <si>
    <t>WVP-22(WA)</t>
  </si>
  <si>
    <t>※このシートのデータをKINTONEにコピー&amp;ペーストしてください。生成日時: 2026/04/09 10:52</t>
  </si>
  <si>
    <t>STEP3完了 (KINTONE:1 / タイガー入力依頼:0 / タイガー出荷:0 / ピーコック:1)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</si>
</sst>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&quot;月&quot;d&quot;日&quot;;@"/>
    <numFmt numFmtId="177" formatCode="yyyy/mm/dd"/>
    <numFmt numFmtId="178" formatCode="0_);[Red]\(0\)"/>
    <numFmt numFmtId="179" formatCode="m&quot;月&quot;d&quot;日&quot;\(aaa\)"/>
    <numFmt numFmtId="180" formatCode="#,##0_);[Red]\(#,##0\)"/>
  </numFmts>
  <fonts count="64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b/>
      <sz val="16"/>
      <color rgb="FFFFFFFF"/>
      <name val="游ゴシック"/>
      <family val="3"/>
      <charset val="128"/>
    </font>
    <font>
      <sz val="11"/>
      <color theme="1"/>
      <name val="游ゴシック"/>
      <family val="3"/>
      <charset val="128"/>
    </font>
    <font>
      <b/>
      <sz val="11"/>
      <name val="游ゴシック"/>
      <family val="3"/>
      <charset val="128"/>
    </font>
    <font>
      <b/>
      <sz val="12"/>
      <name val="游ゴシック"/>
      <family val="3"/>
      <charset val="128"/>
    </font>
    <font>
      <b/>
      <sz val="14"/>
      <name val="游ゴシック"/>
      <family val="3"/>
      <charset val="128"/>
    </font>
    <font>
      <sz val="11"/>
      <color rgb="FF666666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12"/>
      <color theme="1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2"/>
      <color theme="0"/>
      <name val="游ゴシック"/>
      <family val="3"/>
      <charset val="128"/>
    </font>
    <font>
      <sz val="11"/>
      <color theme="0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2"/>
      <name val="游ゴシック"/>
      <family val="3"/>
      <charset val="128"/>
    </font>
    <font>
      <b/>
      <sz val="22"/>
      <color rgb="FFFFFFFF"/>
      <name val="游ゴシック"/>
      <family val="3"/>
      <charset val="128"/>
    </font>
    <font>
      <b/>
      <sz val="14"/>
      <color rgb="FF1E3A5F"/>
      <name val="游ゴシック"/>
      <family val="3"/>
      <charset val="128"/>
    </font>
    <font>
      <b/>
      <sz val="11"/>
      <color rgb="FF4A90D9"/>
      <name val="游ゴシック"/>
      <family val="3"/>
      <charset val="128"/>
    </font>
    <font>
      <b/>
      <sz val="14"/>
      <color rgb="FFFFFFFF"/>
      <name val="游ゴシック"/>
      <family val="3"/>
      <charset val="128"/>
    </font>
    <font>
      <b/>
      <sz val="12"/>
      <color rgb="FF1E3A5F"/>
      <name val="游ゴシック"/>
      <family val="3"/>
      <charset val="128"/>
    </font>
    <font>
      <b/>
      <sz val="10"/>
      <color rgb="FF1E3A5F"/>
      <name val="游ゴシック"/>
      <family val="3"/>
      <charset val="128"/>
    </font>
    <font>
      <b/>
      <sz val="11"/>
      <color rgb="FF333333"/>
      <name val="游ゴシック"/>
      <family val="3"/>
      <charset val="128"/>
    </font>
    <font>
      <b/>
      <sz val="10"/>
      <color rgb="FF27AE60"/>
      <name val="游ゴシック"/>
      <family val="3"/>
      <charset val="128"/>
    </font>
    <font>
      <b/>
      <sz val="10"/>
      <color rgb="FF4A90D9"/>
      <name val="游ゴシック"/>
      <family val="3"/>
      <charset val="128"/>
    </font>
    <font>
      <b/>
      <sz val="11"/>
      <color rgb="FFE67E22"/>
      <name val="游ゴシック"/>
      <family val="3"/>
      <charset val="128"/>
    </font>
    <font>
      <b/>
      <sz val="12"/>
      <color rgb="FF4A90D9"/>
      <name val="游ゴシック"/>
      <family val="3"/>
      <charset val="128"/>
    </font>
    <font>
      <b/>
      <sz val="10"/>
      <color rgb="FF333333"/>
      <name val="游ゴシック"/>
      <family val="3"/>
      <charset val="128"/>
    </font>
    <font>
      <b/>
      <sz val="11"/>
      <color theme="1"/>
      <name val="ＭＳ Ｐゴシック"/>
      <family val="2"/>
      <scheme val="minor"/>
    </font>
    <font>
      <b/>
      <sz val="10"/>
      <color theme="1"/>
      <name val="游ゴシック"/>
      <family val="3"/>
      <charset val="128"/>
    </font>
    <font>
      <b/>
      <sz val="10"/>
      <color rgb="FFFF0000"/>
      <name val="游ゴシック"/>
      <family val="3"/>
      <charset val="128"/>
    </font>
    <font>
      <b/>
      <sz val="11"/>
      <color rgb="FFFF0000"/>
      <name val="ＭＳ Ｐゴシック"/>
      <family val="2"/>
      <scheme val="minor"/>
    </font>
    <font>
      <b/>
      <sz val="12"/>
      <color rgb="FF6B7280"/>
      <name val="游ゴシック"/>
      <family val="3"/>
      <charset val="128"/>
    </font>
    <font>
      <b/>
      <sz val="9"/>
      <color rgb="FF6B7280"/>
      <name val="游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14"/>
      <color rgb="FFFFFFFF"/>
      <name val="Yu Gothic"/>
      <family val="3"/>
      <charset val="128"/>
    </font>
    <font>
      <b/>
      <sz val="10"/>
      <color rgb="FFFFFFFF"/>
      <name val="Yu Gothic"/>
      <family val="3"/>
      <charset val="128"/>
    </font>
    <font>
      <sz val="10"/>
      <color theme="1"/>
      <name val="Yu Gothic"/>
      <family val="3"/>
      <charset val="128"/>
    </font>
    <font>
      <sz val="9"/>
      <color rgb="FF646464"/>
      <name val="Yu Gothic"/>
      <family val="3"/>
      <charset val="128"/>
    </font>
    <font>
      <b/>
      <sz val="10"/>
      <color theme="1"/>
      <name val="Yu Gothic"/>
      <family val="3"/>
      <charset val="128"/>
    </font>
    <font>
      <b/>
      <sz val="12"/>
      <color theme="1"/>
      <name val="游ゴシック"/>
      <family val="3"/>
      <charset val="128"/>
    </font>
    <font>
      <sz val="12"/>
      <color rgb="FF000000"/>
      <name val="游ゴシック"/>
      <family val="3"/>
      <charset val="128"/>
    </font>
    <font>
      <u/>
      <sz val="11"/>
      <color theme="10"/>
      <name val="ＭＳ Ｐゴシック"/>
      <family val="2"/>
      <scheme val="minor"/>
    </font>
    <font>
      <b/>
      <sz val="14"/>
      <color rgb="FFFFFFFF"/>
      <name val="Yu Gothic UI"/>
      <family val="3"/>
      <charset val="128"/>
    </font>
    <font>
      <sz val="11"/>
      <color theme="1"/>
      <name val="Yu Gothic UI"/>
      <family val="3"/>
      <charset val="128"/>
    </font>
    <font>
      <b/>
      <sz val="11"/>
      <name val="Yu Gothic UI"/>
      <family val="3"/>
      <charset val="128"/>
    </font>
    <font>
      <b/>
      <sz val="11"/>
      <color rgb="FFFFFFFF"/>
      <name val="Yu Gothic UI"/>
      <family val="3"/>
      <charset val="128"/>
    </font>
    <font>
      <sz val="10"/>
      <name val="Yu Gothic UI"/>
      <family val="3"/>
      <charset val="128"/>
    </font>
    <font>
      <u/>
      <sz val="11"/>
      <color theme="10"/>
      <name val="Yu Gothic UI"/>
      <family val="3"/>
      <charset val="128"/>
    </font>
    <font>
      <sz val="10"/>
      <color theme="1"/>
      <name val="Yu Gothic UI"/>
      <family val="3"/>
      <charset val="128"/>
    </font>
    <font>
      <sz val="11"/>
      <name val="ＭＳ Ｐゴシック"/>
      <family val="3"/>
      <charset val="128"/>
    </font>
    <font>
      <b/>
      <sz val="28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color rgb="FFFFFFFF"/>
      <name val="Yu Gothic"/>
      <family val="3"/>
      <charset val="128"/>
    </font>
    <font>
      <sz val="10"/>
      <name val="Yu Gothic"/>
      <family val="3"/>
      <charset val="128"/>
    </font>
    <font>
      <sz val="11"/>
      <color theme="1"/>
      <name val="Microsoft JhengHei"/>
      <family val="2"/>
      <charset val="136"/>
    </font>
  </fonts>
  <fills count="29">
    <fill>
      <patternFill patternType="none"/>
    </fill>
    <fill>
      <patternFill patternType="gray125"/>
    </fill>
    <fill>
      <patternFill patternType="solid">
        <fgColor rgb="FFD6DCE5"/>
        <bgColor rgb="FFD6DCE5"/>
      </patternFill>
    </fill>
    <fill>
      <patternFill patternType="solid">
        <fgColor rgb="FFCCCCCC"/>
        <bgColor rgb="FFCCCCCC"/>
      </patternFill>
    </fill>
    <fill>
      <patternFill patternType="solid">
        <fgColor rgb="FFC00000"/>
        <bgColor rgb="FF4472C4"/>
      </patternFill>
    </fill>
    <fill>
      <patternFill patternType="solid">
        <fgColor rgb="FFC00000"/>
        <bgColor indexed="64"/>
      </patternFill>
    </fill>
    <fill>
      <patternFill patternType="solid">
        <fgColor rgb="FF2B9501"/>
        <bgColor rgb="FF4472C4"/>
      </patternFill>
    </fill>
    <fill>
      <patternFill patternType="solid">
        <fgColor theme="0" tint="-0.14999847407452621"/>
        <bgColor rgb="FFD6DCE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E3A5F"/>
        <bgColor rgb="FF1E3A5F"/>
      </patternFill>
    </fill>
    <fill>
      <patternFill patternType="solid">
        <fgColor rgb="FFE8F4FD"/>
        <bgColor rgb="FFE8F4FD"/>
      </patternFill>
    </fill>
    <fill>
      <patternFill patternType="solid">
        <fgColor rgb="FF2E5984"/>
        <bgColor rgb="FF2E5984"/>
      </patternFill>
    </fill>
    <fill>
      <patternFill patternType="solid">
        <fgColor rgb="FFF5FAFD"/>
        <bgColor rgb="FFF5FAFD"/>
      </patternFill>
    </fill>
    <fill>
      <patternFill patternType="solid">
        <fgColor rgb="FFF3F4F6"/>
        <bgColor rgb="FFF3F4F6"/>
      </patternFill>
    </fill>
    <fill>
      <patternFill patternType="solid">
        <fgColor rgb="FF3498DB"/>
        <bgColor rgb="FF3498DB"/>
      </patternFill>
    </fill>
    <fill>
      <patternFill patternType="solid">
        <fgColor rgb="FFFEF3C7"/>
        <bgColor rgb="FFFEF3C7"/>
      </patternFill>
    </fill>
    <fill>
      <patternFill patternType="solid">
        <fgColor rgb="FF9B59B6"/>
        <bgColor rgb="FF9B59B6"/>
      </patternFill>
    </fill>
    <fill>
      <patternFill patternType="solid">
        <fgColor rgb="FFD1FAE5"/>
        <bgColor rgb="FFD1FAE5"/>
      </patternFill>
    </fill>
    <fill>
      <patternFill patternType="solid">
        <fgColor rgb="FFE74C3C"/>
        <bgColor rgb="FFE74C3C"/>
      </patternFill>
    </fill>
    <fill>
      <patternFill patternType="solid">
        <fgColor rgb="FF2F5496"/>
        <bgColor rgb="FF2F5496"/>
      </patternFill>
    </fill>
    <fill>
      <patternFill patternType="solid">
        <fgColor rgb="FFD9E2F3"/>
        <bgColor rgb="FFD9E2F3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3333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4040"/>
        <bgColor rgb="FF404040"/>
      </patternFill>
    </fill>
    <fill>
      <patternFill patternType="solid">
        <fgColor rgb="FFFFFF99"/>
        <bgColor indexed="64"/>
      </patternFill>
    </fill>
  </fills>
  <borders count="6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38" fontId="11" fillId="0" borderId="0" applyFont="0" applyFill="0" applyBorder="0" applyAlignment="0" applyProtection="0">
      <alignment vertical="center"/>
    </xf>
    <xf numFmtId="38" fontId="1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48" fillId="0" borderId="0"/>
    <xf numFmtId="0" fontId="48" fillId="0" borderId="0" applyNumberFormat="0" applyFill="0" applyBorder="0" applyAlignment="0" applyProtection="0"/>
  </cellStyleXfs>
  <cellXfs count="271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49" fontId="0" fillId="0" borderId="0" xfId="0" applyNumberFormat="1"/>
    <xf numFmtId="0" fontId="10" fillId="3" borderId="0" xfId="0" applyFont="1" applyFill="1"/>
    <xf numFmtId="49" fontId="4" fillId="0" borderId="0" xfId="0" applyNumberFormat="1" applyFont="1"/>
    <xf numFmtId="0" fontId="7" fillId="0" borderId="0" xfId="0" applyFont="1"/>
    <xf numFmtId="0" fontId="12" fillId="0" borderId="0" xfId="0" applyFont="1"/>
    <xf numFmtId="49" fontId="12" fillId="0" borderId="0" xfId="0" applyNumberFormat="1" applyFont="1"/>
    <xf numFmtId="3" fontId="12" fillId="0" borderId="0" xfId="0" applyNumberFormat="1" applyFont="1"/>
    <xf numFmtId="176" fontId="12" fillId="0" borderId="0" xfId="0" applyNumberFormat="1" applyFont="1"/>
    <xf numFmtId="176" fontId="6" fillId="0" borderId="0" xfId="0" applyNumberFormat="1" applyFont="1"/>
    <xf numFmtId="38" fontId="12" fillId="0" borderId="0" xfId="1" applyFont="1" applyAlignment="1"/>
    <xf numFmtId="0" fontId="13" fillId="4" borderId="1" xfId="0" applyFont="1" applyFill="1" applyBorder="1" applyAlignment="1">
      <alignment horizontal="center" vertical="center" wrapText="1"/>
    </xf>
    <xf numFmtId="176" fontId="13" fillId="4" borderId="1" xfId="0" applyNumberFormat="1" applyFont="1" applyFill="1" applyBorder="1" applyAlignment="1">
      <alignment horizontal="center" vertical="center" wrapText="1"/>
    </xf>
    <xf numFmtId="49" fontId="13" fillId="4" borderId="1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9" fillId="6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/>
    </xf>
    <xf numFmtId="176" fontId="14" fillId="5" borderId="1" xfId="0" applyNumberFormat="1" applyFont="1" applyFill="1" applyBorder="1" applyAlignment="1">
      <alignment horizontal="center"/>
    </xf>
    <xf numFmtId="49" fontId="14" fillId="5" borderId="1" xfId="0" applyNumberFormat="1" applyFont="1" applyFill="1" applyBorder="1" applyAlignment="1">
      <alignment horizontal="center"/>
    </xf>
    <xf numFmtId="0" fontId="14" fillId="0" borderId="0" xfId="0" applyFont="1"/>
    <xf numFmtId="0" fontId="15" fillId="0" borderId="0" xfId="0" applyFont="1"/>
    <xf numFmtId="176" fontId="12" fillId="8" borderId="0" xfId="0" applyNumberFormat="1" applyFont="1" applyFill="1"/>
    <xf numFmtId="22" fontId="12" fillId="0" borderId="0" xfId="0" applyNumberFormat="1" applyFont="1"/>
    <xf numFmtId="38" fontId="12" fillId="0" borderId="0" xfId="1" applyFont="1" applyAlignment="1">
      <alignment horizontal="center"/>
    </xf>
    <xf numFmtId="38" fontId="13" fillId="4" borderId="1" xfId="1" applyFont="1" applyFill="1" applyBorder="1" applyAlignment="1">
      <alignment horizontal="center" vertical="center" wrapText="1"/>
    </xf>
    <xf numFmtId="22" fontId="12" fillId="0" borderId="0" xfId="0" applyNumberFormat="1" applyFont="1" applyAlignment="1">
      <alignment horizontal="left"/>
    </xf>
    <xf numFmtId="0" fontId="16" fillId="0" borderId="0" xfId="0" applyFont="1"/>
    <xf numFmtId="0" fontId="23" fillId="0" borderId="0" xfId="0" applyFont="1"/>
    <xf numFmtId="0" fontId="24" fillId="13" borderId="0" xfId="0" applyFont="1" applyFill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24" fillId="0" borderId="0" xfId="0" applyFont="1"/>
    <xf numFmtId="0" fontId="3" fillId="0" borderId="0" xfId="0" applyFont="1"/>
    <xf numFmtId="0" fontId="20" fillId="0" borderId="0" xfId="0" applyFont="1" applyAlignment="1">
      <alignment horizontal="right"/>
    </xf>
    <xf numFmtId="0" fontId="27" fillId="0" borderId="0" xfId="0" applyFont="1" applyAlignment="1">
      <alignment horizontal="right" vertical="center"/>
    </xf>
    <xf numFmtId="0" fontId="25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28" fillId="0" borderId="0" xfId="0" applyFont="1" applyAlignment="1">
      <alignment horizontal="right"/>
    </xf>
    <xf numFmtId="0" fontId="28" fillId="0" borderId="0" xfId="0" applyFont="1" applyAlignment="1">
      <alignment horizontal="right" vertical="center"/>
    </xf>
    <xf numFmtId="0" fontId="29" fillId="0" borderId="0" xfId="0" applyFont="1" applyAlignment="1">
      <alignment vertical="center" wrapText="1"/>
    </xf>
    <xf numFmtId="0" fontId="26" fillId="0" borderId="0" xfId="0" applyFont="1" applyAlignment="1">
      <alignment horizontal="right"/>
    </xf>
    <xf numFmtId="0" fontId="30" fillId="0" borderId="0" xfId="0" applyFont="1"/>
    <xf numFmtId="0" fontId="31" fillId="0" borderId="0" xfId="0" applyFont="1" applyAlignment="1">
      <alignment horizontal="left" vertical="center" wrapText="1"/>
    </xf>
    <xf numFmtId="0" fontId="31" fillId="0" borderId="0" xfId="0" applyFont="1" applyAlignment="1">
      <alignment vertical="center" wrapText="1"/>
    </xf>
    <xf numFmtId="0" fontId="29" fillId="0" borderId="0" xfId="0" applyFont="1"/>
    <xf numFmtId="0" fontId="31" fillId="0" borderId="0" xfId="0" applyFont="1"/>
    <xf numFmtId="0" fontId="26" fillId="0" borderId="0" xfId="0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14" fontId="4" fillId="0" borderId="0" xfId="0" applyNumberFormat="1" applyFont="1"/>
    <xf numFmtId="0" fontId="36" fillId="0" borderId="0" xfId="3" applyFont="1" applyAlignment="1">
      <alignment horizontal="center" vertical="center"/>
    </xf>
    <xf numFmtId="0" fontId="37" fillId="0" borderId="0" xfId="3" applyFont="1">
      <alignment vertical="center"/>
    </xf>
    <xf numFmtId="0" fontId="39" fillId="0" borderId="0" xfId="3" applyFont="1">
      <alignment vertical="center"/>
    </xf>
    <xf numFmtId="0" fontId="40" fillId="0" borderId="0" xfId="3" applyFont="1" applyAlignment="1">
      <alignment horizontal="left" vertical="center"/>
    </xf>
    <xf numFmtId="0" fontId="39" fillId="0" borderId="0" xfId="3" applyFont="1" applyAlignment="1">
      <alignment horizontal="left" vertical="center"/>
    </xf>
    <xf numFmtId="0" fontId="37" fillId="0" borderId="0" xfId="3" applyFont="1" applyAlignment="1">
      <alignment horizontal="left" vertical="center"/>
    </xf>
    <xf numFmtId="0" fontId="37" fillId="0" borderId="0" xfId="3" applyFont="1" applyAlignment="1">
      <alignment horizontal="center" vertical="center"/>
    </xf>
    <xf numFmtId="178" fontId="37" fillId="0" borderId="0" xfId="3" applyNumberFormat="1" applyFont="1" applyAlignment="1">
      <alignment horizontal="left" vertical="center"/>
    </xf>
    <xf numFmtId="38" fontId="12" fillId="0" borderId="0" xfId="1" applyFont="1" applyFill="1" applyAlignment="1"/>
    <xf numFmtId="0" fontId="37" fillId="0" borderId="0" xfId="0" applyFont="1" applyAlignment="1">
      <alignment vertical="center"/>
    </xf>
    <xf numFmtId="0" fontId="37" fillId="0" borderId="0" xfId="0" applyFont="1" applyAlignment="1">
      <alignment horizontal="right" vertical="center"/>
    </xf>
    <xf numFmtId="14" fontId="39" fillId="0" borderId="2" xfId="0" applyNumberFormat="1" applyFont="1" applyBorder="1" applyAlignment="1">
      <alignment horizontal="center" vertical="center"/>
    </xf>
    <xf numFmtId="0" fontId="37" fillId="0" borderId="3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4" xfId="0" applyFont="1" applyBorder="1" applyAlignment="1">
      <alignment horizontal="left" vertical="center"/>
    </xf>
    <xf numFmtId="0" fontId="39" fillId="0" borderId="5" xfId="0" applyFont="1" applyBorder="1" applyAlignment="1">
      <alignment vertical="center"/>
    </xf>
    <xf numFmtId="0" fontId="39" fillId="0" borderId="6" xfId="0" applyFont="1" applyBorder="1" applyAlignment="1">
      <alignment horizontal="center" vertical="center"/>
    </xf>
    <xf numFmtId="0" fontId="39" fillId="0" borderId="11" xfId="0" applyFont="1" applyBorder="1" applyAlignment="1">
      <alignment vertical="center"/>
    </xf>
    <xf numFmtId="0" fontId="39" fillId="0" borderId="12" xfId="0" applyFont="1" applyBorder="1" applyAlignment="1">
      <alignment horizontal="center" vertical="center"/>
    </xf>
    <xf numFmtId="0" fontId="39" fillId="0" borderId="12" xfId="0" applyFont="1" applyBorder="1" applyAlignment="1">
      <alignment vertical="center"/>
    </xf>
    <xf numFmtId="0" fontId="39" fillId="0" borderId="16" xfId="0" applyFont="1" applyBorder="1" applyAlignment="1">
      <alignment vertical="center"/>
    </xf>
    <xf numFmtId="0" fontId="39" fillId="0" borderId="17" xfId="0" applyFont="1" applyBorder="1" applyAlignment="1">
      <alignment vertical="center"/>
    </xf>
    <xf numFmtId="0" fontId="39" fillId="0" borderId="18" xfId="0" applyFont="1" applyBorder="1" applyAlignment="1">
      <alignment horizontal="center" vertical="center"/>
    </xf>
    <xf numFmtId="0" fontId="39" fillId="0" borderId="18" xfId="0" applyFont="1" applyBorder="1" applyAlignment="1">
      <alignment vertical="center"/>
    </xf>
    <xf numFmtId="0" fontId="39" fillId="0" borderId="22" xfId="0" applyFont="1" applyBorder="1" applyAlignment="1">
      <alignment vertical="center"/>
    </xf>
    <xf numFmtId="0" fontId="39" fillId="0" borderId="23" xfId="0" applyFont="1" applyBorder="1" applyAlignment="1">
      <alignment vertical="center"/>
    </xf>
    <xf numFmtId="0" fontId="39" fillId="0" borderId="24" xfId="0" applyFont="1" applyBorder="1" applyAlignment="1">
      <alignment horizontal="center" vertical="center"/>
    </xf>
    <xf numFmtId="0" fontId="39" fillId="0" borderId="25" xfId="0" applyFont="1" applyBorder="1" applyAlignment="1">
      <alignment vertical="center"/>
    </xf>
    <xf numFmtId="0" fontId="39" fillId="0" borderId="28" xfId="0" applyFont="1" applyBorder="1" applyAlignment="1">
      <alignment vertical="center"/>
    </xf>
    <xf numFmtId="0" fontId="39" fillId="0" borderId="29" xfId="0" applyFont="1" applyBorder="1" applyAlignment="1">
      <alignment vertical="center"/>
    </xf>
    <xf numFmtId="0" fontId="39" fillId="0" borderId="30" xfId="0" applyFont="1" applyBorder="1" applyAlignment="1">
      <alignment horizontal="center" vertical="center"/>
    </xf>
    <xf numFmtId="0" fontId="39" fillId="0" borderId="30" xfId="0" applyFont="1" applyBorder="1" applyAlignment="1">
      <alignment vertical="center"/>
    </xf>
    <xf numFmtId="0" fontId="39" fillId="0" borderId="34" xfId="0" applyFont="1" applyBorder="1" applyAlignment="1">
      <alignment vertical="center"/>
    </xf>
    <xf numFmtId="0" fontId="37" fillId="0" borderId="35" xfId="0" applyFont="1" applyBorder="1" applyAlignment="1">
      <alignment vertical="center"/>
    </xf>
    <xf numFmtId="14" fontId="37" fillId="0" borderId="36" xfId="0" applyNumberFormat="1" applyFont="1" applyBorder="1" applyAlignment="1">
      <alignment vertical="center"/>
    </xf>
    <xf numFmtId="0" fontId="37" fillId="0" borderId="37" xfId="0" applyFont="1" applyBorder="1" applyAlignment="1">
      <alignment horizontal="center" vertical="center"/>
    </xf>
    <xf numFmtId="0" fontId="37" fillId="0" borderId="38" xfId="0" applyFont="1" applyBorder="1" applyAlignment="1">
      <alignment horizontal="center" vertical="center"/>
    </xf>
    <xf numFmtId="0" fontId="37" fillId="0" borderId="42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37" fillId="0" borderId="44" xfId="0" applyFont="1" applyBorder="1" applyAlignment="1">
      <alignment horizontal="center" vertical="center"/>
    </xf>
    <xf numFmtId="0" fontId="37" fillId="0" borderId="45" xfId="0" applyFont="1" applyBorder="1" applyAlignment="1">
      <alignment horizontal="center" vertical="center"/>
    </xf>
    <xf numFmtId="0" fontId="37" fillId="0" borderId="35" xfId="0" applyFont="1" applyBorder="1" applyAlignment="1">
      <alignment horizontal="center" vertical="center"/>
    </xf>
    <xf numFmtId="0" fontId="37" fillId="0" borderId="49" xfId="0" applyFont="1" applyBorder="1" applyAlignment="1">
      <alignment horizontal="center" vertical="center"/>
    </xf>
    <xf numFmtId="0" fontId="37" fillId="0" borderId="50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54" xfId="0" applyFont="1" applyBorder="1" applyAlignment="1">
      <alignment horizontal="center" vertical="center"/>
    </xf>
    <xf numFmtId="0" fontId="39" fillId="0" borderId="55" xfId="0" applyFont="1" applyBorder="1" applyAlignment="1">
      <alignment horizontal="center" vertical="center"/>
    </xf>
    <xf numFmtId="0" fontId="39" fillId="0" borderId="56" xfId="0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7" fillId="0" borderId="57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0" borderId="28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0" fontId="37" fillId="0" borderId="30" xfId="0" applyFont="1" applyBorder="1" applyAlignment="1">
      <alignment vertical="center"/>
    </xf>
    <xf numFmtId="0" fontId="37" fillId="0" borderId="34" xfId="0" applyFont="1" applyBorder="1" applyAlignment="1">
      <alignment vertical="center"/>
    </xf>
    <xf numFmtId="0" fontId="37" fillId="0" borderId="58" xfId="0" applyFont="1" applyBorder="1" applyAlignment="1">
      <alignment vertical="center"/>
    </xf>
    <xf numFmtId="0" fontId="37" fillId="0" borderId="59" xfId="0" applyFont="1" applyBorder="1" applyAlignment="1">
      <alignment vertical="center"/>
    </xf>
    <xf numFmtId="0" fontId="37" fillId="0" borderId="60" xfId="0" applyFont="1" applyBorder="1" applyAlignment="1">
      <alignment vertical="center"/>
    </xf>
    <xf numFmtId="0" fontId="37" fillId="0" borderId="36" xfId="0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37" fillId="0" borderId="50" xfId="0" applyFont="1" applyBorder="1" applyAlignment="1">
      <alignment vertical="center"/>
    </xf>
    <xf numFmtId="0" fontId="37" fillId="0" borderId="32" xfId="0" applyFont="1" applyBorder="1" applyAlignment="1">
      <alignment vertical="center"/>
    </xf>
    <xf numFmtId="0" fontId="37" fillId="0" borderId="9" xfId="0" applyFont="1" applyBorder="1" applyAlignment="1">
      <alignment vertical="center"/>
    </xf>
    <xf numFmtId="0" fontId="43" fillId="0" borderId="0" xfId="0" applyFont="1"/>
    <xf numFmtId="0" fontId="44" fillId="0" borderId="0" xfId="0" applyFont="1"/>
    <xf numFmtId="0" fontId="45" fillId="0" borderId="0" xfId="0" applyFont="1"/>
    <xf numFmtId="0" fontId="42" fillId="24" borderId="1" xfId="0" applyFont="1" applyFill="1" applyBorder="1" applyAlignment="1">
      <alignment horizontal="center"/>
    </xf>
    <xf numFmtId="0" fontId="43" fillId="25" borderId="1" xfId="0" applyFont="1" applyFill="1" applyBorder="1"/>
    <xf numFmtId="179" fontId="43" fillId="25" borderId="1" xfId="0" applyNumberFormat="1" applyFont="1" applyFill="1" applyBorder="1"/>
    <xf numFmtId="38" fontId="17" fillId="0" borderId="1" xfId="1" applyFont="1" applyFill="1" applyBorder="1" applyAlignment="1"/>
    <xf numFmtId="0" fontId="6" fillId="2" borderId="0" xfId="0" applyFont="1" applyFill="1"/>
    <xf numFmtId="0" fontId="46" fillId="0" borderId="1" xfId="0" applyFont="1" applyBorder="1" applyAlignment="1">
      <alignment horizontal="center"/>
    </xf>
    <xf numFmtId="180" fontId="47" fillId="0" borderId="1" xfId="1" applyNumberFormat="1" applyFont="1" applyFill="1" applyBorder="1" applyAlignment="1"/>
    <xf numFmtId="0" fontId="47" fillId="0" borderId="1" xfId="0" applyFont="1" applyBorder="1"/>
    <xf numFmtId="177" fontId="47" fillId="0" borderId="1" xfId="0" applyNumberFormat="1" applyFont="1" applyBorder="1"/>
    <xf numFmtId="4" fontId="47" fillId="0" borderId="1" xfId="0" applyNumberFormat="1" applyFont="1" applyBorder="1"/>
    <xf numFmtId="1" fontId="47" fillId="0" borderId="1" xfId="0" applyNumberFormat="1" applyFont="1" applyBorder="1" applyAlignment="1">
      <alignment horizontal="right"/>
    </xf>
    <xf numFmtId="180" fontId="47" fillId="0" borderId="1" xfId="0" applyNumberFormat="1" applyFont="1" applyBorder="1"/>
    <xf numFmtId="0" fontId="47" fillId="0" borderId="0" xfId="0" applyFont="1"/>
    <xf numFmtId="176" fontId="47" fillId="0" borderId="0" xfId="0" applyNumberFormat="1" applyFont="1"/>
    <xf numFmtId="49" fontId="47" fillId="0" borderId="0" xfId="0" applyNumberFormat="1" applyFont="1"/>
    <xf numFmtId="177" fontId="47" fillId="0" borderId="0" xfId="0" applyNumberFormat="1" applyFont="1"/>
    <xf numFmtId="49" fontId="0" fillId="26" borderId="0" xfId="0" applyNumberFormat="1" applyFill="1"/>
    <xf numFmtId="0" fontId="0" fillId="26" borderId="0" xfId="0" applyFill="1"/>
    <xf numFmtId="0" fontId="17" fillId="0" borderId="1" xfId="0" applyFont="1" applyBorder="1"/>
    <xf numFmtId="177" fontId="17" fillId="0" borderId="1" xfId="0" applyNumberFormat="1" applyFont="1" applyBorder="1"/>
    <xf numFmtId="49" fontId="17" fillId="0" borderId="1" xfId="0" applyNumberFormat="1" applyFont="1" applyBorder="1"/>
    <xf numFmtId="0" fontId="50" fillId="0" borderId="0" xfId="0" applyFont="1"/>
    <xf numFmtId="0" fontId="52" fillId="19" borderId="1" xfId="0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21" borderId="1" xfId="0" applyFont="1" applyFill="1" applyBorder="1" applyAlignment="1">
      <alignment vertical="center"/>
    </xf>
    <xf numFmtId="0" fontId="50" fillId="0" borderId="1" xfId="0" applyFont="1" applyBorder="1"/>
    <xf numFmtId="0" fontId="55" fillId="0" borderId="1" xfId="0" applyFont="1" applyBorder="1" applyAlignment="1">
      <alignment vertical="center" wrapText="1"/>
    </xf>
    <xf numFmtId="0" fontId="50" fillId="0" borderId="1" xfId="0" applyFont="1" applyBorder="1" applyAlignment="1">
      <alignment vertical="center" wrapText="1"/>
    </xf>
    <xf numFmtId="0" fontId="59" fillId="0" borderId="0" xfId="5" applyFont="1">
      <alignment vertical="center"/>
    </xf>
    <xf numFmtId="0" fontId="59" fillId="0" borderId="1" xfId="5" applyFont="1" applyBorder="1" applyAlignment="1">
      <alignment horizontal="center" vertical="center"/>
    </xf>
    <xf numFmtId="0" fontId="59" fillId="0" borderId="0" xfId="5" applyFont="1" applyAlignment="1">
      <alignment horizontal="left" vertical="center"/>
    </xf>
    <xf numFmtId="0" fontId="59" fillId="0" borderId="20" xfId="5" applyFont="1" applyBorder="1">
      <alignment vertical="center"/>
    </xf>
    <xf numFmtId="0" fontId="59" fillId="0" borderId="63" xfId="5" applyFont="1" applyBorder="1">
      <alignment vertical="center"/>
    </xf>
    <xf numFmtId="0" fontId="59" fillId="0" borderId="63" xfId="5" applyFont="1" applyBorder="1" applyAlignment="1">
      <alignment horizontal="left" vertical="center"/>
    </xf>
    <xf numFmtId="0" fontId="51" fillId="20" borderId="0" xfId="0" applyFont="1" applyFill="1"/>
    <xf numFmtId="0" fontId="54" fillId="0" borderId="1" xfId="6" applyFont="1" applyBorder="1" applyAlignment="1">
      <alignment vertical="center" wrapText="1"/>
    </xf>
    <xf numFmtId="0" fontId="62" fillId="0" borderId="0" xfId="0" applyFont="1"/>
    <xf numFmtId="49" fontId="9" fillId="6" borderId="1" xfId="0" applyNumberFormat="1" applyFont="1" applyFill="1" applyBorder="1" applyAlignment="1">
      <alignment horizontal="center" vertical="center" wrapText="1"/>
    </xf>
    <xf numFmtId="0" fontId="48" fillId="21" borderId="1" xfId="7" applyFill="1" applyBorder="1" applyAlignment="1">
      <alignment vertical="center"/>
    </xf>
    <xf numFmtId="0" fontId="48" fillId="0" borderId="0" xfId="7" applyAlignment="1"/>
    <xf numFmtId="0" fontId="12" fillId="8" borderId="0" xfId="0" applyFont="1" applyFill="1"/>
    <xf numFmtId="0" fontId="4" fillId="28" borderId="0" xfId="0" applyFont="1" applyFill="1"/>
    <xf numFmtId="49" fontId="4" fillId="28" borderId="0" xfId="0" applyNumberFormat="1" applyFont="1" applyFill="1"/>
    <xf numFmtId="14" fontId="4" fillId="28" borderId="0" xfId="0" applyNumberFormat="1" applyFont="1" applyFill="1"/>
    <xf numFmtId="0" fontId="6" fillId="7" borderId="0" xfId="0" applyFont="1" applyFill="1"/>
    <xf numFmtId="0" fontId="4" fillId="8" borderId="0" xfId="0" applyFont="1" applyFill="1"/>
    <xf numFmtId="0" fontId="6" fillId="2" borderId="0" xfId="0" applyFont="1" applyFill="1"/>
    <xf numFmtId="0" fontId="4" fillId="0" borderId="0" xfId="0" applyFont="1"/>
    <xf numFmtId="0" fontId="41" fillId="23" borderId="0" xfId="0" applyFont="1" applyFill="1"/>
    <xf numFmtId="0" fontId="61" fillId="27" borderId="0" xfId="0" applyFont="1" applyFill="1"/>
    <xf numFmtId="0" fontId="50" fillId="0" borderId="0" xfId="0" applyFont="1"/>
    <xf numFmtId="0" fontId="52" fillId="19" borderId="1" xfId="0" applyFont="1" applyFill="1" applyBorder="1" applyAlignment="1">
      <alignment vertical="center"/>
    </xf>
    <xf numFmtId="0" fontId="51" fillId="22" borderId="0" xfId="0" applyFont="1" applyFill="1"/>
    <xf numFmtId="0" fontId="49" fillId="19" borderId="0" xfId="0" applyFont="1" applyFill="1"/>
    <xf numFmtId="0" fontId="51" fillId="20" borderId="0" xfId="0" applyFont="1" applyFill="1"/>
    <xf numFmtId="0" fontId="31" fillId="0" borderId="0" xfId="0" applyFont="1" applyAlignment="1">
      <alignment vertical="center" wrapText="1"/>
    </xf>
    <xf numFmtId="0" fontId="30" fillId="0" borderId="0" xfId="0" applyFont="1"/>
    <xf numFmtId="0" fontId="22" fillId="12" borderId="0" xfId="0" applyFont="1" applyFill="1" applyAlignment="1">
      <alignment vertical="center"/>
    </xf>
    <xf numFmtId="0" fontId="18" fillId="9" borderId="0" xfId="0" applyFont="1" applyFill="1" applyAlignment="1">
      <alignment horizontal="center" vertical="center"/>
    </xf>
    <xf numFmtId="0" fontId="0" fillId="0" borderId="0" xfId="0"/>
    <xf numFmtId="0" fontId="19" fillId="10" borderId="0" xfId="0" applyFont="1" applyFill="1" applyAlignment="1">
      <alignment vertical="center"/>
    </xf>
    <xf numFmtId="0" fontId="21" fillId="11" borderId="0" xfId="0" applyFont="1" applyFill="1" applyAlignment="1">
      <alignment vertical="center"/>
    </xf>
    <xf numFmtId="0" fontId="34" fillId="0" borderId="0" xfId="0" applyFont="1" applyAlignment="1">
      <alignment horizontal="center" vertical="center"/>
    </xf>
    <xf numFmtId="0" fontId="29" fillId="0" borderId="0" xfId="0" applyFont="1" applyAlignment="1">
      <alignment vertical="center" wrapText="1"/>
    </xf>
    <xf numFmtId="0" fontId="32" fillId="15" borderId="0" xfId="0" applyFont="1" applyFill="1" applyAlignment="1">
      <alignment vertical="center" wrapText="1"/>
    </xf>
    <xf numFmtId="0" fontId="33" fillId="0" borderId="0" xfId="0" applyFont="1"/>
    <xf numFmtId="0" fontId="35" fillId="0" borderId="0" xfId="0" applyFont="1" applyAlignment="1">
      <alignment horizontal="center" vertical="center"/>
    </xf>
    <xf numFmtId="0" fontId="29" fillId="10" borderId="0" xfId="0" applyFont="1" applyFill="1" applyAlignment="1">
      <alignment vertical="center" wrapText="1"/>
    </xf>
    <xf numFmtId="0" fontId="29" fillId="17" borderId="0" xfId="0" applyFont="1" applyFill="1" applyAlignment="1">
      <alignment horizontal="left" vertical="center" wrapText="1"/>
    </xf>
    <xf numFmtId="0" fontId="30" fillId="0" borderId="0" xfId="0" applyFont="1" applyAlignment="1">
      <alignment horizontal="left"/>
    </xf>
    <xf numFmtId="14" fontId="37" fillId="0" borderId="25" xfId="0" applyNumberFormat="1" applyFont="1" applyBorder="1" applyAlignment="1">
      <alignment horizontal="center" vertical="center"/>
    </xf>
    <xf numFmtId="14" fontId="37" fillId="0" borderId="26" xfId="0" applyNumberFormat="1" applyFont="1" applyBorder="1" applyAlignment="1">
      <alignment horizontal="center" vertical="center"/>
    </xf>
    <xf numFmtId="14" fontId="37" fillId="0" borderId="27" xfId="0" applyNumberFormat="1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40" fontId="39" fillId="0" borderId="0" xfId="1" applyNumberFormat="1" applyFont="1" applyBorder="1" applyAlignment="1">
      <alignment horizontal="center" vertical="center"/>
    </xf>
    <xf numFmtId="0" fontId="37" fillId="0" borderId="46" xfId="0" applyFont="1" applyBorder="1" applyAlignment="1">
      <alignment horizontal="center" vertical="center"/>
    </xf>
    <xf numFmtId="0" fontId="37" fillId="0" borderId="47" xfId="0" applyFont="1" applyBorder="1" applyAlignment="1">
      <alignment horizontal="center" vertical="center"/>
    </xf>
    <xf numFmtId="0" fontId="37" fillId="0" borderId="48" xfId="0" applyFont="1" applyBorder="1" applyAlignment="1">
      <alignment horizontal="center" vertical="center"/>
    </xf>
    <xf numFmtId="0" fontId="37" fillId="0" borderId="51" xfId="0" applyFon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/>
    </xf>
    <xf numFmtId="0" fontId="37" fillId="0" borderId="5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178" fontId="37" fillId="0" borderId="25" xfId="0" applyNumberFormat="1" applyFont="1" applyBorder="1" applyAlignment="1">
      <alignment horizontal="left" vertical="center"/>
    </xf>
    <xf numFmtId="178" fontId="37" fillId="0" borderId="26" xfId="0" applyNumberFormat="1" applyFont="1" applyBorder="1" applyAlignment="1">
      <alignment horizontal="left" vertical="center"/>
    </xf>
    <xf numFmtId="178" fontId="37" fillId="0" borderId="43" xfId="0" applyNumberFormat="1" applyFont="1" applyBorder="1" applyAlignment="1">
      <alignment horizontal="left" vertical="center"/>
    </xf>
    <xf numFmtId="0" fontId="39" fillId="0" borderId="31" xfId="0" applyFont="1" applyBorder="1" applyAlignment="1">
      <alignment vertical="center"/>
    </xf>
    <xf numFmtId="0" fontId="39" fillId="0" borderId="32" xfId="0" applyFont="1" applyBorder="1" applyAlignment="1">
      <alignment vertical="center"/>
    </xf>
    <xf numFmtId="0" fontId="39" fillId="0" borderId="33" xfId="0" applyFont="1" applyBorder="1" applyAlignment="1">
      <alignment vertical="center"/>
    </xf>
    <xf numFmtId="0" fontId="39" fillId="0" borderId="39" xfId="0" applyFont="1" applyBorder="1" applyAlignment="1">
      <alignment horizontal="left" vertical="center"/>
    </xf>
    <xf numFmtId="0" fontId="39" fillId="0" borderId="40" xfId="0" applyFont="1" applyBorder="1" applyAlignment="1">
      <alignment horizontal="left" vertical="center"/>
    </xf>
    <xf numFmtId="0" fontId="39" fillId="0" borderId="41" xfId="0" applyFont="1" applyBorder="1" applyAlignment="1">
      <alignment horizontal="left" vertical="center"/>
    </xf>
    <xf numFmtId="0" fontId="39" fillId="0" borderId="25" xfId="0" applyFont="1" applyBorder="1" applyAlignment="1">
      <alignment horizontal="left" vertical="center"/>
    </xf>
    <xf numFmtId="0" fontId="39" fillId="0" borderId="26" xfId="0" applyFont="1" applyBorder="1" applyAlignment="1">
      <alignment horizontal="left" vertical="center"/>
    </xf>
    <xf numFmtId="0" fontId="39" fillId="0" borderId="43" xfId="0" applyFont="1" applyBorder="1" applyAlignment="1">
      <alignment horizontal="left" vertical="center"/>
    </xf>
    <xf numFmtId="0" fontId="39" fillId="0" borderId="46" xfId="0" applyFont="1" applyBorder="1" applyAlignment="1">
      <alignment horizontal="left" vertical="center"/>
    </xf>
    <xf numFmtId="0" fontId="39" fillId="0" borderId="47" xfId="0" applyFont="1" applyBorder="1" applyAlignment="1">
      <alignment horizontal="left" vertical="center"/>
    </xf>
    <xf numFmtId="0" fontId="39" fillId="0" borderId="48" xfId="0" applyFont="1" applyBorder="1" applyAlignment="1">
      <alignment horizontal="left" vertical="center"/>
    </xf>
    <xf numFmtId="0" fontId="37" fillId="0" borderId="46" xfId="0" applyFont="1" applyBorder="1" applyAlignment="1">
      <alignment horizontal="left" vertical="center"/>
    </xf>
    <xf numFmtId="0" fontId="37" fillId="0" borderId="47" xfId="0" applyFont="1" applyBorder="1" applyAlignment="1">
      <alignment horizontal="left" vertical="center"/>
    </xf>
    <xf numFmtId="0" fontId="37" fillId="0" borderId="48" xfId="0" applyFont="1" applyBorder="1" applyAlignment="1">
      <alignment horizontal="left" vertical="center"/>
    </xf>
    <xf numFmtId="0" fontId="37" fillId="0" borderId="51" xfId="0" applyFont="1" applyBorder="1" applyAlignment="1">
      <alignment horizontal="left" vertical="center"/>
    </xf>
    <xf numFmtId="0" fontId="37" fillId="0" borderId="52" xfId="0" applyFont="1" applyBorder="1" applyAlignment="1">
      <alignment horizontal="left" vertical="center"/>
    </xf>
    <xf numFmtId="0" fontId="37" fillId="0" borderId="53" xfId="0" applyFont="1" applyBorder="1" applyAlignment="1">
      <alignment horizontal="left" vertical="center"/>
    </xf>
    <xf numFmtId="0" fontId="37" fillId="0" borderId="39" xfId="0" applyFont="1" applyBorder="1" applyAlignment="1">
      <alignment horizontal="center" vertical="center"/>
    </xf>
    <xf numFmtId="0" fontId="37" fillId="0" borderId="40" xfId="0" applyFont="1" applyBorder="1" applyAlignment="1">
      <alignment horizontal="center" vertical="center"/>
    </xf>
    <xf numFmtId="0" fontId="37" fillId="0" borderId="41" xfId="0" applyFont="1" applyBorder="1" applyAlignment="1">
      <alignment horizontal="center" vertical="center"/>
    </xf>
    <xf numFmtId="0" fontId="39" fillId="0" borderId="25" xfId="0" applyFont="1" applyBorder="1" applyAlignment="1">
      <alignment vertical="center"/>
    </xf>
    <xf numFmtId="0" fontId="39" fillId="0" borderId="26" xfId="0" applyFont="1" applyBorder="1" applyAlignment="1">
      <alignment vertical="center"/>
    </xf>
    <xf numFmtId="0" fontId="39" fillId="0" borderId="27" xfId="0" applyFont="1" applyBorder="1" applyAlignment="1">
      <alignment vertical="center"/>
    </xf>
    <xf numFmtId="0" fontId="36" fillId="0" borderId="0" xfId="0" applyFont="1" applyAlignment="1">
      <alignment horizontal="center" vertical="center"/>
    </xf>
    <xf numFmtId="0" fontId="40" fillId="0" borderId="7" xfId="0" applyFont="1" applyBorder="1" applyAlignment="1">
      <alignment horizontal="left" vertical="center"/>
    </xf>
    <xf numFmtId="0" fontId="40" fillId="0" borderId="8" xfId="0" applyFont="1" applyBorder="1" applyAlignment="1">
      <alignment horizontal="left" vertical="center"/>
    </xf>
    <xf numFmtId="0" fontId="40" fillId="0" borderId="9" xfId="0" applyFont="1" applyBorder="1" applyAlignment="1">
      <alignment horizontal="left" vertical="center"/>
    </xf>
    <xf numFmtId="0" fontId="39" fillId="0" borderId="7" xfId="0" applyFont="1" applyBorder="1" applyAlignment="1">
      <alignment horizontal="left" vertical="center"/>
    </xf>
    <xf numFmtId="0" fontId="39" fillId="0" borderId="8" xfId="0" applyFont="1" applyBorder="1" applyAlignment="1">
      <alignment horizontal="left" vertical="center"/>
    </xf>
    <xf numFmtId="0" fontId="39" fillId="0" borderId="10" xfId="0" applyFont="1" applyBorder="1" applyAlignment="1">
      <alignment horizontal="left" vertical="center"/>
    </xf>
    <xf numFmtId="0" fontId="39" fillId="0" borderId="13" xfId="0" applyFont="1" applyBorder="1" applyAlignment="1">
      <alignment vertical="center"/>
    </xf>
    <xf numFmtId="0" fontId="39" fillId="0" borderId="14" xfId="0" applyFont="1" applyBorder="1" applyAlignment="1">
      <alignment vertical="center"/>
    </xf>
    <xf numFmtId="0" fontId="39" fillId="0" borderId="15" xfId="0" applyFont="1" applyBorder="1" applyAlignment="1">
      <alignment vertical="center"/>
    </xf>
    <xf numFmtId="0" fontId="39" fillId="0" borderId="19" xfId="0" applyFont="1" applyBorder="1" applyAlignment="1">
      <alignment vertical="center"/>
    </xf>
    <xf numFmtId="0" fontId="39" fillId="0" borderId="20" xfId="0" applyFont="1" applyBorder="1" applyAlignment="1">
      <alignment vertical="center"/>
    </xf>
    <xf numFmtId="0" fontId="39" fillId="0" borderId="21" xfId="0" applyFont="1" applyBorder="1" applyAlignment="1">
      <alignment vertical="center"/>
    </xf>
    <xf numFmtId="0" fontId="60" fillId="0" borderId="20" xfId="5" applyFont="1" applyBorder="1" applyAlignment="1">
      <alignment horizontal="center" vertical="center"/>
    </xf>
    <xf numFmtId="0" fontId="57" fillId="0" borderId="5" xfId="5" applyFont="1" applyBorder="1" applyAlignment="1">
      <alignment horizontal="center" vertical="center"/>
    </xf>
    <xf numFmtId="0" fontId="57" fillId="0" borderId="6" xfId="5" applyFont="1" applyBorder="1" applyAlignment="1">
      <alignment horizontal="center" vertical="center"/>
    </xf>
    <xf numFmtId="0" fontId="57" fillId="0" borderId="62" xfId="5" applyFont="1" applyBorder="1" applyAlignment="1">
      <alignment horizontal="center" vertical="center"/>
    </xf>
    <xf numFmtId="0" fontId="59" fillId="0" borderId="1" xfId="5" applyFont="1" applyBorder="1" applyAlignment="1">
      <alignment horizontal="left" vertical="center"/>
    </xf>
    <xf numFmtId="0" fontId="17" fillId="0" borderId="1" xfId="0" applyFont="1" applyFill="1" applyBorder="1"/>
    <xf numFmtId="56" fontId="17" fillId="0" borderId="1" xfId="0" applyNumberFormat="1" applyFont="1" applyFill="1" applyBorder="1"/>
    <xf numFmtId="177" fontId="17" fillId="0" borderId="1" xfId="0" applyNumberFormat="1" applyFont="1" applyFill="1" applyBorder="1"/>
    <xf numFmtId="49" fontId="17" fillId="0" borderId="1" xfId="0" applyNumberFormat="1" applyFont="1" applyFill="1" applyBorder="1"/>
    <xf numFmtId="1" fontId="17" fillId="0" borderId="1" xfId="0" applyNumberFormat="1" applyFont="1" applyFill="1" applyBorder="1"/>
    <xf numFmtId="4" fontId="17" fillId="0" borderId="1" xfId="0" applyNumberFormat="1" applyFont="1" applyFill="1" applyBorder="1"/>
    <xf numFmtId="14" fontId="17" fillId="0" borderId="1" xfId="0" applyNumberFormat="1" applyFont="1" applyFill="1" applyBorder="1"/>
    <xf numFmtId="15" fontId="17" fillId="0" borderId="1" xfId="0" applyNumberFormat="1" applyFont="1" applyFill="1" applyBorder="1"/>
    <xf numFmtId="0" fontId="17" fillId="0" borderId="61" xfId="0" applyFont="1" applyFill="1" applyBorder="1"/>
    <xf numFmtId="56" fontId="17" fillId="0" borderId="61" xfId="0" applyNumberFormat="1" applyFont="1" applyFill="1" applyBorder="1"/>
    <xf numFmtId="177" fontId="17" fillId="0" borderId="61" xfId="0" applyNumberFormat="1" applyFont="1" applyFill="1" applyBorder="1"/>
    <xf numFmtId="49" fontId="17" fillId="0" borderId="61" xfId="0" applyNumberFormat="1" applyFont="1" applyFill="1" applyBorder="1"/>
    <xf numFmtId="1" fontId="17" fillId="0" borderId="61" xfId="0" applyNumberFormat="1" applyFont="1" applyFill="1" applyBorder="1"/>
    <xf numFmtId="4" fontId="17" fillId="0" borderId="61" xfId="0" applyNumberFormat="1" applyFont="1" applyFill="1" applyBorder="1"/>
    <xf numFmtId="38" fontId="17" fillId="0" borderId="61" xfId="0" applyNumberFormat="1" applyFont="1" applyFill="1" applyBorder="1"/>
    <xf numFmtId="14" fontId="17" fillId="0" borderId="61" xfId="0" applyNumberFormat="1" applyFont="1" applyFill="1" applyBorder="1"/>
    <xf numFmtId="15" fontId="17" fillId="0" borderId="61" xfId="0" applyNumberFormat="1" applyFont="1" applyFill="1" applyBorder="1"/>
    <xf numFmtId="0" fontId="17" fillId="0" borderId="1" xfId="0" applyFont="1" applyFill="1" applyBorder="1" applyAlignment="1">
      <alignment horizontal="left"/>
    </xf>
  </cellXfs>
  <cellStyles count="8">
    <cellStyle name="ハイパーリンク" xfId="7" builtinId="8"/>
    <cellStyle name="ハイパーリンク 2" xfId="6" xr:uid="{87FB89B1-D453-43A2-BC99-DD5FFE35C5E9}"/>
    <cellStyle name="桁区切り" xfId="1" builtinId="6"/>
    <cellStyle name="桁区切り 2" xfId="2" xr:uid="{DE00BE52-40A9-4DF2-9581-FA0693017F68}"/>
    <cellStyle name="桁区切り 3" xfId="4" xr:uid="{A77C39E5-D9E7-4030-9C17-F39BB43CB004}"/>
    <cellStyle name="標準" xfId="0" builtinId="0"/>
    <cellStyle name="標準 2" xfId="3" xr:uid="{FC6575F6-3AB9-4C30-A169-25E64A4E375C}"/>
    <cellStyle name="標準 3" xfId="5" xr:uid="{1D954834-5291-443B-88F7-C4830F6EDDF5}"/>
  </cellStyles>
  <dxfs count="4">
    <dxf>
      <fill>
        <patternFill>
          <bgColor theme="6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59996337778862885"/>
        </patternFill>
      </fill>
    </dxf>
  </dxfs>
  <tableStyles count="0" defaultTableStyle="TableStyleMedium9" defaultPivotStyle="PivotStyleLight16"/>
  <colors>
    <mruColors>
      <color rgb="FFF2B800"/>
      <color rgb="FFFFE285"/>
      <color rgb="FFFFD347"/>
      <color rgb="FF9F9403"/>
      <color rgb="FFB0A300"/>
      <color rgb="FFDAA600"/>
      <color rgb="FFEBE600"/>
      <color rgb="FF2B9501"/>
      <color rgb="FFFFFFCC"/>
      <color rgb="FFF7D0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file:///K:\100_&#20844;&#38283;&#24773;&#22577;\004_&#21830;&#21697;&#37096;&#26989;&#21209;&#65319;\&#26862;&#21407;\&#24029;&#28716;\&#9679;&#12500;&#12540;&#12467;&#12483;&#12463;\&#12500;&#12540;&#12467;&#12483;&#12463;&#27096;&#20837;&#33655;&#20104;&#23450;&#34920;_Ver1.0.xlsm" TargetMode="External"/><Relationship Id="rId18" Type="http://schemas.microsoft.com/office/2007/relationships/hdphoto" Target="../media/hdphoto3.wdp"/><Relationship Id="rId3" Type="http://schemas.openxmlformats.org/officeDocument/2006/relationships/hyperlink" Target="file:///\\kte\kte-files\kte-sv1\public01\004-&#21830;&#21697;&#37096;&#26989;&#21209;&#65319;\KEN-CORP\&#36664;&#20837;&#26360;&#39006;\&#12516;&#12540;&#12510;&#12531;\2026&#24180;" TargetMode="External"/><Relationship Id="rId7" Type="http://schemas.openxmlformats.org/officeDocument/2006/relationships/image" Target="../media/image2.svg"/><Relationship Id="rId12" Type="http://schemas.openxmlformats.org/officeDocument/2006/relationships/hyperlink" Target="https://wiki.cogneon.de/Microsoft_365" TargetMode="External"/><Relationship Id="rId17" Type="http://schemas.openxmlformats.org/officeDocument/2006/relationships/image" Target="../media/image7.png"/><Relationship Id="rId2" Type="http://schemas.openxmlformats.org/officeDocument/2006/relationships/hyperlink" Target="file:///\\kte\kte-files\kte-sv1\public01\004-&#21830;&#21697;&#37096;&#26989;&#21209;&#65319;\KEN-CORP\&#36664;&#20837;&#26360;&#39006;\&#27671;&#39640;\2026&#24180;" TargetMode="External"/><Relationship Id="rId16" Type="http://schemas.microsoft.com/office/2007/relationships/hdphoto" Target="../media/hdphoto2.wdp"/><Relationship Id="rId1" Type="http://schemas.openxmlformats.org/officeDocument/2006/relationships/hyperlink" Target="file:///L:\004-&#21830;&#21697;&#37096;&#26989;&#21209;&#65319;\KEN-CORP\&#36664;&#20837;&#26360;&#39006;\&#20803;&#12487;&#12540;&#12479;&#20445;&#23384;&#20808;" TargetMode="External"/><Relationship Id="rId6" Type="http://schemas.openxmlformats.org/officeDocument/2006/relationships/image" Target="../media/image1.png"/><Relationship Id="rId11" Type="http://schemas.openxmlformats.org/officeDocument/2006/relationships/image" Target="../media/image4.png"/><Relationship Id="rId5" Type="http://schemas.openxmlformats.org/officeDocument/2006/relationships/hyperlink" Target="file:///\\kte\kte-files\kte-sv1\public01\004-&#21830;&#21697;&#37096;&#26989;&#21209;&#65319;\KEN-CORP\&#36664;&#20837;&#26360;&#39006;\&#12500;&#12540;&#12467;&#12483;&#12463;\2026&#24180;" TargetMode="External"/><Relationship Id="rId15" Type="http://schemas.openxmlformats.org/officeDocument/2006/relationships/image" Target="../media/image6.png"/><Relationship Id="rId10" Type="http://schemas.openxmlformats.org/officeDocument/2006/relationships/hyperlink" Target="file:///\\kte\kte-files\kte-sv1\public\100_&#20844;&#38283;&#24773;&#22577;\004_&#21830;&#21697;&#37096;&#26989;&#21209;&#65319;\&#26862;&#21407;\&#36664;&#20986;&#26989;&#21209;\&#12452;&#12531;&#12473;&#12488;&#12531;.xlsx" TargetMode="External"/><Relationship Id="rId4" Type="http://schemas.openxmlformats.org/officeDocument/2006/relationships/hyperlink" Target="file:///\\kte\kte-files\kte-sv1\public01\004-&#21830;&#21697;&#37096;&#26989;&#21209;&#65319;\KEN-CORP\&#36664;&#20837;&#26360;&#39006;\&#12479;&#12452;&#12460;&#12540;\2026&#24180;" TargetMode="External"/><Relationship Id="rId9" Type="http://schemas.microsoft.com/office/2007/relationships/hdphoto" Target="../media/hdphoto1.wdp"/><Relationship Id="rId1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</xdr:colOff>
      <xdr:row>14</xdr:row>
      <xdr:rowOff>235324</xdr:rowOff>
    </xdr:from>
    <xdr:to>
      <xdr:col>21</xdr:col>
      <xdr:colOff>33617</xdr:colOff>
      <xdr:row>15</xdr:row>
      <xdr:rowOff>449918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BE88AAB-9D73-40A6-8916-1849B602F4C2}"/>
            </a:ext>
          </a:extLst>
        </xdr:cNvPr>
        <xdr:cNvSpPr/>
      </xdr:nvSpPr>
      <xdr:spPr>
        <a:xfrm>
          <a:off x="11205" y="4706471"/>
          <a:ext cx="25146000" cy="461123"/>
        </a:xfrm>
        <a:prstGeom prst="rect">
          <a:avLst/>
        </a:prstGeom>
        <a:gradFill>
          <a:gsLst>
            <a:gs pos="0">
              <a:srgbClr val="820000"/>
            </a:gs>
            <a:gs pos="23000">
              <a:srgbClr val="C00000"/>
            </a:gs>
            <a:gs pos="78000">
              <a:srgbClr val="F96F34"/>
            </a:gs>
            <a:gs pos="49000">
              <a:srgbClr val="FF0000"/>
            </a:gs>
            <a:gs pos="100000">
              <a:srgbClr val="FFFF00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latin typeface="游ゴシック" panose="020B0400000000000000" pitchFamily="50" charset="-128"/>
              <a:ea typeface="游ゴシック" panose="020B0400000000000000" pitchFamily="50" charset="-128"/>
            </a:rPr>
            <a:t>読込データ確認シート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11206</xdr:colOff>
      <xdr:row>1</xdr:row>
      <xdr:rowOff>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D921FBB5-90D5-4F42-8F84-35F8470C929B}"/>
            </a:ext>
          </a:extLst>
        </xdr:cNvPr>
        <xdr:cNvSpPr/>
      </xdr:nvSpPr>
      <xdr:spPr>
        <a:xfrm>
          <a:off x="0" y="0"/>
          <a:ext cx="20932588" cy="493059"/>
        </a:xfrm>
        <a:prstGeom prst="rect">
          <a:avLst/>
        </a:prstGeom>
        <a:gradFill>
          <a:gsLst>
            <a:gs pos="0">
              <a:schemeClr val="accent1"/>
            </a:gs>
            <a:gs pos="27000">
              <a:srgbClr val="7030A0"/>
            </a:gs>
            <a:gs pos="70000">
              <a:schemeClr val="accent6"/>
            </a:gs>
            <a:gs pos="100000">
              <a:srgbClr val="FFFF00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800" b="1">
              <a:latin typeface="游ゴシック" panose="020B0400000000000000" pitchFamily="50" charset="-128"/>
              <a:ea typeface="游ゴシック" panose="020B0400000000000000" pitchFamily="50" charset="-128"/>
            </a:rPr>
            <a:t>INVOICE</a:t>
          </a:r>
          <a:r>
            <a:rPr kumimoji="1" lang="ja-JP" altLang="en-US" sz="1800" b="1">
              <a:latin typeface="游ゴシック" panose="020B0400000000000000" pitchFamily="50" charset="-128"/>
              <a:ea typeface="游ゴシック" panose="020B0400000000000000" pitchFamily="50" charset="-128"/>
            </a:rPr>
            <a:t>自動処理システム　</a:t>
          </a:r>
          <a:r>
            <a:rPr kumimoji="1" lang="en-US" altLang="ja-JP" sz="1800" b="1">
              <a:latin typeface="游ゴシック" panose="020B0400000000000000" pitchFamily="50" charset="-128"/>
              <a:ea typeface="游ゴシック" panose="020B0400000000000000" pitchFamily="50" charset="-128"/>
            </a:rPr>
            <a:t>Ver.1.3</a:t>
          </a:r>
          <a:r>
            <a:rPr kumimoji="1" lang="ja-JP" altLang="en-US" sz="1800" b="1">
              <a:latin typeface="游ゴシック" panose="020B0400000000000000" pitchFamily="50" charset="-128"/>
              <a:ea typeface="游ゴシック" panose="020B0400000000000000" pitchFamily="50" charset="-128"/>
            </a:rPr>
            <a:t>　</a:t>
          </a:r>
          <a:r>
            <a:rPr kumimoji="1" lang="en-US" altLang="ja-JP" sz="1200" b="1">
              <a:latin typeface="游ゴシック" panose="020B0400000000000000" pitchFamily="50" charset="-128"/>
              <a:ea typeface="游ゴシック" panose="020B0400000000000000" pitchFamily="50" charset="-128"/>
            </a:rPr>
            <a:t>2026.3.13</a:t>
          </a:r>
          <a:r>
            <a:rPr kumimoji="1" lang="ja-JP" altLang="en-US" sz="1200" b="1">
              <a:latin typeface="游ゴシック" panose="020B0400000000000000" pitchFamily="50" charset="-128"/>
              <a:ea typeface="游ゴシック" panose="020B0400000000000000" pitchFamily="50" charset="-128"/>
            </a:rPr>
            <a:t>更新</a:t>
          </a:r>
          <a:endParaRPr kumimoji="1" lang="ja-JP" altLang="en-US" sz="1800" b="1"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</xdr:col>
      <xdr:colOff>11205</xdr:colOff>
      <xdr:row>4</xdr:row>
      <xdr:rowOff>11205</xdr:rowOff>
    </xdr:from>
    <xdr:to>
      <xdr:col>4</xdr:col>
      <xdr:colOff>11206</xdr:colOff>
      <xdr:row>5</xdr:row>
      <xdr:rowOff>0</xdr:rowOff>
    </xdr:to>
    <xdr:sp macro="[0]!Button_Step1_Click" textlink="">
      <xdr:nvSpPr>
        <xdr:cNvPr id="4" name="正方形/長方形 3">
          <a:extLst>
            <a:ext uri="{FF2B5EF4-FFF2-40B4-BE49-F238E27FC236}">
              <a16:creationId xmlns:a16="http://schemas.microsoft.com/office/drawing/2014/main" id="{DA9DA89F-F356-4E08-8DD0-73C04AA591B2}"/>
            </a:ext>
          </a:extLst>
        </xdr:cNvPr>
        <xdr:cNvSpPr/>
      </xdr:nvSpPr>
      <xdr:spPr>
        <a:xfrm>
          <a:off x="1098176" y="1243852"/>
          <a:ext cx="3070412" cy="493060"/>
        </a:xfrm>
        <a:prstGeom prst="rect">
          <a:avLst/>
        </a:prstGeom>
        <a:gradFill>
          <a:gsLst>
            <a:gs pos="0">
              <a:schemeClr val="accent2">
                <a:shade val="51000"/>
                <a:satMod val="130000"/>
              </a:schemeClr>
            </a:gs>
            <a:gs pos="77982">
              <a:srgbClr val="FF4F4F"/>
            </a:gs>
            <a:gs pos="45000">
              <a:schemeClr val="accent2">
                <a:shade val="93000"/>
                <a:satMod val="130000"/>
              </a:schemeClr>
            </a:gs>
          </a:gsLst>
          <a:lin ang="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latin typeface="游ゴシック" panose="020B0400000000000000" pitchFamily="50" charset="-128"/>
              <a:ea typeface="游ゴシック" panose="020B0400000000000000" pitchFamily="50" charset="-128"/>
            </a:rPr>
            <a:t>STEP1</a:t>
          </a:r>
          <a:r>
            <a:rPr kumimoji="1" lang="ja-JP" altLang="en-US" sz="1400" b="1">
              <a:latin typeface="游ゴシック" panose="020B0400000000000000" pitchFamily="50" charset="-128"/>
              <a:ea typeface="游ゴシック" panose="020B0400000000000000" pitchFamily="50" charset="-128"/>
            </a:rPr>
            <a:t> 読込</a:t>
          </a:r>
          <a:endParaRPr kumimoji="1" lang="en-US" altLang="ja-JP" sz="1400" b="1"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246528</xdr:rowOff>
    </xdr:from>
    <xdr:to>
      <xdr:col>4</xdr:col>
      <xdr:colOff>11206</xdr:colOff>
      <xdr:row>6</xdr:row>
      <xdr:rowOff>504264</xdr:rowOff>
    </xdr:to>
    <xdr:sp macro="[0]!Button_Step2_Click" textlink="">
      <xdr:nvSpPr>
        <xdr:cNvPr id="5" name="正方形/長方形 4">
          <a:extLst>
            <a:ext uri="{FF2B5EF4-FFF2-40B4-BE49-F238E27FC236}">
              <a16:creationId xmlns:a16="http://schemas.microsoft.com/office/drawing/2014/main" id="{805FCC10-5E5D-4DFC-B20C-5984C0AB7FD6}"/>
            </a:ext>
          </a:extLst>
        </xdr:cNvPr>
        <xdr:cNvSpPr/>
      </xdr:nvSpPr>
      <xdr:spPr>
        <a:xfrm>
          <a:off x="1086971" y="1983440"/>
          <a:ext cx="3081617" cy="504265"/>
        </a:xfrm>
        <a:prstGeom prst="rect">
          <a:avLst/>
        </a:prstGeom>
        <a:gradFill>
          <a:gsLst>
            <a:gs pos="0">
              <a:srgbClr val="154701"/>
            </a:gs>
            <a:gs pos="100000">
              <a:srgbClr val="4DFE06"/>
            </a:gs>
            <a:gs pos="73000">
              <a:srgbClr val="237901"/>
            </a:gs>
          </a:gsLst>
          <a:lin ang="0" scaled="0"/>
        </a:gra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latin typeface="游ゴシック" panose="020B0400000000000000" pitchFamily="50" charset="-128"/>
              <a:ea typeface="游ゴシック" panose="020B0400000000000000" pitchFamily="50" charset="-128"/>
            </a:rPr>
            <a:t>STEP2</a:t>
          </a:r>
          <a:r>
            <a:rPr kumimoji="1" lang="ja-JP" altLang="en-US" sz="1400" b="1">
              <a:latin typeface="游ゴシック" panose="020B0400000000000000" pitchFamily="50" charset="-128"/>
              <a:ea typeface="游ゴシック" panose="020B0400000000000000" pitchFamily="50" charset="-128"/>
            </a:rPr>
            <a:t> 転記・ファイル整理</a:t>
          </a:r>
          <a:endParaRPr kumimoji="1" lang="en-US" altLang="ja-JP" sz="1400" b="1"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1</xdr:col>
      <xdr:colOff>1</xdr:colOff>
      <xdr:row>7</xdr:row>
      <xdr:rowOff>246528</xdr:rowOff>
    </xdr:from>
    <xdr:to>
      <xdr:col>4</xdr:col>
      <xdr:colOff>11206</xdr:colOff>
      <xdr:row>9</xdr:row>
      <xdr:rowOff>11205</xdr:rowOff>
    </xdr:to>
    <xdr:sp macro="[0]!Button_Step3_Click" textlink="">
      <xdr:nvSpPr>
        <xdr:cNvPr id="6" name="正方形/長方形 5">
          <a:extLst>
            <a:ext uri="{FF2B5EF4-FFF2-40B4-BE49-F238E27FC236}">
              <a16:creationId xmlns:a16="http://schemas.microsoft.com/office/drawing/2014/main" id="{DDBBC6DC-E632-4809-90B1-D952F844D70B}"/>
            </a:ext>
          </a:extLst>
        </xdr:cNvPr>
        <xdr:cNvSpPr/>
      </xdr:nvSpPr>
      <xdr:spPr>
        <a:xfrm>
          <a:off x="1086972" y="2734234"/>
          <a:ext cx="3081616" cy="515471"/>
        </a:xfrm>
        <a:prstGeom prst="rect">
          <a:avLst/>
        </a:prstGeom>
        <a:gradFill>
          <a:gsLst>
            <a:gs pos="0">
              <a:srgbClr val="224978"/>
            </a:gs>
            <a:gs pos="79000">
              <a:srgbClr val="00B0F0"/>
            </a:gs>
            <a:gs pos="46000">
              <a:schemeClr val="accent1">
                <a:shade val="93000"/>
                <a:satMod val="130000"/>
              </a:schemeClr>
            </a:gs>
          </a:gsLst>
          <a:lin ang="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latin typeface="游ゴシック" panose="020B0400000000000000" pitchFamily="50" charset="-128"/>
              <a:ea typeface="游ゴシック" panose="020B0400000000000000" pitchFamily="50" charset="-128"/>
            </a:rPr>
            <a:t>STEP3</a:t>
          </a:r>
          <a:r>
            <a:rPr kumimoji="1" lang="ja-JP" altLang="en-US" sz="1400" b="1">
              <a:latin typeface="游ゴシック" panose="020B0400000000000000" pitchFamily="50" charset="-128"/>
              <a:ea typeface="游ゴシック" panose="020B0400000000000000" pitchFamily="50" charset="-128"/>
            </a:rPr>
            <a:t> 書類作成・メール送付・</a:t>
          </a:r>
          <a:r>
            <a:rPr kumimoji="1" lang="en-US" altLang="ja-JP" sz="1400" b="1">
              <a:latin typeface="游ゴシック" panose="020B0400000000000000" pitchFamily="50" charset="-128"/>
              <a:ea typeface="游ゴシック" panose="020B0400000000000000" pitchFamily="50" charset="-128"/>
            </a:rPr>
            <a:t>KINTONE</a:t>
          </a:r>
          <a:endParaRPr kumimoji="1" lang="en-US" altLang="ja-JP" sz="1400" b="1">
            <a:solidFill>
              <a:srgbClr val="FF0000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5</xdr:col>
      <xdr:colOff>82365</xdr:colOff>
      <xdr:row>4</xdr:row>
      <xdr:rowOff>44826</xdr:rowOff>
    </xdr:from>
    <xdr:to>
      <xdr:col>5</xdr:col>
      <xdr:colOff>1053354</xdr:colOff>
      <xdr:row>6</xdr:row>
      <xdr:rowOff>44825</xdr:rowOff>
    </xdr:to>
    <xdr:sp macro="" textlink="">
      <xdr:nvSpPr>
        <xdr:cNvPr id="9" name="グラフィックス 7" descr="フォルダー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AA16AB-48EC-6BD7-BD16-3C8C5E6807AE}"/>
            </a:ext>
          </a:extLst>
        </xdr:cNvPr>
        <xdr:cNvSpPr/>
      </xdr:nvSpPr>
      <xdr:spPr>
        <a:xfrm>
          <a:off x="6155953" y="1277473"/>
          <a:ext cx="970989" cy="750793"/>
        </a:xfrm>
        <a:custGeom>
          <a:avLst/>
          <a:gdLst>
            <a:gd name="csX0" fmla="*/ 666750 w 704850"/>
            <a:gd name="csY0" fmla="*/ 533400 h 533400"/>
            <a:gd name="csX1" fmla="*/ 38100 w 704850"/>
            <a:gd name="csY1" fmla="*/ 533400 h 533400"/>
            <a:gd name="csX2" fmla="*/ 0 w 704850"/>
            <a:gd name="csY2" fmla="*/ 495300 h 533400"/>
            <a:gd name="csX3" fmla="*/ 0 w 704850"/>
            <a:gd name="csY3" fmla="*/ 38100 h 533400"/>
            <a:gd name="csX4" fmla="*/ 38100 w 704850"/>
            <a:gd name="csY4" fmla="*/ 0 h 533400"/>
            <a:gd name="csX5" fmla="*/ 217170 w 704850"/>
            <a:gd name="csY5" fmla="*/ 0 h 533400"/>
            <a:gd name="csX6" fmla="*/ 238125 w 704850"/>
            <a:gd name="csY6" fmla="*/ 6668 h 533400"/>
            <a:gd name="csX7" fmla="*/ 342900 w 704850"/>
            <a:gd name="csY7" fmla="*/ 76200 h 533400"/>
            <a:gd name="csX8" fmla="*/ 666750 w 704850"/>
            <a:gd name="csY8" fmla="*/ 76200 h 533400"/>
            <a:gd name="csX9" fmla="*/ 704850 w 704850"/>
            <a:gd name="csY9" fmla="*/ 114300 h 533400"/>
            <a:gd name="csX10" fmla="*/ 704850 w 704850"/>
            <a:gd name="csY10" fmla="*/ 495300 h 533400"/>
            <a:gd name="csX11" fmla="*/ 666750 w 704850"/>
            <a:gd name="csY11" fmla="*/ 533400 h 5334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</a:cxnLst>
          <a:rect l="l" t="t" r="r" b="b"/>
          <a:pathLst>
            <a:path w="704850" h="533400">
              <a:moveTo>
                <a:pt x="666750" y="533400"/>
              </a:moveTo>
              <a:lnTo>
                <a:pt x="38100" y="533400"/>
              </a:lnTo>
              <a:cubicBezTo>
                <a:pt x="17145" y="533400"/>
                <a:pt x="0" y="516255"/>
                <a:pt x="0" y="495300"/>
              </a:cubicBezTo>
              <a:lnTo>
                <a:pt x="0" y="38100"/>
              </a:lnTo>
              <a:cubicBezTo>
                <a:pt x="0" y="17145"/>
                <a:pt x="17145" y="0"/>
                <a:pt x="38100" y="0"/>
              </a:cubicBezTo>
              <a:lnTo>
                <a:pt x="217170" y="0"/>
              </a:lnTo>
              <a:cubicBezTo>
                <a:pt x="224790" y="0"/>
                <a:pt x="232410" y="1905"/>
                <a:pt x="238125" y="6668"/>
              </a:cubicBezTo>
              <a:lnTo>
                <a:pt x="342900" y="76200"/>
              </a:lnTo>
              <a:lnTo>
                <a:pt x="666750" y="76200"/>
              </a:lnTo>
              <a:cubicBezTo>
                <a:pt x="687705" y="76200"/>
                <a:pt x="704850" y="93345"/>
                <a:pt x="704850" y="114300"/>
              </a:cubicBezTo>
              <a:lnTo>
                <a:pt x="704850" y="495300"/>
              </a:lnTo>
              <a:cubicBezTo>
                <a:pt x="704850" y="516255"/>
                <a:pt x="687705" y="533400"/>
                <a:pt x="666750" y="533400"/>
              </a:cubicBezTo>
              <a:close/>
            </a:path>
          </a:pathLst>
        </a:custGeom>
        <a:gradFill>
          <a:gsLst>
            <a:gs pos="100000">
              <a:srgbClr val="FFFFCC"/>
            </a:gs>
            <a:gs pos="67000">
              <a:srgbClr val="F7D081"/>
            </a:gs>
            <a:gs pos="25000">
              <a:srgbClr val="F1AA1B"/>
            </a:gs>
            <a:gs pos="0">
              <a:srgbClr val="E49D0E"/>
            </a:gs>
          </a:gsLst>
          <a:lin ang="18000000" scaled="0"/>
        </a:gradFill>
        <a:ln w="9525" cap="flat">
          <a:noFill/>
          <a:prstDash val="solid"/>
          <a:miter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anchor="b"/>
        <a:lstStyle/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元データ</a:t>
          </a:r>
          <a:endParaRPr lang="en-US" altLang="ja-JP" sz="1200" b="1">
            <a:solidFill>
              <a:sysClr val="windowText" lastClr="000000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保存先</a:t>
          </a:r>
        </a:p>
      </xdr:txBody>
    </xdr:sp>
    <xdr:clientData/>
  </xdr:twoCellAnchor>
  <xdr:twoCellAnchor>
    <xdr:from>
      <xdr:col>5</xdr:col>
      <xdr:colOff>67236</xdr:colOff>
      <xdr:row>6</xdr:row>
      <xdr:rowOff>291353</xdr:rowOff>
    </xdr:from>
    <xdr:to>
      <xdr:col>5</xdr:col>
      <xdr:colOff>1038225</xdr:colOff>
      <xdr:row>8</xdr:row>
      <xdr:rowOff>291352</xdr:rowOff>
    </xdr:to>
    <xdr:sp macro="" textlink="">
      <xdr:nvSpPr>
        <xdr:cNvPr id="7" name="グラフィックス 7" descr="フォルダー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E1E4023-4407-4372-BF20-42D4AE36D781}"/>
            </a:ext>
          </a:extLst>
        </xdr:cNvPr>
        <xdr:cNvSpPr/>
      </xdr:nvSpPr>
      <xdr:spPr>
        <a:xfrm>
          <a:off x="6140824" y="2274794"/>
          <a:ext cx="970989" cy="750793"/>
        </a:xfrm>
        <a:custGeom>
          <a:avLst/>
          <a:gdLst>
            <a:gd name="csX0" fmla="*/ 666750 w 704850"/>
            <a:gd name="csY0" fmla="*/ 533400 h 533400"/>
            <a:gd name="csX1" fmla="*/ 38100 w 704850"/>
            <a:gd name="csY1" fmla="*/ 533400 h 533400"/>
            <a:gd name="csX2" fmla="*/ 0 w 704850"/>
            <a:gd name="csY2" fmla="*/ 495300 h 533400"/>
            <a:gd name="csX3" fmla="*/ 0 w 704850"/>
            <a:gd name="csY3" fmla="*/ 38100 h 533400"/>
            <a:gd name="csX4" fmla="*/ 38100 w 704850"/>
            <a:gd name="csY4" fmla="*/ 0 h 533400"/>
            <a:gd name="csX5" fmla="*/ 217170 w 704850"/>
            <a:gd name="csY5" fmla="*/ 0 h 533400"/>
            <a:gd name="csX6" fmla="*/ 238125 w 704850"/>
            <a:gd name="csY6" fmla="*/ 6668 h 533400"/>
            <a:gd name="csX7" fmla="*/ 342900 w 704850"/>
            <a:gd name="csY7" fmla="*/ 76200 h 533400"/>
            <a:gd name="csX8" fmla="*/ 666750 w 704850"/>
            <a:gd name="csY8" fmla="*/ 76200 h 533400"/>
            <a:gd name="csX9" fmla="*/ 704850 w 704850"/>
            <a:gd name="csY9" fmla="*/ 114300 h 533400"/>
            <a:gd name="csX10" fmla="*/ 704850 w 704850"/>
            <a:gd name="csY10" fmla="*/ 495300 h 533400"/>
            <a:gd name="csX11" fmla="*/ 666750 w 704850"/>
            <a:gd name="csY11" fmla="*/ 533400 h 5334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</a:cxnLst>
          <a:rect l="l" t="t" r="r" b="b"/>
          <a:pathLst>
            <a:path w="704850" h="533400">
              <a:moveTo>
                <a:pt x="666750" y="533400"/>
              </a:moveTo>
              <a:lnTo>
                <a:pt x="38100" y="533400"/>
              </a:lnTo>
              <a:cubicBezTo>
                <a:pt x="17145" y="533400"/>
                <a:pt x="0" y="516255"/>
                <a:pt x="0" y="495300"/>
              </a:cubicBezTo>
              <a:lnTo>
                <a:pt x="0" y="38100"/>
              </a:lnTo>
              <a:cubicBezTo>
                <a:pt x="0" y="17145"/>
                <a:pt x="17145" y="0"/>
                <a:pt x="38100" y="0"/>
              </a:cubicBezTo>
              <a:lnTo>
                <a:pt x="217170" y="0"/>
              </a:lnTo>
              <a:cubicBezTo>
                <a:pt x="224790" y="0"/>
                <a:pt x="232410" y="1905"/>
                <a:pt x="238125" y="6668"/>
              </a:cubicBezTo>
              <a:lnTo>
                <a:pt x="342900" y="76200"/>
              </a:lnTo>
              <a:lnTo>
                <a:pt x="666750" y="76200"/>
              </a:lnTo>
              <a:cubicBezTo>
                <a:pt x="687705" y="76200"/>
                <a:pt x="704850" y="93345"/>
                <a:pt x="704850" y="114300"/>
              </a:cubicBezTo>
              <a:lnTo>
                <a:pt x="704850" y="495300"/>
              </a:lnTo>
              <a:cubicBezTo>
                <a:pt x="704850" y="516255"/>
                <a:pt x="687705" y="533400"/>
                <a:pt x="666750" y="533400"/>
              </a:cubicBezTo>
              <a:close/>
            </a:path>
          </a:pathLst>
        </a:custGeom>
        <a:gradFill>
          <a:gsLst>
            <a:gs pos="100000">
              <a:srgbClr val="FFFFCC"/>
            </a:gs>
            <a:gs pos="67000">
              <a:srgbClr val="F7D081"/>
            </a:gs>
            <a:gs pos="25000">
              <a:srgbClr val="F1AA1B"/>
            </a:gs>
            <a:gs pos="0">
              <a:srgbClr val="E49D0E"/>
            </a:gs>
          </a:gsLst>
          <a:lin ang="18000000" scaled="0"/>
        </a:gradFill>
        <a:ln w="9525" cap="flat">
          <a:noFill/>
          <a:prstDash val="solid"/>
          <a:miter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anchor="b"/>
        <a:lstStyle/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気高</a:t>
          </a:r>
          <a:endParaRPr lang="en-US" altLang="ja-JP" sz="1200" b="1">
            <a:solidFill>
              <a:sysClr val="windowText" lastClr="000000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保存先</a:t>
          </a:r>
        </a:p>
      </xdr:txBody>
    </xdr:sp>
    <xdr:clientData/>
  </xdr:twoCellAnchor>
  <xdr:twoCellAnchor>
    <xdr:from>
      <xdr:col>5</xdr:col>
      <xdr:colOff>1367118</xdr:colOff>
      <xdr:row>6</xdr:row>
      <xdr:rowOff>291356</xdr:rowOff>
    </xdr:from>
    <xdr:to>
      <xdr:col>6</xdr:col>
      <xdr:colOff>511548</xdr:colOff>
      <xdr:row>8</xdr:row>
      <xdr:rowOff>291355</xdr:rowOff>
    </xdr:to>
    <xdr:sp macro="" textlink="">
      <xdr:nvSpPr>
        <xdr:cNvPr id="8" name="グラフィックス 7" descr="フォルダー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6ADB30-13F5-4F0B-A033-2FED29034360}"/>
            </a:ext>
          </a:extLst>
        </xdr:cNvPr>
        <xdr:cNvSpPr/>
      </xdr:nvSpPr>
      <xdr:spPr>
        <a:xfrm>
          <a:off x="7440706" y="2274797"/>
          <a:ext cx="970989" cy="750793"/>
        </a:xfrm>
        <a:custGeom>
          <a:avLst/>
          <a:gdLst>
            <a:gd name="csX0" fmla="*/ 666750 w 704850"/>
            <a:gd name="csY0" fmla="*/ 533400 h 533400"/>
            <a:gd name="csX1" fmla="*/ 38100 w 704850"/>
            <a:gd name="csY1" fmla="*/ 533400 h 533400"/>
            <a:gd name="csX2" fmla="*/ 0 w 704850"/>
            <a:gd name="csY2" fmla="*/ 495300 h 533400"/>
            <a:gd name="csX3" fmla="*/ 0 w 704850"/>
            <a:gd name="csY3" fmla="*/ 38100 h 533400"/>
            <a:gd name="csX4" fmla="*/ 38100 w 704850"/>
            <a:gd name="csY4" fmla="*/ 0 h 533400"/>
            <a:gd name="csX5" fmla="*/ 217170 w 704850"/>
            <a:gd name="csY5" fmla="*/ 0 h 533400"/>
            <a:gd name="csX6" fmla="*/ 238125 w 704850"/>
            <a:gd name="csY6" fmla="*/ 6668 h 533400"/>
            <a:gd name="csX7" fmla="*/ 342900 w 704850"/>
            <a:gd name="csY7" fmla="*/ 76200 h 533400"/>
            <a:gd name="csX8" fmla="*/ 666750 w 704850"/>
            <a:gd name="csY8" fmla="*/ 76200 h 533400"/>
            <a:gd name="csX9" fmla="*/ 704850 w 704850"/>
            <a:gd name="csY9" fmla="*/ 114300 h 533400"/>
            <a:gd name="csX10" fmla="*/ 704850 w 704850"/>
            <a:gd name="csY10" fmla="*/ 495300 h 533400"/>
            <a:gd name="csX11" fmla="*/ 666750 w 704850"/>
            <a:gd name="csY11" fmla="*/ 533400 h 5334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</a:cxnLst>
          <a:rect l="l" t="t" r="r" b="b"/>
          <a:pathLst>
            <a:path w="704850" h="533400">
              <a:moveTo>
                <a:pt x="666750" y="533400"/>
              </a:moveTo>
              <a:lnTo>
                <a:pt x="38100" y="533400"/>
              </a:lnTo>
              <a:cubicBezTo>
                <a:pt x="17145" y="533400"/>
                <a:pt x="0" y="516255"/>
                <a:pt x="0" y="495300"/>
              </a:cubicBezTo>
              <a:lnTo>
                <a:pt x="0" y="38100"/>
              </a:lnTo>
              <a:cubicBezTo>
                <a:pt x="0" y="17145"/>
                <a:pt x="17145" y="0"/>
                <a:pt x="38100" y="0"/>
              </a:cubicBezTo>
              <a:lnTo>
                <a:pt x="217170" y="0"/>
              </a:lnTo>
              <a:cubicBezTo>
                <a:pt x="224790" y="0"/>
                <a:pt x="232410" y="1905"/>
                <a:pt x="238125" y="6668"/>
              </a:cubicBezTo>
              <a:lnTo>
                <a:pt x="342900" y="76200"/>
              </a:lnTo>
              <a:lnTo>
                <a:pt x="666750" y="76200"/>
              </a:lnTo>
              <a:cubicBezTo>
                <a:pt x="687705" y="76200"/>
                <a:pt x="704850" y="93345"/>
                <a:pt x="704850" y="114300"/>
              </a:cubicBezTo>
              <a:lnTo>
                <a:pt x="704850" y="495300"/>
              </a:lnTo>
              <a:cubicBezTo>
                <a:pt x="704850" y="516255"/>
                <a:pt x="687705" y="533400"/>
                <a:pt x="666750" y="533400"/>
              </a:cubicBezTo>
              <a:close/>
            </a:path>
          </a:pathLst>
        </a:custGeom>
        <a:gradFill>
          <a:gsLst>
            <a:gs pos="100000">
              <a:srgbClr val="FFFFCC"/>
            </a:gs>
            <a:gs pos="67000">
              <a:srgbClr val="F7D081"/>
            </a:gs>
            <a:gs pos="25000">
              <a:srgbClr val="F1AA1B"/>
            </a:gs>
            <a:gs pos="0">
              <a:srgbClr val="E49D0E"/>
            </a:gs>
          </a:gsLst>
          <a:lin ang="18000000" scaled="0"/>
        </a:gradFill>
        <a:ln w="9525" cap="flat">
          <a:noFill/>
          <a:prstDash val="solid"/>
          <a:miter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anchor="b"/>
        <a:lstStyle/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ヤーマン</a:t>
          </a:r>
          <a:endParaRPr lang="en-US" altLang="ja-JP" sz="1200" b="1">
            <a:solidFill>
              <a:sysClr val="windowText" lastClr="000000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保存先</a:t>
          </a:r>
        </a:p>
      </xdr:txBody>
    </xdr:sp>
    <xdr:clientData/>
  </xdr:twoCellAnchor>
  <xdr:twoCellAnchor>
    <xdr:from>
      <xdr:col>6</xdr:col>
      <xdr:colOff>936812</xdr:colOff>
      <xdr:row>6</xdr:row>
      <xdr:rowOff>275668</xdr:rowOff>
    </xdr:from>
    <xdr:to>
      <xdr:col>6</xdr:col>
      <xdr:colOff>1907801</xdr:colOff>
      <xdr:row>8</xdr:row>
      <xdr:rowOff>275667</xdr:rowOff>
    </xdr:to>
    <xdr:sp macro="" textlink="">
      <xdr:nvSpPr>
        <xdr:cNvPr id="10" name="グラフィックス 7" descr="フォルダー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CF4D55B-EA1E-4030-8D2A-BBC88A9AC820}"/>
            </a:ext>
          </a:extLst>
        </xdr:cNvPr>
        <xdr:cNvSpPr/>
      </xdr:nvSpPr>
      <xdr:spPr>
        <a:xfrm>
          <a:off x="8836959" y="2259109"/>
          <a:ext cx="970989" cy="750793"/>
        </a:xfrm>
        <a:custGeom>
          <a:avLst/>
          <a:gdLst>
            <a:gd name="csX0" fmla="*/ 666750 w 704850"/>
            <a:gd name="csY0" fmla="*/ 533400 h 533400"/>
            <a:gd name="csX1" fmla="*/ 38100 w 704850"/>
            <a:gd name="csY1" fmla="*/ 533400 h 533400"/>
            <a:gd name="csX2" fmla="*/ 0 w 704850"/>
            <a:gd name="csY2" fmla="*/ 495300 h 533400"/>
            <a:gd name="csX3" fmla="*/ 0 w 704850"/>
            <a:gd name="csY3" fmla="*/ 38100 h 533400"/>
            <a:gd name="csX4" fmla="*/ 38100 w 704850"/>
            <a:gd name="csY4" fmla="*/ 0 h 533400"/>
            <a:gd name="csX5" fmla="*/ 217170 w 704850"/>
            <a:gd name="csY5" fmla="*/ 0 h 533400"/>
            <a:gd name="csX6" fmla="*/ 238125 w 704850"/>
            <a:gd name="csY6" fmla="*/ 6668 h 533400"/>
            <a:gd name="csX7" fmla="*/ 342900 w 704850"/>
            <a:gd name="csY7" fmla="*/ 76200 h 533400"/>
            <a:gd name="csX8" fmla="*/ 666750 w 704850"/>
            <a:gd name="csY8" fmla="*/ 76200 h 533400"/>
            <a:gd name="csX9" fmla="*/ 704850 w 704850"/>
            <a:gd name="csY9" fmla="*/ 114300 h 533400"/>
            <a:gd name="csX10" fmla="*/ 704850 w 704850"/>
            <a:gd name="csY10" fmla="*/ 495300 h 533400"/>
            <a:gd name="csX11" fmla="*/ 666750 w 704850"/>
            <a:gd name="csY11" fmla="*/ 533400 h 5334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</a:cxnLst>
          <a:rect l="l" t="t" r="r" b="b"/>
          <a:pathLst>
            <a:path w="704850" h="533400">
              <a:moveTo>
                <a:pt x="666750" y="533400"/>
              </a:moveTo>
              <a:lnTo>
                <a:pt x="38100" y="533400"/>
              </a:lnTo>
              <a:cubicBezTo>
                <a:pt x="17145" y="533400"/>
                <a:pt x="0" y="516255"/>
                <a:pt x="0" y="495300"/>
              </a:cubicBezTo>
              <a:lnTo>
                <a:pt x="0" y="38100"/>
              </a:lnTo>
              <a:cubicBezTo>
                <a:pt x="0" y="17145"/>
                <a:pt x="17145" y="0"/>
                <a:pt x="38100" y="0"/>
              </a:cubicBezTo>
              <a:lnTo>
                <a:pt x="217170" y="0"/>
              </a:lnTo>
              <a:cubicBezTo>
                <a:pt x="224790" y="0"/>
                <a:pt x="232410" y="1905"/>
                <a:pt x="238125" y="6668"/>
              </a:cubicBezTo>
              <a:lnTo>
                <a:pt x="342900" y="76200"/>
              </a:lnTo>
              <a:lnTo>
                <a:pt x="666750" y="76200"/>
              </a:lnTo>
              <a:cubicBezTo>
                <a:pt x="687705" y="76200"/>
                <a:pt x="704850" y="93345"/>
                <a:pt x="704850" y="114300"/>
              </a:cubicBezTo>
              <a:lnTo>
                <a:pt x="704850" y="495300"/>
              </a:lnTo>
              <a:cubicBezTo>
                <a:pt x="704850" y="516255"/>
                <a:pt x="687705" y="533400"/>
                <a:pt x="666750" y="533400"/>
              </a:cubicBezTo>
              <a:close/>
            </a:path>
          </a:pathLst>
        </a:custGeom>
        <a:gradFill>
          <a:gsLst>
            <a:gs pos="100000">
              <a:srgbClr val="FFFFCC"/>
            </a:gs>
            <a:gs pos="67000">
              <a:srgbClr val="F7D081"/>
            </a:gs>
            <a:gs pos="25000">
              <a:srgbClr val="F1AA1B"/>
            </a:gs>
            <a:gs pos="0">
              <a:srgbClr val="E49D0E"/>
            </a:gs>
          </a:gsLst>
          <a:lin ang="18000000" scaled="0"/>
        </a:gradFill>
        <a:ln w="9525" cap="flat">
          <a:noFill/>
          <a:prstDash val="solid"/>
          <a:miter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anchor="b"/>
        <a:lstStyle/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タイガー</a:t>
          </a:r>
          <a:endParaRPr lang="en-US" altLang="ja-JP" sz="1200" b="1">
            <a:solidFill>
              <a:sysClr val="windowText" lastClr="000000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保存先</a:t>
          </a:r>
        </a:p>
      </xdr:txBody>
    </xdr:sp>
    <xdr:clientData/>
  </xdr:twoCellAnchor>
  <xdr:twoCellAnchor>
    <xdr:from>
      <xdr:col>6</xdr:col>
      <xdr:colOff>2274794</xdr:colOff>
      <xdr:row>6</xdr:row>
      <xdr:rowOff>280150</xdr:rowOff>
    </xdr:from>
    <xdr:to>
      <xdr:col>7</xdr:col>
      <xdr:colOff>702048</xdr:colOff>
      <xdr:row>8</xdr:row>
      <xdr:rowOff>280149</xdr:rowOff>
    </xdr:to>
    <xdr:sp macro="" textlink="">
      <xdr:nvSpPr>
        <xdr:cNvPr id="11" name="グラフィックス 7" descr="フォルダー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4B9DB0-E7E6-48AE-8C3F-BE33496D6142}"/>
            </a:ext>
          </a:extLst>
        </xdr:cNvPr>
        <xdr:cNvSpPr/>
      </xdr:nvSpPr>
      <xdr:spPr>
        <a:xfrm>
          <a:off x="10174941" y="2263591"/>
          <a:ext cx="970989" cy="750793"/>
        </a:xfrm>
        <a:custGeom>
          <a:avLst/>
          <a:gdLst>
            <a:gd name="csX0" fmla="*/ 666750 w 704850"/>
            <a:gd name="csY0" fmla="*/ 533400 h 533400"/>
            <a:gd name="csX1" fmla="*/ 38100 w 704850"/>
            <a:gd name="csY1" fmla="*/ 533400 h 533400"/>
            <a:gd name="csX2" fmla="*/ 0 w 704850"/>
            <a:gd name="csY2" fmla="*/ 495300 h 533400"/>
            <a:gd name="csX3" fmla="*/ 0 w 704850"/>
            <a:gd name="csY3" fmla="*/ 38100 h 533400"/>
            <a:gd name="csX4" fmla="*/ 38100 w 704850"/>
            <a:gd name="csY4" fmla="*/ 0 h 533400"/>
            <a:gd name="csX5" fmla="*/ 217170 w 704850"/>
            <a:gd name="csY5" fmla="*/ 0 h 533400"/>
            <a:gd name="csX6" fmla="*/ 238125 w 704850"/>
            <a:gd name="csY6" fmla="*/ 6668 h 533400"/>
            <a:gd name="csX7" fmla="*/ 342900 w 704850"/>
            <a:gd name="csY7" fmla="*/ 76200 h 533400"/>
            <a:gd name="csX8" fmla="*/ 666750 w 704850"/>
            <a:gd name="csY8" fmla="*/ 76200 h 533400"/>
            <a:gd name="csX9" fmla="*/ 704850 w 704850"/>
            <a:gd name="csY9" fmla="*/ 114300 h 533400"/>
            <a:gd name="csX10" fmla="*/ 704850 w 704850"/>
            <a:gd name="csY10" fmla="*/ 495300 h 533400"/>
            <a:gd name="csX11" fmla="*/ 666750 w 704850"/>
            <a:gd name="csY11" fmla="*/ 533400 h 53340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</a:cxnLst>
          <a:rect l="l" t="t" r="r" b="b"/>
          <a:pathLst>
            <a:path w="704850" h="533400">
              <a:moveTo>
                <a:pt x="666750" y="533400"/>
              </a:moveTo>
              <a:lnTo>
                <a:pt x="38100" y="533400"/>
              </a:lnTo>
              <a:cubicBezTo>
                <a:pt x="17145" y="533400"/>
                <a:pt x="0" y="516255"/>
                <a:pt x="0" y="495300"/>
              </a:cubicBezTo>
              <a:lnTo>
                <a:pt x="0" y="38100"/>
              </a:lnTo>
              <a:cubicBezTo>
                <a:pt x="0" y="17145"/>
                <a:pt x="17145" y="0"/>
                <a:pt x="38100" y="0"/>
              </a:cubicBezTo>
              <a:lnTo>
                <a:pt x="217170" y="0"/>
              </a:lnTo>
              <a:cubicBezTo>
                <a:pt x="224790" y="0"/>
                <a:pt x="232410" y="1905"/>
                <a:pt x="238125" y="6668"/>
              </a:cubicBezTo>
              <a:lnTo>
                <a:pt x="342900" y="76200"/>
              </a:lnTo>
              <a:lnTo>
                <a:pt x="666750" y="76200"/>
              </a:lnTo>
              <a:cubicBezTo>
                <a:pt x="687705" y="76200"/>
                <a:pt x="704850" y="93345"/>
                <a:pt x="704850" y="114300"/>
              </a:cubicBezTo>
              <a:lnTo>
                <a:pt x="704850" y="495300"/>
              </a:lnTo>
              <a:cubicBezTo>
                <a:pt x="704850" y="516255"/>
                <a:pt x="687705" y="533400"/>
                <a:pt x="666750" y="533400"/>
              </a:cubicBezTo>
              <a:close/>
            </a:path>
          </a:pathLst>
        </a:custGeom>
        <a:gradFill>
          <a:gsLst>
            <a:gs pos="100000">
              <a:srgbClr val="FFFFCC"/>
            </a:gs>
            <a:gs pos="67000">
              <a:srgbClr val="F7D081"/>
            </a:gs>
            <a:gs pos="25000">
              <a:srgbClr val="F1AA1B"/>
            </a:gs>
            <a:gs pos="0">
              <a:srgbClr val="E49D0E"/>
            </a:gs>
          </a:gsLst>
          <a:lin ang="18000000" scaled="0"/>
        </a:gradFill>
        <a:ln w="9525" cap="flat">
          <a:noFill/>
          <a:prstDash val="solid"/>
          <a:miter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anchor="b"/>
        <a:lstStyle/>
        <a:p>
          <a:pPr algn="l"/>
          <a:r>
            <a:rPr lang="ja-JP" altLang="en-US" sz="12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ピーコック保存先</a:t>
          </a:r>
        </a:p>
      </xdr:txBody>
    </xdr:sp>
    <xdr:clientData/>
  </xdr:twoCellAnchor>
  <xdr:twoCellAnchor>
    <xdr:from>
      <xdr:col>6</xdr:col>
      <xdr:colOff>1333500</xdr:colOff>
      <xdr:row>9</xdr:row>
      <xdr:rowOff>235324</xdr:rowOff>
    </xdr:from>
    <xdr:to>
      <xdr:col>8</xdr:col>
      <xdr:colOff>1221440</xdr:colOff>
      <xdr:row>12</xdr:row>
      <xdr:rowOff>11207</xdr:rowOff>
    </xdr:to>
    <xdr:sp macro="[0]!LoadPastDataToReadSheet" textlink="">
      <xdr:nvSpPr>
        <xdr:cNvPr id="13" name="正方形/長方形 12">
          <a:extLst>
            <a:ext uri="{FF2B5EF4-FFF2-40B4-BE49-F238E27FC236}">
              <a16:creationId xmlns:a16="http://schemas.microsoft.com/office/drawing/2014/main" id="{D13FE375-88CD-43F2-9102-A78707FB2818}"/>
            </a:ext>
          </a:extLst>
        </xdr:cNvPr>
        <xdr:cNvSpPr/>
      </xdr:nvSpPr>
      <xdr:spPr>
        <a:xfrm>
          <a:off x="9233647" y="3473824"/>
          <a:ext cx="3653117" cy="515471"/>
        </a:xfrm>
        <a:prstGeom prst="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100000">
              <a:schemeClr val="bg1">
                <a:lumMod val="75000"/>
              </a:schemeClr>
            </a:gs>
            <a:gs pos="79000">
              <a:schemeClr val="bg1">
                <a:lumMod val="50000"/>
              </a:schemeClr>
            </a:gs>
            <a:gs pos="46000">
              <a:schemeClr val="tx1">
                <a:lumMod val="50000"/>
                <a:lumOff val="50000"/>
              </a:schemeClr>
            </a:gs>
          </a:gsLst>
          <a:lin ang="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chemeClr val="lt1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過去データ読込</a:t>
          </a:r>
          <a:endParaRPr kumimoji="1" lang="en-US" altLang="ja-JP" sz="1400" b="1">
            <a:solidFill>
              <a:srgbClr val="FF0000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8</xdr:col>
      <xdr:colOff>1322294</xdr:colOff>
      <xdr:row>4</xdr:row>
      <xdr:rowOff>78444</xdr:rowOff>
    </xdr:from>
    <xdr:to>
      <xdr:col>10</xdr:col>
      <xdr:colOff>380999</xdr:colOff>
      <xdr:row>6</xdr:row>
      <xdr:rowOff>156885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9C240AFF-4A85-D81A-5204-B6A9349A6BF6}"/>
            </a:ext>
          </a:extLst>
        </xdr:cNvPr>
        <xdr:cNvGrpSpPr/>
      </xdr:nvGrpSpPr>
      <xdr:grpSpPr>
        <a:xfrm>
          <a:off x="12987618" y="1311091"/>
          <a:ext cx="1311087" cy="829235"/>
          <a:chOff x="8830236" y="1042147"/>
          <a:chExt cx="1311087" cy="829235"/>
        </a:xfrm>
      </xdr:grpSpPr>
      <xdr:pic macro="[0]!Button_MoveFilesOnly_Click">
        <xdr:nvPicPr>
          <xdr:cNvPr id="15" name="グラフィックス 14" descr="矢印: 右回転">
            <a:extLst>
              <a:ext uri="{FF2B5EF4-FFF2-40B4-BE49-F238E27FC236}">
                <a16:creationId xmlns:a16="http://schemas.microsoft.com/office/drawing/2014/main" id="{A0DFAE37-F63D-29B4-58AD-75C8DCEF0B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830236" y="1042147"/>
            <a:ext cx="829235" cy="8292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[0]!Button_MoveFilesOnly_Click" textlink="">
        <xdr:nvSpPr>
          <xdr:cNvPr id="16" name="テキスト ボックス 15">
            <a:extLst>
              <a:ext uri="{FF2B5EF4-FFF2-40B4-BE49-F238E27FC236}">
                <a16:creationId xmlns:a16="http://schemas.microsoft.com/office/drawing/2014/main" id="{84AE7CDA-2570-4B03-BE8E-0FB9E15F13B1}"/>
              </a:ext>
            </a:extLst>
          </xdr:cNvPr>
          <xdr:cNvSpPr txBox="1"/>
        </xdr:nvSpPr>
        <xdr:spPr>
          <a:xfrm>
            <a:off x="8863854" y="1098176"/>
            <a:ext cx="1277469" cy="6051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400" b="1">
                <a:effectLst>
                  <a:glow rad="228600">
                    <a:schemeClr val="accent6">
                      <a:satMod val="175000"/>
                      <a:alpha val="40000"/>
                    </a:schemeClr>
                  </a:glow>
                </a:effectLst>
                <a:latin typeface="游ゴシック" panose="020B0400000000000000" pitchFamily="50" charset="-128"/>
                <a:ea typeface="游ゴシック" panose="020B0400000000000000" pitchFamily="50" charset="-128"/>
              </a:rPr>
              <a:t>ファイル移動</a:t>
            </a:r>
          </a:p>
        </xdr:txBody>
      </xdr:sp>
    </xdr:grpSp>
    <xdr:clientData/>
  </xdr:twoCellAnchor>
  <xdr:twoCellAnchor>
    <xdr:from>
      <xdr:col>6</xdr:col>
      <xdr:colOff>2229970</xdr:colOff>
      <xdr:row>4</xdr:row>
      <xdr:rowOff>4</xdr:rowOff>
    </xdr:from>
    <xdr:to>
      <xdr:col>7</xdr:col>
      <xdr:colOff>773206</xdr:colOff>
      <xdr:row>6</xdr:row>
      <xdr:rowOff>224122</xdr:rowOff>
    </xdr:to>
    <xdr:grpSp>
      <xdr:nvGrpSpPr>
        <xdr:cNvPr id="20" name="グループ化 19">
          <a:extLst>
            <a:ext uri="{FF2B5EF4-FFF2-40B4-BE49-F238E27FC236}">
              <a16:creationId xmlns:a16="http://schemas.microsoft.com/office/drawing/2014/main" id="{F93D9319-7503-5ECB-AFEF-10F8F5A81A8F}"/>
            </a:ext>
          </a:extLst>
        </xdr:cNvPr>
        <xdr:cNvGrpSpPr/>
      </xdr:nvGrpSpPr>
      <xdr:grpSpPr>
        <a:xfrm>
          <a:off x="10130117" y="1232651"/>
          <a:ext cx="1086971" cy="974912"/>
          <a:chOff x="11878235" y="2207559"/>
          <a:chExt cx="1176618" cy="1019736"/>
        </a:xfrm>
      </xdr:grpSpPr>
      <xdr:pic macro="[0]!Button_KakuninBL_Click">
        <xdr:nvPicPr>
          <xdr:cNvPr id="18" name="図 17">
            <a:extLst>
              <a:ext uri="{FF2B5EF4-FFF2-40B4-BE49-F238E27FC236}">
                <a16:creationId xmlns:a16="http://schemas.microsoft.com/office/drawing/2014/main" id="{2D4FB3F7-5EA1-6916-5CB6-AD35AA117F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10000" b="90000" l="10000" r="90000">
                        <a14:foregroundMark x1="39917" y1="44083" x2="35167" y2="53333"/>
                        <a14:foregroundMark x1="35917" y1="56500" x2="24917" y2="46333"/>
                        <a14:foregroundMark x1="24917" y1="46333" x2="22583" y2="54917"/>
                        <a14:foregroundMark x1="22583" y1="54917" x2="22500" y2="53917"/>
                        <a14:foregroundMark x1="18417" y1="44250" x2="23333" y2="56333"/>
                        <a14:foregroundMark x1="23333" y1="56333" x2="28417" y2="52833"/>
                        <a14:foregroundMark x1="28417" y1="52833" x2="29417" y2="47833"/>
                        <a14:foregroundMark x1="29083" y1="43250" x2="35500" y2="49000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89442" y="2207559"/>
            <a:ext cx="986118" cy="986118"/>
          </a:xfrm>
          <a:prstGeom prst="rect">
            <a:avLst/>
          </a:prstGeom>
        </xdr:spPr>
      </xdr:pic>
      <xdr:sp macro="[0]!Button_KakuninBL_Click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D2BE0F9C-0061-C4B9-8E70-5B8C9A7A3054}"/>
              </a:ext>
            </a:extLst>
          </xdr:cNvPr>
          <xdr:cNvSpPr txBox="1"/>
        </xdr:nvSpPr>
        <xdr:spPr>
          <a:xfrm>
            <a:off x="11878235" y="2902325"/>
            <a:ext cx="1176618" cy="32497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200">
                <a:solidFill>
                  <a:schemeClr val="bg1"/>
                </a:solidFill>
                <a:effectLst>
                  <a:glow rad="228600">
                    <a:schemeClr val="accent1">
                      <a:satMod val="175000"/>
                      <a:alpha val="79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確認願生成</a:t>
            </a:r>
          </a:p>
        </xdr:txBody>
      </xdr:sp>
    </xdr:grpSp>
    <xdr:clientData/>
  </xdr:twoCellAnchor>
  <xdr:twoCellAnchor>
    <xdr:from>
      <xdr:col>5</xdr:col>
      <xdr:colOff>1389529</xdr:colOff>
      <xdr:row>4</xdr:row>
      <xdr:rowOff>11204</xdr:rowOff>
    </xdr:from>
    <xdr:to>
      <xdr:col>6</xdr:col>
      <xdr:colOff>549088</xdr:colOff>
      <xdr:row>6</xdr:row>
      <xdr:rowOff>199420</xdr:rowOff>
    </xdr:to>
    <xdr:grpSp>
      <xdr:nvGrpSpPr>
        <xdr:cNvPr id="14" name="グループ化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21A9B2A-9A9D-4138-8AF6-F63ABCE9B3F6}"/>
            </a:ext>
          </a:extLst>
        </xdr:cNvPr>
        <xdr:cNvGrpSpPr/>
      </xdr:nvGrpSpPr>
      <xdr:grpSpPr>
        <a:xfrm>
          <a:off x="7463117" y="1243851"/>
          <a:ext cx="986118" cy="939010"/>
          <a:chOff x="8340570" y="3933824"/>
          <a:chExt cx="1131070" cy="945965"/>
        </a:xfrm>
      </xdr:grpSpPr>
      <xdr:pic>
        <xdr:nvPicPr>
          <xdr:cNvPr id="21" name="図 20">
            <a:extLst>
              <a:ext uri="{FF2B5EF4-FFF2-40B4-BE49-F238E27FC236}">
                <a16:creationId xmlns:a16="http://schemas.microsoft.com/office/drawing/2014/main" id="{81FB61C0-7BC0-16DF-F16C-41F11D01648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2"/>
              </a:ext>
            </a:extLst>
          </a:blip>
          <a:srcRect l="20878" t="23077" r="21979" b="23077"/>
          <a:stretch>
            <a:fillRect/>
          </a:stretch>
        </xdr:blipFill>
        <xdr:spPr>
          <a:xfrm>
            <a:off x="8353425" y="3933824"/>
            <a:ext cx="970384" cy="914401"/>
          </a:xfrm>
          <a:prstGeom prst="rect">
            <a:avLst/>
          </a:prstGeom>
        </xdr:spPr>
      </xdr:pic>
      <xdr:sp macro="" textlink="">
        <xdr:nvSpPr>
          <xdr:cNvPr id="22" name="テキスト ボックス 21">
            <a:extLst>
              <a:ext uri="{FF2B5EF4-FFF2-40B4-BE49-F238E27FC236}">
                <a16:creationId xmlns:a16="http://schemas.microsoft.com/office/drawing/2014/main" id="{00AD15E4-1AF1-35EA-B944-863D6AAB7032}"/>
              </a:ext>
            </a:extLst>
          </xdr:cNvPr>
          <xdr:cNvSpPr txBox="1"/>
        </xdr:nvSpPr>
        <xdr:spPr>
          <a:xfrm>
            <a:off x="8340570" y="4622447"/>
            <a:ext cx="1131070" cy="2573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200" b="1">
                <a:ln w="3175">
                  <a:noFill/>
                </a:ln>
                <a:solidFill>
                  <a:schemeClr val="bg1"/>
                </a:solidFill>
                <a:effectLst>
                  <a:glow rad="228600">
                    <a:srgbClr val="54A91B"/>
                  </a:glow>
                </a:effectLst>
                <a:latin typeface="游ゴシック" panose="020B0400000000000000" pitchFamily="50" charset="-128"/>
                <a:ea typeface="游ゴシック" panose="020B0400000000000000" pitchFamily="50" charset="-128"/>
              </a:rPr>
              <a:t>インストン</a:t>
            </a:r>
          </a:p>
        </xdr:txBody>
      </xdr:sp>
    </xdr:grpSp>
    <xdr:clientData/>
  </xdr:twoCellAnchor>
  <xdr:twoCellAnchor>
    <xdr:from>
      <xdr:col>6</xdr:col>
      <xdr:colOff>851645</xdr:colOff>
      <xdr:row>4</xdr:row>
      <xdr:rowOff>11206</xdr:rowOff>
    </xdr:from>
    <xdr:to>
      <xdr:col>6</xdr:col>
      <xdr:colOff>2017056</xdr:colOff>
      <xdr:row>6</xdr:row>
      <xdr:rowOff>412333</xdr:rowOff>
    </xdr:to>
    <xdr:grpSp>
      <xdr:nvGrpSpPr>
        <xdr:cNvPr id="23" name="グループ化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9225213-427F-4355-BF3F-2B076704E66C}"/>
            </a:ext>
          </a:extLst>
        </xdr:cNvPr>
        <xdr:cNvGrpSpPr/>
      </xdr:nvGrpSpPr>
      <xdr:grpSpPr>
        <a:xfrm>
          <a:off x="8751792" y="1243853"/>
          <a:ext cx="1165411" cy="1151921"/>
          <a:chOff x="8276303" y="3933824"/>
          <a:chExt cx="1336718" cy="1160453"/>
        </a:xfrm>
      </xdr:grpSpPr>
      <xdr:pic>
        <xdr:nvPicPr>
          <xdr:cNvPr id="24" name="図 23">
            <a:extLst>
              <a:ext uri="{FF2B5EF4-FFF2-40B4-BE49-F238E27FC236}">
                <a16:creationId xmlns:a16="http://schemas.microsoft.com/office/drawing/2014/main" id="{7694F776-7490-1DF3-5DDB-6D5DDF9BA19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2"/>
              </a:ext>
            </a:extLst>
          </a:blip>
          <a:srcRect l="20878" t="23077" r="21979" b="23077"/>
          <a:stretch>
            <a:fillRect/>
          </a:stretch>
        </xdr:blipFill>
        <xdr:spPr>
          <a:xfrm>
            <a:off x="8353425" y="3933824"/>
            <a:ext cx="970384" cy="914401"/>
          </a:xfrm>
          <a:prstGeom prst="rect">
            <a:avLst/>
          </a:prstGeom>
        </xdr:spPr>
      </xdr:pic>
      <xdr:sp macro="" textlink="">
        <xdr:nvSpPr>
          <xdr:cNvPr id="25" name="テキスト ボックス 24">
            <a:extLst>
              <a:ext uri="{FF2B5EF4-FFF2-40B4-BE49-F238E27FC236}">
                <a16:creationId xmlns:a16="http://schemas.microsoft.com/office/drawing/2014/main" id="{93D8040A-426A-EC87-DC9C-16B8D36B7933}"/>
              </a:ext>
            </a:extLst>
          </xdr:cNvPr>
          <xdr:cNvSpPr txBox="1"/>
        </xdr:nvSpPr>
        <xdr:spPr>
          <a:xfrm>
            <a:off x="8276303" y="4238623"/>
            <a:ext cx="1336718" cy="8556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200" b="1">
                <a:ln w="3175">
                  <a:noFill/>
                </a:ln>
                <a:solidFill>
                  <a:schemeClr val="bg1"/>
                </a:solidFill>
                <a:effectLst>
                  <a:glow rad="228600">
                    <a:srgbClr val="54A91B"/>
                  </a:glow>
                </a:effectLst>
                <a:latin typeface="游ゴシック" panose="020B0400000000000000" pitchFamily="50" charset="-128"/>
                <a:ea typeface="游ゴシック" panose="020B0400000000000000" pitchFamily="50" charset="-128"/>
              </a:rPr>
              <a:t>ピーコック</a:t>
            </a:r>
            <a:endParaRPr kumimoji="1" lang="en-US" altLang="ja-JP" sz="1200" b="1">
              <a:ln w="3175">
                <a:noFill/>
              </a:ln>
              <a:solidFill>
                <a:schemeClr val="bg1"/>
              </a:solidFill>
              <a:effectLst>
                <a:glow rad="228600">
                  <a:srgbClr val="54A91B"/>
                </a:glow>
              </a:effectLst>
              <a:latin typeface="游ゴシック" panose="020B0400000000000000" pitchFamily="50" charset="-128"/>
              <a:ea typeface="游ゴシック" panose="020B0400000000000000" pitchFamily="50" charset="-128"/>
            </a:endParaRPr>
          </a:p>
          <a:p>
            <a:pPr algn="ctr"/>
            <a:r>
              <a:rPr kumimoji="1" lang="ja-JP" altLang="en-US" sz="1200" b="1">
                <a:ln w="3175">
                  <a:noFill/>
                </a:ln>
                <a:solidFill>
                  <a:schemeClr val="bg1"/>
                </a:solidFill>
                <a:effectLst>
                  <a:glow rad="228600">
                    <a:srgbClr val="54A91B"/>
                  </a:glow>
                </a:effectLst>
                <a:latin typeface="游ゴシック" panose="020B0400000000000000" pitchFamily="50" charset="-128"/>
                <a:ea typeface="游ゴシック" panose="020B0400000000000000" pitchFamily="50" charset="-128"/>
              </a:rPr>
              <a:t>長期入荷予定</a:t>
            </a:r>
          </a:p>
        </xdr:txBody>
      </xdr:sp>
    </xdr:grpSp>
    <xdr:clientData/>
  </xdr:twoCellAnchor>
  <xdr:twoCellAnchor>
    <xdr:from>
      <xdr:col>7</xdr:col>
      <xdr:colOff>949134</xdr:colOff>
      <xdr:row>6</xdr:row>
      <xdr:rowOff>344581</xdr:rowOff>
    </xdr:from>
    <xdr:to>
      <xdr:col>8</xdr:col>
      <xdr:colOff>1221437</xdr:colOff>
      <xdr:row>8</xdr:row>
      <xdr:rowOff>423614</xdr:rowOff>
    </xdr:to>
    <xdr:grpSp>
      <xdr:nvGrpSpPr>
        <xdr:cNvPr id="31" name="グループ化 30">
          <a:extLst>
            <a:ext uri="{FF2B5EF4-FFF2-40B4-BE49-F238E27FC236}">
              <a16:creationId xmlns:a16="http://schemas.microsoft.com/office/drawing/2014/main" id="{8605611A-AE04-4E27-D498-C60C2B1DEC4F}"/>
            </a:ext>
          </a:extLst>
        </xdr:cNvPr>
        <xdr:cNvGrpSpPr/>
      </xdr:nvGrpSpPr>
      <xdr:grpSpPr>
        <a:xfrm>
          <a:off x="11393016" y="2328022"/>
          <a:ext cx="1493745" cy="829827"/>
          <a:chOff x="11608731" y="2324100"/>
          <a:chExt cx="1493745" cy="831508"/>
        </a:xfrm>
      </xdr:grpSpPr>
      <xdr:pic macro="[0]!PrintInvoice_Manual">
        <xdr:nvPicPr>
          <xdr:cNvPr id="30" name="図 29">
            <a:extLst>
              <a:ext uri="{FF2B5EF4-FFF2-40B4-BE49-F238E27FC236}">
                <a16:creationId xmlns:a16="http://schemas.microsoft.com/office/drawing/2014/main" id="{00866CE5-9BDF-9AD7-46B9-CDB082CE31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991975" y="2333626"/>
            <a:ext cx="695325" cy="821982"/>
          </a:xfrm>
          <a:prstGeom prst="rect">
            <a:avLst/>
          </a:prstGeom>
        </xdr:spPr>
      </xdr:pic>
      <xdr:sp macro="[0]!PrintInvoice_Manual" textlink="">
        <xdr:nvSpPr>
          <xdr:cNvPr id="29" name="テキスト ボックス 28">
            <a:extLst>
              <a:ext uri="{FF2B5EF4-FFF2-40B4-BE49-F238E27FC236}">
                <a16:creationId xmlns:a16="http://schemas.microsoft.com/office/drawing/2014/main" id="{CFA40832-56B2-4BB5-8EB8-AE16CF92AB56}"/>
              </a:ext>
            </a:extLst>
          </xdr:cNvPr>
          <xdr:cNvSpPr txBox="1"/>
        </xdr:nvSpPr>
        <xdr:spPr>
          <a:xfrm>
            <a:off x="11608731" y="2324100"/>
            <a:ext cx="1493745" cy="692221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200">
                <a:solidFill>
                  <a:schemeClr val="bg1"/>
                </a:solidFill>
                <a:effectLst>
                  <a:glow rad="228600">
                    <a:schemeClr val="tx1">
                      <a:lumMod val="85000"/>
                      <a:lumOff val="15000"/>
                      <a:alpha val="79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INVOICE</a:t>
            </a:r>
            <a:r>
              <a:rPr kumimoji="1" lang="ja-JP" altLang="en-US" sz="1200">
                <a:solidFill>
                  <a:schemeClr val="bg1"/>
                </a:solidFill>
                <a:effectLst>
                  <a:glow rad="228600">
                    <a:schemeClr val="tx1">
                      <a:lumMod val="85000"/>
                      <a:lumOff val="15000"/>
                      <a:alpha val="79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 印刷</a:t>
            </a:r>
          </a:p>
        </xdr:txBody>
      </xdr:sp>
    </xdr:grpSp>
    <xdr:clientData/>
  </xdr:twoCellAnchor>
  <xdr:twoCellAnchor>
    <xdr:from>
      <xdr:col>7</xdr:col>
      <xdr:colOff>885266</xdr:colOff>
      <xdr:row>4</xdr:row>
      <xdr:rowOff>22413</xdr:rowOff>
    </xdr:from>
    <xdr:to>
      <xdr:col>8</xdr:col>
      <xdr:colOff>1165412</xdr:colOff>
      <xdr:row>6</xdr:row>
      <xdr:rowOff>296455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491445EF-A386-4866-9E86-10BFF525050E}"/>
            </a:ext>
          </a:extLst>
        </xdr:cNvPr>
        <xdr:cNvGrpSpPr/>
      </xdr:nvGrpSpPr>
      <xdr:grpSpPr>
        <a:xfrm>
          <a:off x="11329148" y="1255060"/>
          <a:ext cx="1501588" cy="1024836"/>
          <a:chOff x="7126941" y="705972"/>
          <a:chExt cx="1501588" cy="1024836"/>
        </a:xfrm>
      </xdr:grpSpPr>
      <xdr:pic macro="[0]!RequestSheet_PrintOrSavePDF">
        <xdr:nvPicPr>
          <xdr:cNvPr id="26" name="図 25">
            <a:extLst>
              <a:ext uri="{FF2B5EF4-FFF2-40B4-BE49-F238E27FC236}">
                <a16:creationId xmlns:a16="http://schemas.microsoft.com/office/drawing/2014/main" id="{7731BA5C-2929-6607-300A-CA4C321F21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7393" b="93385" l="5856" r="91892">
                        <a14:foregroundMark x1="9910" y1="17510" x2="36937" y2="28016"/>
                        <a14:foregroundMark x1="36937" y1="28016" x2="45495" y2="24125"/>
                        <a14:foregroundMark x1="6306" y1="21790" x2="6306" y2="21790"/>
                        <a14:foregroundMark x1="42342" y1="29183" x2="69369" y2="27237"/>
                        <a14:foregroundMark x1="69369" y1="27237" x2="75676" y2="59533"/>
                        <a14:foregroundMark x1="75676" y1="59533" x2="63964" y2="77043"/>
                        <a14:foregroundMark x1="63964" y1="77043" x2="36486" y2="64591"/>
                        <a14:foregroundMark x1="36486" y1="64591" x2="69369" y2="82101"/>
                        <a14:foregroundMark x1="69369" y1="82101" x2="34685" y2="88716"/>
                        <a14:foregroundMark x1="34685" y1="88716" x2="28829" y2="70039"/>
                        <a14:foregroundMark x1="28829" y1="70039" x2="42342" y2="49416"/>
                        <a14:foregroundMark x1="42342" y1="49416" x2="81532" y2="23735"/>
                        <a14:foregroundMark x1="19820" y1="77432" x2="37838" y2="92607"/>
                        <a14:foregroundMark x1="37838" y1="92607" x2="65315" y2="94163"/>
                        <a14:foregroundMark x1="65315" y1="94163" x2="85135" y2="84047"/>
                        <a14:foregroundMark x1="47297" y1="82101" x2="81532" y2="85214"/>
                        <a14:foregroundMark x1="81532" y1="85214" x2="55856" y2="82490"/>
                        <a14:foregroundMark x1="55856" y1="82490" x2="55856" y2="82101"/>
                        <a14:foregroundMark x1="47748" y1="84825" x2="47748" y2="84825"/>
                        <a14:foregroundMark x1="47748" y1="84825" x2="47748" y2="84825"/>
                        <a14:foregroundMark x1="79279" y1="81323" x2="66216" y2="85992"/>
                        <a14:foregroundMark x1="62613" y1="27626" x2="30631" y2="7782"/>
                        <a14:foregroundMark x1="30631" y1="7782" x2="80180" y2="12062"/>
                        <a14:foregroundMark x1="80180" y1="12062" x2="89640" y2="23735"/>
                        <a14:foregroundMark x1="18468" y1="12840" x2="77928" y2="12840"/>
                        <a14:foregroundMark x1="77928" y1="12840" x2="91892" y2="28405"/>
                        <a14:foregroundMark x1="91892" y1="28405" x2="87387" y2="78210"/>
                        <a14:foregroundMark x1="87387" y1="78210" x2="50000" y2="93385"/>
                        <a14:foregroundMark x1="50000" y1="93385" x2="27477" y2="91829"/>
                        <a14:foregroundMark x1="27477" y1="91829" x2="18018" y2="54864"/>
                        <a14:foregroundMark x1="18018" y1="54864" x2="21622" y2="27237"/>
                        <a14:foregroundMark x1="21622" y1="27237" x2="52703" y2="18677"/>
                        <a14:foregroundMark x1="52703" y1="18677" x2="67117" y2="63424"/>
                        <a14:foregroundMark x1="67117" y1="63424" x2="48198" y2="85603"/>
                        <a14:foregroundMark x1="48198" y1="85603" x2="71622" y2="72763"/>
                        <a14:foregroundMark x1="71622" y1="72763" x2="38288" y2="57198"/>
                        <a14:foregroundMark x1="38288" y1="57198" x2="34685" y2="32296"/>
                        <a14:foregroundMark x1="34685" y1="32296" x2="52252" y2="59533"/>
                        <a14:foregroundMark x1="52252" y1="59533" x2="44144" y2="64981"/>
                        <a14:foregroundMark x1="21622" y1="9339" x2="14865" y2="16342"/>
                        <a14:foregroundMark x1="18018" y1="9728" x2="18018" y2="972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440704" y="705972"/>
            <a:ext cx="885266" cy="1024836"/>
          </a:xfrm>
          <a:prstGeom prst="rect">
            <a:avLst/>
          </a:prstGeom>
        </xdr:spPr>
      </xdr:pic>
      <xdr:sp macro="[0]!RequestSheet_PrintOrSavePDF" textlink="">
        <xdr:nvSpPr>
          <xdr:cNvPr id="27" name="テキスト ボックス 26">
            <a:extLst>
              <a:ext uri="{FF2B5EF4-FFF2-40B4-BE49-F238E27FC236}">
                <a16:creationId xmlns:a16="http://schemas.microsoft.com/office/drawing/2014/main" id="{FA205D54-4154-7904-0E44-F01497026A7E}"/>
              </a:ext>
            </a:extLst>
          </xdr:cNvPr>
          <xdr:cNvSpPr txBox="1"/>
        </xdr:nvSpPr>
        <xdr:spPr>
          <a:xfrm>
            <a:off x="7126941" y="773207"/>
            <a:ext cx="1501588" cy="918882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200">
                <a:solidFill>
                  <a:schemeClr val="bg1"/>
                </a:solidFill>
                <a:effectLst>
                  <a:glow rad="228600">
                    <a:schemeClr val="accent2">
                      <a:satMod val="175000"/>
                      <a:alpha val="93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入力依頼書</a:t>
            </a:r>
            <a:endParaRPr kumimoji="1" lang="en-US" altLang="ja-JP" sz="1200">
              <a:solidFill>
                <a:schemeClr val="bg1"/>
              </a:solidFill>
              <a:effectLst>
                <a:glow rad="228600">
                  <a:schemeClr val="accent2">
                    <a:satMod val="175000"/>
                    <a:alpha val="93000"/>
                  </a:schemeClr>
                </a:glow>
              </a:effectLst>
              <a:latin typeface="Arial Black" panose="020B0A04020102020204" pitchFamily="34" charset="0"/>
              <a:ea typeface="Noto Sans JP Black" panose="020B0200000000000000" pitchFamily="50" charset="-128"/>
            </a:endParaRPr>
          </a:p>
          <a:p>
            <a:pPr algn="ctr"/>
            <a:r>
              <a:rPr kumimoji="1" lang="en-US" altLang="ja-JP" sz="1200">
                <a:solidFill>
                  <a:schemeClr val="bg1"/>
                </a:solidFill>
                <a:effectLst>
                  <a:glow rad="228600">
                    <a:schemeClr val="accent2">
                      <a:satMod val="175000"/>
                      <a:alpha val="93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PDF</a:t>
            </a:r>
            <a:r>
              <a:rPr kumimoji="1" lang="ja-JP" altLang="en-US" sz="1200">
                <a:solidFill>
                  <a:schemeClr val="bg1"/>
                </a:solidFill>
                <a:effectLst>
                  <a:glow rad="228600">
                    <a:schemeClr val="accent2">
                      <a:satMod val="175000"/>
                      <a:alpha val="93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保存＆印刷</a:t>
            </a:r>
          </a:p>
        </xdr:txBody>
      </xdr:sp>
    </xdr:grpSp>
    <xdr:clientData/>
  </xdr:twoCellAnchor>
  <xdr:twoCellAnchor>
    <xdr:from>
      <xdr:col>8</xdr:col>
      <xdr:colOff>1154205</xdr:colOff>
      <xdr:row>6</xdr:row>
      <xdr:rowOff>291353</xdr:rowOff>
    </xdr:from>
    <xdr:to>
      <xdr:col>10</xdr:col>
      <xdr:colOff>395568</xdr:colOff>
      <xdr:row>9</xdr:row>
      <xdr:rowOff>7264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EF922F5C-8513-1057-D9EF-F0E74B3FDC7A}"/>
            </a:ext>
          </a:extLst>
        </xdr:cNvPr>
        <xdr:cNvGrpSpPr/>
      </xdr:nvGrpSpPr>
      <xdr:grpSpPr>
        <a:xfrm>
          <a:off x="12819529" y="2274794"/>
          <a:ext cx="1493745" cy="970970"/>
          <a:chOff x="12819529" y="2308412"/>
          <a:chExt cx="1493745" cy="970970"/>
        </a:xfrm>
      </xdr:grpSpPr>
      <xdr:pic macro="[0]!Button_PrintFaxPL_Peacock_Click">
        <xdr:nvPicPr>
          <xdr:cNvPr id="28" name="図 27">
            <a:extLst>
              <a:ext uri="{FF2B5EF4-FFF2-40B4-BE49-F238E27FC236}">
                <a16:creationId xmlns:a16="http://schemas.microsoft.com/office/drawing/2014/main" id="{AFDB1D79-040B-892C-DC27-48F3AA5683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9132" b="89498" l="9050" r="90045">
                        <a14:foregroundMark x1="10860" y1="51598" x2="9502" y2="75342"/>
                        <a14:foregroundMark x1="37104" y1="89498" x2="48869" y2="88584"/>
                        <a14:foregroundMark x1="27602" y1="11416" x2="29864" y2="11416"/>
                        <a14:foregroundMark x1="88688" y1="49315" x2="88688" y2="49315"/>
                        <a14:foregroundMark x1="90045" y1="62100" x2="90045" y2="621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088471" y="2308412"/>
            <a:ext cx="918882" cy="910567"/>
          </a:xfrm>
          <a:prstGeom prst="rect">
            <a:avLst/>
          </a:prstGeom>
        </xdr:spPr>
      </xdr:pic>
      <xdr:sp macro="[0]!Button_PrintFaxPL_Peacock_Click" textlink="">
        <xdr:nvSpPr>
          <xdr:cNvPr id="32" name="テキスト ボックス 31">
            <a:extLst>
              <a:ext uri="{FF2B5EF4-FFF2-40B4-BE49-F238E27FC236}">
                <a16:creationId xmlns:a16="http://schemas.microsoft.com/office/drawing/2014/main" id="{12B3F424-D694-446B-945F-08975DE1DA4F}"/>
              </a:ext>
            </a:extLst>
          </xdr:cNvPr>
          <xdr:cNvSpPr txBox="1"/>
        </xdr:nvSpPr>
        <xdr:spPr>
          <a:xfrm>
            <a:off x="12819529" y="2588560"/>
            <a:ext cx="1493745" cy="690822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200">
                <a:solidFill>
                  <a:schemeClr val="bg1"/>
                </a:solidFill>
                <a:effectLst>
                  <a:glow rad="228600">
                    <a:schemeClr val="accent4">
                      <a:satMod val="175000"/>
                      <a:alpha val="95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トランスシティ</a:t>
            </a:r>
            <a:endParaRPr kumimoji="1" lang="en-US" altLang="ja-JP" sz="1200">
              <a:solidFill>
                <a:schemeClr val="bg1"/>
              </a:solidFill>
              <a:effectLst>
                <a:glow rad="228600">
                  <a:schemeClr val="accent4">
                    <a:satMod val="175000"/>
                    <a:alpha val="95000"/>
                  </a:schemeClr>
                </a:glow>
              </a:effectLst>
              <a:latin typeface="Arial Black" panose="020B0A04020102020204" pitchFamily="34" charset="0"/>
              <a:ea typeface="Noto Sans JP Black" panose="020B0200000000000000" pitchFamily="50" charset="-128"/>
            </a:endParaRPr>
          </a:p>
          <a:p>
            <a:pPr algn="ctr"/>
            <a:r>
              <a:rPr kumimoji="1" lang="en-US" altLang="ja-JP" sz="1200">
                <a:solidFill>
                  <a:schemeClr val="bg1"/>
                </a:solidFill>
                <a:effectLst>
                  <a:glow rad="228600">
                    <a:schemeClr val="accent4">
                      <a:satMod val="175000"/>
                      <a:alpha val="95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FAX</a:t>
            </a:r>
            <a:r>
              <a:rPr kumimoji="1" lang="ja-JP" altLang="en-US" sz="1200">
                <a:solidFill>
                  <a:schemeClr val="bg1"/>
                </a:solidFill>
                <a:effectLst>
                  <a:glow rad="228600">
                    <a:schemeClr val="accent4">
                      <a:satMod val="175000"/>
                      <a:alpha val="95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 印刷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38100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F611B2B-8781-4A55-A10B-7A9EF1BADF87}"/>
            </a:ext>
          </a:extLst>
        </xdr:cNvPr>
        <xdr:cNvSpPr/>
      </xdr:nvSpPr>
      <xdr:spPr>
        <a:xfrm>
          <a:off x="0" y="0"/>
          <a:ext cx="16973550" cy="447675"/>
        </a:xfrm>
        <a:prstGeom prst="rect">
          <a:avLst/>
        </a:prstGeom>
        <a:gradFill>
          <a:gsLst>
            <a:gs pos="0">
              <a:srgbClr val="154701"/>
            </a:gs>
            <a:gs pos="29000">
              <a:srgbClr val="237901"/>
            </a:gs>
            <a:gs pos="65000">
              <a:srgbClr val="2B9501"/>
            </a:gs>
            <a:gs pos="100000">
              <a:srgbClr val="FFFF00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 b="1">
              <a:latin typeface="游ゴシック" panose="020B0400000000000000" pitchFamily="50" charset="-128"/>
              <a:ea typeface="游ゴシック" panose="020B0400000000000000" pitchFamily="50" charset="-128"/>
            </a:rPr>
            <a:t>仕入・売上データベース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19050</xdr:colOff>
      <xdr:row>1</xdr:row>
      <xdr:rowOff>19050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37766C3-9006-6130-F346-DFB10AE4B4DA}"/>
            </a:ext>
          </a:extLst>
        </xdr:cNvPr>
        <xdr:cNvSpPr/>
      </xdr:nvSpPr>
      <xdr:spPr>
        <a:xfrm>
          <a:off x="0" y="0"/>
          <a:ext cx="10553700" cy="447675"/>
        </a:xfrm>
        <a:prstGeom prst="rect">
          <a:avLst/>
        </a:prstGeom>
        <a:gradFill>
          <a:gsLst>
            <a:gs pos="0">
              <a:srgbClr val="FFE285"/>
            </a:gs>
            <a:gs pos="30000">
              <a:srgbClr val="FFD347"/>
            </a:gs>
            <a:gs pos="66000">
              <a:schemeClr val="accent6"/>
            </a:gs>
            <a:gs pos="100000">
              <a:srgbClr val="FFFF00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6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KINTONE</a:t>
          </a:r>
          <a:r>
            <a:rPr kumimoji="1" lang="ja-JP" altLang="en-US" sz="1600" b="1">
              <a:solidFill>
                <a:sysClr val="windowText" lastClr="000000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入力データ</a:t>
          </a:r>
          <a:endParaRPr kumimoji="1" lang="en-US" altLang="ja-JP" sz="1600" b="1">
            <a:solidFill>
              <a:sysClr val="windowText" lastClr="000000"/>
            </a:solidFill>
            <a:latin typeface="游ゴシック" panose="020B0400000000000000" pitchFamily="50" charset="-128"/>
            <a:ea typeface="游ゴシック" panose="020B0400000000000000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561975</xdr:colOff>
          <xdr:row>8</xdr:row>
          <xdr:rowOff>104775</xdr:rowOff>
        </xdr:to>
        <xdr:sp macro="" textlink="">
          <xdr:nvSpPr>
            <xdr:cNvPr id="8216" name="btnLoadPastData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86926C6A-2A6C-5DCF-61B7-26D18EE54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過去データ読込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1030941</xdr:colOff>
      <xdr:row>3</xdr:row>
      <xdr:rowOff>112060</xdr:rowOff>
    </xdr:from>
    <xdr:to>
      <xdr:col>10</xdr:col>
      <xdr:colOff>616323</xdr:colOff>
      <xdr:row>7</xdr:row>
      <xdr:rowOff>206808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35C42E47-086A-F43F-E994-6C087A921B25}"/>
            </a:ext>
          </a:extLst>
        </xdr:cNvPr>
        <xdr:cNvGrpSpPr/>
      </xdr:nvGrpSpPr>
      <xdr:grpSpPr>
        <a:xfrm>
          <a:off x="6565467" y="645460"/>
          <a:ext cx="1378589" cy="935956"/>
          <a:chOff x="7126941" y="705972"/>
          <a:chExt cx="1501588" cy="1024836"/>
        </a:xfrm>
      </xdr:grpSpPr>
      <xdr:pic macro="[0]!RequestSheet_PrintOrSavePDF">
        <xdr:nvPicPr>
          <xdr:cNvPr id="2" name="図 1">
            <a:extLst>
              <a:ext uri="{FF2B5EF4-FFF2-40B4-BE49-F238E27FC236}">
                <a16:creationId xmlns:a16="http://schemas.microsoft.com/office/drawing/2014/main" id="{963CD01C-1965-48BC-160A-524D8DC439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7393" b="93385" l="5856" r="91892">
                        <a14:foregroundMark x1="9910" y1="17510" x2="36937" y2="28016"/>
                        <a14:foregroundMark x1="36937" y1="28016" x2="45495" y2="24125"/>
                        <a14:foregroundMark x1="6306" y1="21790" x2="6306" y2="21790"/>
                        <a14:foregroundMark x1="42342" y1="29183" x2="69369" y2="27237"/>
                        <a14:foregroundMark x1="69369" y1="27237" x2="75676" y2="59533"/>
                        <a14:foregroundMark x1="75676" y1="59533" x2="63964" y2="77043"/>
                        <a14:foregroundMark x1="63964" y1="77043" x2="36486" y2="64591"/>
                        <a14:foregroundMark x1="36486" y1="64591" x2="69369" y2="82101"/>
                        <a14:foregroundMark x1="69369" y1="82101" x2="34685" y2="88716"/>
                        <a14:foregroundMark x1="34685" y1="88716" x2="28829" y2="70039"/>
                        <a14:foregroundMark x1="28829" y1="70039" x2="42342" y2="49416"/>
                        <a14:foregroundMark x1="42342" y1="49416" x2="81532" y2="23735"/>
                        <a14:foregroundMark x1="19820" y1="77432" x2="37838" y2="92607"/>
                        <a14:foregroundMark x1="37838" y1="92607" x2="65315" y2="94163"/>
                        <a14:foregroundMark x1="65315" y1="94163" x2="85135" y2="84047"/>
                        <a14:foregroundMark x1="47297" y1="82101" x2="81532" y2="85214"/>
                        <a14:foregroundMark x1="81532" y1="85214" x2="55856" y2="82490"/>
                        <a14:foregroundMark x1="55856" y1="82490" x2="55856" y2="82101"/>
                        <a14:foregroundMark x1="47748" y1="84825" x2="47748" y2="84825"/>
                        <a14:foregroundMark x1="47748" y1="84825" x2="47748" y2="84825"/>
                        <a14:foregroundMark x1="79279" y1="81323" x2="66216" y2="85992"/>
                        <a14:foregroundMark x1="62613" y1="27626" x2="30631" y2="7782"/>
                        <a14:foregroundMark x1="30631" y1="7782" x2="80180" y2="12062"/>
                        <a14:foregroundMark x1="80180" y1="12062" x2="89640" y2="23735"/>
                        <a14:foregroundMark x1="18468" y1="12840" x2="77928" y2="12840"/>
                        <a14:foregroundMark x1="77928" y1="12840" x2="91892" y2="28405"/>
                        <a14:foregroundMark x1="91892" y1="28405" x2="87387" y2="78210"/>
                        <a14:foregroundMark x1="87387" y1="78210" x2="50000" y2="93385"/>
                        <a14:foregroundMark x1="50000" y1="93385" x2="27477" y2="91829"/>
                        <a14:foregroundMark x1="27477" y1="91829" x2="18018" y2="54864"/>
                        <a14:foregroundMark x1="18018" y1="54864" x2="21622" y2="27237"/>
                        <a14:foregroundMark x1="21622" y1="27237" x2="52703" y2="18677"/>
                        <a14:foregroundMark x1="52703" y1="18677" x2="67117" y2="63424"/>
                        <a14:foregroundMark x1="67117" y1="63424" x2="48198" y2="85603"/>
                        <a14:foregroundMark x1="48198" y1="85603" x2="71622" y2="72763"/>
                        <a14:foregroundMark x1="71622" y1="72763" x2="38288" y2="57198"/>
                        <a14:foregroundMark x1="38288" y1="57198" x2="34685" y2="32296"/>
                        <a14:foregroundMark x1="34685" y1="32296" x2="52252" y2="59533"/>
                        <a14:foregroundMark x1="52252" y1="59533" x2="44144" y2="64981"/>
                        <a14:foregroundMark x1="21622" y1="9339" x2="14865" y2="16342"/>
                        <a14:foregroundMark x1="18018" y1="9728" x2="18018" y2="972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440704" y="705972"/>
            <a:ext cx="885266" cy="1024836"/>
          </a:xfrm>
          <a:prstGeom prst="rect">
            <a:avLst/>
          </a:prstGeom>
        </xdr:spPr>
      </xdr:pic>
      <xdr:sp macro="[0]!RequestSheet_PrintOrSavePDF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AD7FD29A-D502-436C-9BA4-3E22212375B3}"/>
              </a:ext>
            </a:extLst>
          </xdr:cNvPr>
          <xdr:cNvSpPr txBox="1"/>
        </xdr:nvSpPr>
        <xdr:spPr>
          <a:xfrm>
            <a:off x="7126941" y="773207"/>
            <a:ext cx="1501588" cy="918882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200">
                <a:solidFill>
                  <a:schemeClr val="bg1"/>
                </a:solidFill>
                <a:effectLst>
                  <a:glow rad="228600">
                    <a:schemeClr val="accent2">
                      <a:satMod val="175000"/>
                      <a:alpha val="93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入力依頼書</a:t>
            </a:r>
            <a:endParaRPr kumimoji="1" lang="en-US" altLang="ja-JP" sz="1200">
              <a:solidFill>
                <a:schemeClr val="bg1"/>
              </a:solidFill>
              <a:effectLst>
                <a:glow rad="228600">
                  <a:schemeClr val="accent2">
                    <a:satMod val="175000"/>
                    <a:alpha val="93000"/>
                  </a:schemeClr>
                </a:glow>
              </a:effectLst>
              <a:latin typeface="Arial Black" panose="020B0A04020102020204" pitchFamily="34" charset="0"/>
              <a:ea typeface="Noto Sans JP Black" panose="020B0200000000000000" pitchFamily="50" charset="-128"/>
            </a:endParaRPr>
          </a:p>
          <a:p>
            <a:pPr algn="ctr"/>
            <a:r>
              <a:rPr kumimoji="1" lang="en-US" altLang="ja-JP" sz="1200">
                <a:solidFill>
                  <a:schemeClr val="bg1"/>
                </a:solidFill>
                <a:effectLst>
                  <a:glow rad="228600">
                    <a:schemeClr val="accent2">
                      <a:satMod val="175000"/>
                      <a:alpha val="93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PDF</a:t>
            </a:r>
            <a:r>
              <a:rPr kumimoji="1" lang="ja-JP" altLang="en-US" sz="1200">
                <a:solidFill>
                  <a:schemeClr val="bg1"/>
                </a:solidFill>
                <a:effectLst>
                  <a:glow rad="228600">
                    <a:schemeClr val="accent2">
                      <a:satMod val="175000"/>
                      <a:alpha val="93000"/>
                    </a:schemeClr>
                  </a:glow>
                </a:effectLst>
                <a:latin typeface="Arial Black" panose="020B0A04020102020204" pitchFamily="34" charset="0"/>
                <a:ea typeface="Noto Sans JP Black" panose="020B0200000000000000" pitchFamily="50" charset="-128"/>
              </a:rPr>
              <a:t>保存＆印刷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33</xdr:row>
      <xdr:rowOff>9525</xdr:rowOff>
    </xdr:from>
    <xdr:to>
      <xdr:col>9</xdr:col>
      <xdr:colOff>933450</xdr:colOff>
      <xdr:row>35</xdr:row>
      <xdr:rowOff>171450</xdr:rowOff>
    </xdr:to>
    <xdr:pic>
      <xdr:nvPicPr>
        <xdr:cNvPr id="2" name="Picture 1" descr="ロゴ_0">
          <a:extLst>
            <a:ext uri="{FF2B5EF4-FFF2-40B4-BE49-F238E27FC236}">
              <a16:creationId xmlns:a16="http://schemas.microsoft.com/office/drawing/2014/main" id="{CEA562A0-063B-4BEE-AF98-B5377D670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0" y="7086600"/>
          <a:ext cx="21621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100_&#20844;&#38283;&#24773;&#22577;/004_&#21830;&#21697;&#37096;&#26989;&#21209;&#65319;/&#26862;&#21407;/&#36664;&#20986;&#26989;&#21209;/&#12452;&#12531;&#12473;&#12488;&#12531;.xlsx" TargetMode="External"/><Relationship Id="rId2" Type="http://schemas.openxmlformats.org/officeDocument/2006/relationships/externalLinkPath" Target="file:///K:\100_&#20844;&#38283;&#24773;&#22577;\004_&#21830;&#21697;&#37096;&#26989;&#21209;&#65319;\&#26862;&#21407;\&#36664;&#20986;&#26989;&#21209;\&#12452;&#12531;&#12473;&#12488;&#12531;.xlsx" TargetMode="External"/><Relationship Id="rId1" Type="http://schemas.openxmlformats.org/officeDocument/2006/relationships/externalLinkPath" Target="/100_&#20844;&#38283;&#24773;&#22577;/004_&#21830;&#21697;&#37096;&#26989;&#21209;&#65319;/&#26862;&#21407;/&#36664;&#20986;&#26989;&#21209;/&#12452;&#12531;&#12473;&#12488;&#1253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インストン"/>
      <sheetName val="登録情報"/>
    </sheetNames>
    <sheetDataSet>
      <sheetData sheetId="0">
        <row r="1">
          <cell r="A1" t="str">
            <v>ｲﾝｽﾄﾝID</v>
          </cell>
          <cell r="B1" t="str">
            <v>荷主担当者</v>
          </cell>
          <cell r="C1" t="str">
            <v>海運業者</v>
          </cell>
          <cell r="D1" t="str">
            <v>受付日</v>
          </cell>
          <cell r="E1" t="str">
            <v>REF No.</v>
          </cell>
          <cell r="F1" t="str">
            <v>INVOICE</v>
          </cell>
          <cell r="G1" t="str">
            <v>評価アップ</v>
          </cell>
          <cell r="H1" t="str">
            <v>申告番号</v>
          </cell>
          <cell r="I1" t="str">
            <v>通関金額</v>
          </cell>
          <cell r="J1" t="str">
            <v>インボイス金額</v>
          </cell>
          <cell r="K1" t="str">
            <v>実積載m3</v>
          </cell>
          <cell r="L1" t="str">
            <v>ｺﾝﾃﾅNO</v>
          </cell>
          <cell r="M1" t="str">
            <v>納入先</v>
          </cell>
          <cell r="N1" t="str">
            <v>ｻｲｽﾞ</v>
          </cell>
          <cell r="O1" t="str">
            <v>通関地</v>
          </cell>
          <cell r="P1" t="str">
            <v>入港予定日</v>
          </cell>
          <cell r="Q1" t="str">
            <v>納入日</v>
          </cell>
          <cell r="R1" t="str">
            <v>曜日</v>
          </cell>
          <cell r="S1" t="str">
            <v>納入時間</v>
          </cell>
        </row>
        <row r="2">
          <cell r="A2">
            <v>8142</v>
          </cell>
          <cell r="B2" t="str">
            <v>川瀬 有里</v>
          </cell>
          <cell r="C2" t="str">
            <v>TRADIA</v>
          </cell>
          <cell r="D2">
            <v>45296</v>
          </cell>
          <cell r="E2" t="str">
            <v>24K0150-1</v>
          </cell>
          <cell r="F2" t="str">
            <v>I000012355</v>
          </cell>
          <cell r="G2">
            <v>0</v>
          </cell>
          <cell r="H2" t="str">
            <v>40941417040</v>
          </cell>
          <cell r="I2">
            <v>4587</v>
          </cell>
          <cell r="J2">
            <v>4587</v>
          </cell>
          <cell r="K2">
            <v>0.28999999999999998</v>
          </cell>
          <cell r="M2">
            <v>3</v>
          </cell>
          <cell r="N2" t="str">
            <v>AIR</v>
          </cell>
          <cell r="O2">
            <v>2</v>
          </cell>
          <cell r="Q2">
            <v>45296</v>
          </cell>
          <cell r="R2" t="str">
            <v>金</v>
          </cell>
          <cell r="S2" t="str">
            <v>AM8:30</v>
          </cell>
        </row>
        <row r="3">
          <cell r="A3">
            <v>8143</v>
          </cell>
          <cell r="B3" t="str">
            <v>川瀬 有里</v>
          </cell>
          <cell r="C3" t="str">
            <v>TRADIA</v>
          </cell>
          <cell r="D3">
            <v>45296</v>
          </cell>
          <cell r="E3" t="str">
            <v>24K0150-2</v>
          </cell>
          <cell r="F3" t="str">
            <v>K008/24</v>
          </cell>
          <cell r="G3">
            <v>0</v>
          </cell>
          <cell r="H3" t="str">
            <v>40941417040</v>
          </cell>
          <cell r="I3">
            <v>3463.8</v>
          </cell>
          <cell r="J3">
            <v>3463.8</v>
          </cell>
          <cell r="K3">
            <v>0.05</v>
          </cell>
          <cell r="M3">
            <v>3</v>
          </cell>
          <cell r="N3" t="str">
            <v>AIR</v>
          </cell>
          <cell r="O3">
            <v>2</v>
          </cell>
          <cell r="Q3">
            <v>45296</v>
          </cell>
          <cell r="R3" t="str">
            <v>金</v>
          </cell>
          <cell r="S3" t="str">
            <v>AM8:30</v>
          </cell>
        </row>
        <row r="4">
          <cell r="A4">
            <v>8144</v>
          </cell>
          <cell r="B4" t="str">
            <v>川瀬 有里</v>
          </cell>
          <cell r="C4" t="str">
            <v>TRADIA</v>
          </cell>
          <cell r="D4">
            <v>45296</v>
          </cell>
          <cell r="E4" t="str">
            <v>23K1221</v>
          </cell>
          <cell r="F4" t="str">
            <v>I000012337</v>
          </cell>
          <cell r="G4">
            <v>0</v>
          </cell>
          <cell r="H4" t="str">
            <v>31386213560</v>
          </cell>
          <cell r="I4">
            <v>295613.24</v>
          </cell>
          <cell r="J4">
            <v>295613.24</v>
          </cell>
          <cell r="K4">
            <v>27.65</v>
          </cell>
          <cell r="L4" t="str">
            <v>TSSU2231106</v>
          </cell>
          <cell r="M4">
            <v>3</v>
          </cell>
          <cell r="N4" t="str">
            <v>20’</v>
          </cell>
          <cell r="O4">
            <v>1</v>
          </cell>
          <cell r="P4">
            <v>45301</v>
          </cell>
          <cell r="Q4">
            <v>45303</v>
          </cell>
          <cell r="R4" t="str">
            <v>金</v>
          </cell>
          <cell r="S4" t="str">
            <v>AM8:30</v>
          </cell>
        </row>
        <row r="5">
          <cell r="A5">
            <v>8145</v>
          </cell>
          <cell r="B5" t="str">
            <v>川瀬 有里</v>
          </cell>
          <cell r="C5" t="str">
            <v>TRADIA</v>
          </cell>
          <cell r="D5">
            <v>45296</v>
          </cell>
          <cell r="E5" t="str">
            <v>23K1222</v>
          </cell>
          <cell r="F5" t="str">
            <v>I000012340</v>
          </cell>
          <cell r="G5">
            <v>0</v>
          </cell>
          <cell r="H5" t="str">
            <v>31386213560</v>
          </cell>
          <cell r="I5">
            <v>502839.84</v>
          </cell>
          <cell r="J5">
            <v>502839.84</v>
          </cell>
          <cell r="K5">
            <v>29.34</v>
          </cell>
          <cell r="L5" t="str">
            <v>TSSU2181284</v>
          </cell>
          <cell r="M5">
            <v>3</v>
          </cell>
          <cell r="N5" t="str">
            <v>20’</v>
          </cell>
          <cell r="O5">
            <v>1</v>
          </cell>
          <cell r="P5">
            <v>45301</v>
          </cell>
          <cell r="Q5">
            <v>45303</v>
          </cell>
          <cell r="R5" t="str">
            <v>金</v>
          </cell>
          <cell r="S5" t="str">
            <v>AM8:30</v>
          </cell>
        </row>
        <row r="6">
          <cell r="A6">
            <v>8146</v>
          </cell>
          <cell r="B6" t="str">
            <v>川瀬 有里</v>
          </cell>
          <cell r="C6" t="str">
            <v>TRADIA</v>
          </cell>
          <cell r="D6">
            <v>45296</v>
          </cell>
          <cell r="E6" t="str">
            <v>24K0101</v>
          </cell>
          <cell r="F6" t="str">
            <v>I000012357</v>
          </cell>
          <cell r="G6">
            <v>0</v>
          </cell>
          <cell r="H6" t="str">
            <v>31387148910</v>
          </cell>
          <cell r="I6">
            <v>279621.02</v>
          </cell>
          <cell r="J6">
            <v>279621.02</v>
          </cell>
          <cell r="K6">
            <v>27.72</v>
          </cell>
          <cell r="L6" t="str">
            <v>TRHU1479284</v>
          </cell>
          <cell r="M6">
            <v>3</v>
          </cell>
          <cell r="N6" t="str">
            <v>20’</v>
          </cell>
          <cell r="O6">
            <v>1</v>
          </cell>
          <cell r="P6">
            <v>45305</v>
          </cell>
          <cell r="Q6">
            <v>45308</v>
          </cell>
          <cell r="R6" t="str">
            <v>水</v>
          </cell>
          <cell r="S6" t="str">
            <v>AM8:30</v>
          </cell>
        </row>
        <row r="7">
          <cell r="A7">
            <v>8147</v>
          </cell>
          <cell r="B7" t="str">
            <v>川瀬 有里</v>
          </cell>
          <cell r="C7" t="str">
            <v>TRADIA</v>
          </cell>
          <cell r="D7">
            <v>45297</v>
          </cell>
          <cell r="E7" t="str">
            <v>23P1207</v>
          </cell>
          <cell r="F7" t="str">
            <v>I000012339</v>
          </cell>
          <cell r="G7">
            <v>0</v>
          </cell>
          <cell r="H7" t="str">
            <v>41274632220</v>
          </cell>
          <cell r="I7">
            <v>511168.07</v>
          </cell>
          <cell r="J7">
            <v>511168.07</v>
          </cell>
          <cell r="K7">
            <v>65.31</v>
          </cell>
          <cell r="L7" t="str">
            <v>TSSU5183275</v>
          </cell>
          <cell r="N7" t="str">
            <v>40HQ</v>
          </cell>
          <cell r="O7">
            <v>2</v>
          </cell>
          <cell r="P7">
            <v>45299</v>
          </cell>
          <cell r="Q7">
            <v>45315</v>
          </cell>
          <cell r="R7" t="str">
            <v>水</v>
          </cell>
          <cell r="S7" t="str">
            <v>AM9:30</v>
          </cell>
        </row>
        <row r="8">
          <cell r="A8">
            <v>8148</v>
          </cell>
          <cell r="B8" t="str">
            <v>川瀬 有里</v>
          </cell>
          <cell r="C8" t="str">
            <v>TRADIA</v>
          </cell>
          <cell r="D8">
            <v>45297</v>
          </cell>
          <cell r="E8" t="str">
            <v>23P1208</v>
          </cell>
          <cell r="F8" t="str">
            <v>I000012344</v>
          </cell>
          <cell r="G8">
            <v>0</v>
          </cell>
          <cell r="H8" t="str">
            <v>21534036850</v>
          </cell>
          <cell r="I8">
            <v>272240.40000000002</v>
          </cell>
          <cell r="J8">
            <v>272240.40000000002</v>
          </cell>
          <cell r="K8">
            <v>37.549999999999997</v>
          </cell>
          <cell r="L8" t="str">
            <v>WHSU6715707</v>
          </cell>
          <cell r="M8">
            <v>11</v>
          </cell>
          <cell r="N8" t="str">
            <v>40HQ</v>
          </cell>
          <cell r="O8">
            <v>4</v>
          </cell>
          <cell r="P8">
            <v>45303</v>
          </cell>
          <cell r="Q8">
            <v>45324</v>
          </cell>
          <cell r="R8" t="str">
            <v>金</v>
          </cell>
          <cell r="S8" t="str">
            <v>AM7:30</v>
          </cell>
        </row>
        <row r="9">
          <cell r="A9">
            <v>8149</v>
          </cell>
          <cell r="B9" t="str">
            <v>川瀬 有里</v>
          </cell>
          <cell r="C9" t="str">
            <v>KONOIKE</v>
          </cell>
          <cell r="D9">
            <v>45297</v>
          </cell>
          <cell r="E9" t="str">
            <v>23T1217</v>
          </cell>
          <cell r="F9" t="str">
            <v>I000012343</v>
          </cell>
          <cell r="G9">
            <v>0</v>
          </cell>
          <cell r="H9" t="str">
            <v>11572245150</v>
          </cell>
          <cell r="I9">
            <v>411895.3</v>
          </cell>
          <cell r="J9">
            <v>411895.3</v>
          </cell>
          <cell r="K9">
            <v>46.54</v>
          </cell>
          <cell r="L9" t="str">
            <v>FCIU9379960</v>
          </cell>
          <cell r="M9">
            <v>4</v>
          </cell>
          <cell r="N9" t="str">
            <v>40HQ</v>
          </cell>
          <cell r="O9">
            <v>4</v>
          </cell>
          <cell r="P9">
            <v>45303</v>
          </cell>
          <cell r="Q9">
            <v>45307</v>
          </cell>
          <cell r="R9" t="str">
            <v>火</v>
          </cell>
          <cell r="S9" t="str">
            <v>AM8:00</v>
          </cell>
        </row>
        <row r="10">
          <cell r="A10">
            <v>8150</v>
          </cell>
          <cell r="B10" t="str">
            <v>川瀬 有里</v>
          </cell>
          <cell r="C10" t="str">
            <v>KONOIKE</v>
          </cell>
          <cell r="D10">
            <v>45297</v>
          </cell>
          <cell r="E10" t="str">
            <v>23T1216</v>
          </cell>
          <cell r="F10" t="str">
            <v>I000012332</v>
          </cell>
          <cell r="G10">
            <v>0</v>
          </cell>
          <cell r="H10" t="str">
            <v>41273337660</v>
          </cell>
          <cell r="I10">
            <v>624474.96</v>
          </cell>
          <cell r="J10">
            <v>624474.96</v>
          </cell>
          <cell r="K10">
            <v>63.54</v>
          </cell>
          <cell r="L10" t="str">
            <v>WHSU6759346</v>
          </cell>
          <cell r="M10">
            <v>4</v>
          </cell>
          <cell r="N10" t="str">
            <v>40HQ</v>
          </cell>
          <cell r="O10">
            <v>2</v>
          </cell>
          <cell r="P10">
            <v>45299</v>
          </cell>
          <cell r="Q10">
            <v>45302</v>
          </cell>
          <cell r="R10" t="str">
            <v>木</v>
          </cell>
          <cell r="S10" t="str">
            <v>AM8:00</v>
          </cell>
        </row>
        <row r="11">
          <cell r="A11">
            <v>8151</v>
          </cell>
          <cell r="B11" t="str">
            <v>川瀬 有里</v>
          </cell>
          <cell r="C11" t="str">
            <v>KONOIKE</v>
          </cell>
          <cell r="D11">
            <v>45297</v>
          </cell>
          <cell r="E11" t="str">
            <v>23T1218-1</v>
          </cell>
          <cell r="F11" t="str">
            <v>I000012345</v>
          </cell>
          <cell r="G11">
            <v>0</v>
          </cell>
          <cell r="H11" t="str">
            <v>41273337660</v>
          </cell>
          <cell r="I11">
            <v>748412.88</v>
          </cell>
          <cell r="J11">
            <v>748412.88</v>
          </cell>
          <cell r="K11">
            <v>60.8</v>
          </cell>
          <cell r="L11" t="str">
            <v>WHSU6730208</v>
          </cell>
          <cell r="M11">
            <v>4</v>
          </cell>
          <cell r="N11" t="str">
            <v>40HQ</v>
          </cell>
          <cell r="O11">
            <v>2</v>
          </cell>
          <cell r="P11">
            <v>45299</v>
          </cell>
          <cell r="Q11">
            <v>45302</v>
          </cell>
          <cell r="R11" t="str">
            <v>木</v>
          </cell>
          <cell r="S11" t="str">
            <v>AM8:00</v>
          </cell>
        </row>
        <row r="12">
          <cell r="A12">
            <v>8152</v>
          </cell>
          <cell r="B12" t="str">
            <v>川瀬 有里</v>
          </cell>
          <cell r="C12" t="str">
            <v>KONOIKE</v>
          </cell>
          <cell r="D12">
            <v>45297</v>
          </cell>
          <cell r="E12" t="str">
            <v>23T1218-2</v>
          </cell>
          <cell r="F12" t="str">
            <v>23T1218</v>
          </cell>
          <cell r="G12">
            <v>0</v>
          </cell>
          <cell r="H12" t="str">
            <v>41273337660</v>
          </cell>
          <cell r="I12">
            <v>4878.8</v>
          </cell>
          <cell r="J12">
            <v>4878.8</v>
          </cell>
          <cell r="K12">
            <v>1.1599999999999999</v>
          </cell>
          <cell r="M12">
            <v>4</v>
          </cell>
          <cell r="O12">
            <v>2</v>
          </cell>
          <cell r="P12">
            <v>45299</v>
          </cell>
          <cell r="Q12">
            <v>45302</v>
          </cell>
          <cell r="R12" t="str">
            <v>木</v>
          </cell>
          <cell r="S12" t="str">
            <v>AM8:00</v>
          </cell>
        </row>
        <row r="13">
          <cell r="A13">
            <v>8153</v>
          </cell>
          <cell r="B13" t="str">
            <v>川瀬 有里</v>
          </cell>
          <cell r="C13" t="str">
            <v>KONOIKE</v>
          </cell>
          <cell r="D13">
            <v>45297</v>
          </cell>
          <cell r="E13" t="str">
            <v>23T1219</v>
          </cell>
          <cell r="F13" t="str">
            <v>I000012338</v>
          </cell>
          <cell r="G13">
            <v>0</v>
          </cell>
          <cell r="H13" t="str">
            <v>41273337660</v>
          </cell>
          <cell r="I13">
            <v>697464.88</v>
          </cell>
          <cell r="J13">
            <v>697464.88</v>
          </cell>
          <cell r="K13">
            <v>62.79</v>
          </cell>
          <cell r="L13" t="str">
            <v>WHSU6620730</v>
          </cell>
          <cell r="M13">
            <v>4</v>
          </cell>
          <cell r="N13" t="str">
            <v>40HQ</v>
          </cell>
          <cell r="O13">
            <v>2</v>
          </cell>
          <cell r="P13">
            <v>45299</v>
          </cell>
          <cell r="Q13">
            <v>45302</v>
          </cell>
          <cell r="R13" t="str">
            <v>木</v>
          </cell>
          <cell r="S13" t="str">
            <v>AM8:00</v>
          </cell>
        </row>
        <row r="14">
          <cell r="A14">
            <v>8154</v>
          </cell>
          <cell r="B14" t="str">
            <v>川瀬 有里</v>
          </cell>
          <cell r="C14" t="str">
            <v>KONOIKE</v>
          </cell>
          <cell r="D14">
            <v>45297</v>
          </cell>
          <cell r="E14" t="str">
            <v>24T0101</v>
          </cell>
          <cell r="F14" t="str">
            <v>I000012356</v>
          </cell>
          <cell r="G14">
            <v>0</v>
          </cell>
          <cell r="H14" t="str">
            <v>41273879240</v>
          </cell>
          <cell r="I14">
            <v>809622.16</v>
          </cell>
          <cell r="J14">
            <v>809622.16</v>
          </cell>
          <cell r="K14">
            <v>64.59</v>
          </cell>
          <cell r="L14" t="str">
            <v>WHSU6550459</v>
          </cell>
          <cell r="M14">
            <v>4</v>
          </cell>
          <cell r="N14" t="str">
            <v>40HQ</v>
          </cell>
          <cell r="O14">
            <v>2</v>
          </cell>
          <cell r="P14">
            <v>45306</v>
          </cell>
          <cell r="Q14">
            <v>45308</v>
          </cell>
          <cell r="R14" t="str">
            <v>水</v>
          </cell>
          <cell r="S14" t="str">
            <v>AM8:00</v>
          </cell>
        </row>
        <row r="15">
          <cell r="A15">
            <v>8155</v>
          </cell>
          <cell r="B15" t="str">
            <v>川瀬 有里</v>
          </cell>
          <cell r="C15" t="str">
            <v>KONOIKE</v>
          </cell>
          <cell r="D15">
            <v>45297</v>
          </cell>
          <cell r="E15" t="str">
            <v>24T0103</v>
          </cell>
          <cell r="F15" t="str">
            <v>I000012361</v>
          </cell>
          <cell r="G15">
            <v>0</v>
          </cell>
          <cell r="H15" t="str">
            <v>41273879240</v>
          </cell>
          <cell r="I15">
            <v>664886.5</v>
          </cell>
          <cell r="J15">
            <v>664886.5</v>
          </cell>
          <cell r="K15">
            <v>64.989999999999995</v>
          </cell>
          <cell r="L15" t="str">
            <v>WHSU6836340</v>
          </cell>
          <cell r="M15">
            <v>4</v>
          </cell>
          <cell r="N15" t="str">
            <v>40HQ</v>
          </cell>
          <cell r="O15">
            <v>2</v>
          </cell>
          <cell r="P15">
            <v>45306</v>
          </cell>
          <cell r="Q15">
            <v>45308</v>
          </cell>
          <cell r="R15" t="str">
            <v>水</v>
          </cell>
          <cell r="S15" t="str">
            <v>AM8:00</v>
          </cell>
        </row>
        <row r="16">
          <cell r="A16">
            <v>8156</v>
          </cell>
          <cell r="B16" t="str">
            <v>川瀬 有里</v>
          </cell>
          <cell r="C16" t="str">
            <v>TRADIA</v>
          </cell>
          <cell r="D16">
            <v>45297</v>
          </cell>
          <cell r="E16" t="str">
            <v>24K0151</v>
          </cell>
          <cell r="F16" t="str">
            <v>I000012368</v>
          </cell>
          <cell r="G16">
            <v>0</v>
          </cell>
          <cell r="H16" t="str">
            <v>40957511220</v>
          </cell>
          <cell r="I16">
            <v>3057</v>
          </cell>
          <cell r="J16">
            <v>3057</v>
          </cell>
          <cell r="K16">
            <v>0.1</v>
          </cell>
          <cell r="M16">
            <v>3</v>
          </cell>
          <cell r="N16" t="str">
            <v>AIR</v>
          </cell>
          <cell r="O16">
            <v>2</v>
          </cell>
          <cell r="Q16">
            <v>45302</v>
          </cell>
          <cell r="R16" t="str">
            <v>木</v>
          </cell>
          <cell r="S16" t="str">
            <v>AM8:30</v>
          </cell>
        </row>
        <row r="17">
          <cell r="A17">
            <v>8157</v>
          </cell>
          <cell r="B17" t="str">
            <v>川瀬 有里</v>
          </cell>
          <cell r="C17" t="str">
            <v>TRADIA</v>
          </cell>
          <cell r="D17">
            <v>45297</v>
          </cell>
          <cell r="E17" t="str">
            <v>24K0153</v>
          </cell>
          <cell r="F17" t="str">
            <v>I000012369</v>
          </cell>
          <cell r="G17">
            <v>0</v>
          </cell>
          <cell r="H17" t="str">
            <v>40959772220</v>
          </cell>
          <cell r="I17">
            <v>9000</v>
          </cell>
          <cell r="J17">
            <v>9000</v>
          </cell>
          <cell r="K17">
            <v>0.1</v>
          </cell>
          <cell r="M17">
            <v>3</v>
          </cell>
          <cell r="N17" t="str">
            <v>AIR</v>
          </cell>
          <cell r="O17">
            <v>2</v>
          </cell>
          <cell r="Q17">
            <v>45302</v>
          </cell>
          <cell r="R17" t="str">
            <v>木</v>
          </cell>
          <cell r="S17" t="str">
            <v>AM8:30</v>
          </cell>
        </row>
        <row r="18">
          <cell r="A18">
            <v>8158</v>
          </cell>
          <cell r="B18" t="str">
            <v>川瀬 有里</v>
          </cell>
          <cell r="C18" t="str">
            <v>TRADIA</v>
          </cell>
          <cell r="D18">
            <v>45299</v>
          </cell>
          <cell r="E18" t="str">
            <v>24K0155</v>
          </cell>
          <cell r="F18" t="str">
            <v>I000012374</v>
          </cell>
          <cell r="G18">
            <v>0</v>
          </cell>
          <cell r="H18" t="str">
            <v>40960904930</v>
          </cell>
          <cell r="I18">
            <v>6378</v>
          </cell>
          <cell r="J18">
            <v>6378</v>
          </cell>
          <cell r="K18">
            <v>0.09</v>
          </cell>
          <cell r="M18">
            <v>3</v>
          </cell>
          <cell r="N18" t="str">
            <v>AIR</v>
          </cell>
          <cell r="O18">
            <v>2</v>
          </cell>
          <cell r="Q18">
            <v>45303</v>
          </cell>
          <cell r="R18" t="str">
            <v>金</v>
          </cell>
          <cell r="S18" t="str">
            <v>AM8:30</v>
          </cell>
        </row>
        <row r="19">
          <cell r="A19">
            <v>8159</v>
          </cell>
          <cell r="B19" t="str">
            <v>川瀬 有里</v>
          </cell>
          <cell r="C19" t="str">
            <v>TRADIA</v>
          </cell>
          <cell r="D19">
            <v>45299</v>
          </cell>
          <cell r="E19" t="str">
            <v>24K0156</v>
          </cell>
          <cell r="F19" t="str">
            <v>I000012373</v>
          </cell>
          <cell r="G19">
            <v>0</v>
          </cell>
          <cell r="H19" t="str">
            <v>40969056730</v>
          </cell>
          <cell r="I19">
            <v>1960</v>
          </cell>
          <cell r="J19">
            <v>1960</v>
          </cell>
          <cell r="K19">
            <v>7.0000000000000007E-2</v>
          </cell>
          <cell r="M19">
            <v>3</v>
          </cell>
          <cell r="N19" t="str">
            <v>AIR</v>
          </cell>
          <cell r="O19">
            <v>2</v>
          </cell>
          <cell r="Q19">
            <v>45303</v>
          </cell>
          <cell r="R19" t="str">
            <v>金</v>
          </cell>
          <cell r="S19" t="str">
            <v>AM8:30</v>
          </cell>
        </row>
        <row r="20">
          <cell r="A20">
            <v>8160</v>
          </cell>
          <cell r="B20" t="str">
            <v>川瀬 有里</v>
          </cell>
          <cell r="C20" t="str">
            <v>TRADIA</v>
          </cell>
          <cell r="D20">
            <v>45299</v>
          </cell>
          <cell r="E20" t="str">
            <v>24K0102</v>
          </cell>
          <cell r="F20" t="str">
            <v>I000012365</v>
          </cell>
          <cell r="G20">
            <v>0</v>
          </cell>
          <cell r="H20" t="str">
            <v>31387152260</v>
          </cell>
          <cell r="I20">
            <v>432323.12</v>
          </cell>
          <cell r="J20">
            <v>432323.12</v>
          </cell>
          <cell r="K20">
            <v>30</v>
          </cell>
          <cell r="L20" t="str">
            <v>WHSU2704371</v>
          </cell>
          <cell r="M20">
            <v>3</v>
          </cell>
          <cell r="N20" t="str">
            <v>20’</v>
          </cell>
          <cell r="O20">
            <v>1</v>
          </cell>
          <cell r="P20">
            <v>45307</v>
          </cell>
          <cell r="Q20">
            <v>45309</v>
          </cell>
          <cell r="R20" t="str">
            <v>木</v>
          </cell>
          <cell r="S20" t="str">
            <v>AM8:30</v>
          </cell>
        </row>
        <row r="21">
          <cell r="A21">
            <v>8161</v>
          </cell>
          <cell r="B21" t="str">
            <v>川瀬 有里</v>
          </cell>
          <cell r="C21" t="str">
            <v>TRADIA</v>
          </cell>
          <cell r="D21">
            <v>45299</v>
          </cell>
          <cell r="E21" t="str">
            <v>24K0103</v>
          </cell>
          <cell r="F21" t="str">
            <v>I000012366</v>
          </cell>
          <cell r="G21">
            <v>0</v>
          </cell>
          <cell r="H21" t="str">
            <v>31387152260</v>
          </cell>
          <cell r="I21">
            <v>221790.26</v>
          </cell>
          <cell r="J21">
            <v>221790.26</v>
          </cell>
          <cell r="K21">
            <v>25.56</v>
          </cell>
          <cell r="L21" t="str">
            <v>WHSU0260283</v>
          </cell>
          <cell r="M21">
            <v>3</v>
          </cell>
          <cell r="N21" t="str">
            <v>20’</v>
          </cell>
          <cell r="O21">
            <v>1</v>
          </cell>
          <cell r="P21">
            <v>45307</v>
          </cell>
          <cell r="Q21">
            <v>45309</v>
          </cell>
          <cell r="R21" t="str">
            <v>木</v>
          </cell>
          <cell r="S21" t="str">
            <v>AM8:30</v>
          </cell>
        </row>
        <row r="22">
          <cell r="A22">
            <v>8162</v>
          </cell>
          <cell r="B22" t="str">
            <v>川瀬 有里</v>
          </cell>
          <cell r="C22" t="str">
            <v>KONOIKE</v>
          </cell>
          <cell r="D22">
            <v>45299</v>
          </cell>
          <cell r="E22" t="str">
            <v>24T0104</v>
          </cell>
          <cell r="F22" t="str">
            <v>I000012375</v>
          </cell>
          <cell r="G22">
            <v>0</v>
          </cell>
          <cell r="H22" t="str">
            <v>11574723260</v>
          </cell>
          <cell r="I22">
            <v>697936.88</v>
          </cell>
          <cell r="J22">
            <v>697936.88</v>
          </cell>
          <cell r="K22">
            <v>63.94</v>
          </cell>
          <cell r="L22" t="str">
            <v>WHSU6554011</v>
          </cell>
          <cell r="M22">
            <v>4</v>
          </cell>
          <cell r="N22" t="str">
            <v>40HQ</v>
          </cell>
          <cell r="O22">
            <v>5</v>
          </cell>
          <cell r="P22">
            <v>45306</v>
          </cell>
          <cell r="Q22">
            <v>45308</v>
          </cell>
          <cell r="R22" t="str">
            <v>水</v>
          </cell>
          <cell r="S22" t="str">
            <v>AM8:00</v>
          </cell>
        </row>
        <row r="23">
          <cell r="A23">
            <v>8163</v>
          </cell>
          <cell r="B23" t="str">
            <v>川瀬 有里</v>
          </cell>
          <cell r="C23" t="str">
            <v>KONOIKE</v>
          </cell>
          <cell r="D23">
            <v>45299</v>
          </cell>
          <cell r="E23" t="str">
            <v>24T0102</v>
          </cell>
          <cell r="F23" t="str">
            <v>I000012367</v>
          </cell>
          <cell r="G23">
            <v>0</v>
          </cell>
          <cell r="H23" t="str">
            <v>11574692940</v>
          </cell>
          <cell r="I23">
            <v>683537.76</v>
          </cell>
          <cell r="J23">
            <v>683537.76</v>
          </cell>
          <cell r="K23">
            <v>64.28</v>
          </cell>
          <cell r="L23" t="str">
            <v>WHSU6244280</v>
          </cell>
          <cell r="M23">
            <v>4</v>
          </cell>
          <cell r="N23" t="str">
            <v>40HQ</v>
          </cell>
          <cell r="O23">
            <v>5</v>
          </cell>
          <cell r="P23">
            <v>45306</v>
          </cell>
          <cell r="Q23">
            <v>45308</v>
          </cell>
          <cell r="R23" t="str">
            <v>水</v>
          </cell>
          <cell r="S23" t="str">
            <v>AM8:00</v>
          </cell>
        </row>
        <row r="24">
          <cell r="A24">
            <v>8164</v>
          </cell>
          <cell r="B24" t="str">
            <v>川瀬 有里</v>
          </cell>
          <cell r="C24" t="str">
            <v>KONOIKE</v>
          </cell>
          <cell r="D24">
            <v>45299</v>
          </cell>
          <cell r="E24" t="str">
            <v>24K0104</v>
          </cell>
          <cell r="F24" t="str">
            <v>I000012370</v>
          </cell>
          <cell r="G24">
            <v>0</v>
          </cell>
          <cell r="H24" t="str">
            <v>31387534130</v>
          </cell>
          <cell r="I24">
            <v>227512.42</v>
          </cell>
          <cell r="J24">
            <v>227512.42</v>
          </cell>
          <cell r="K24">
            <v>25.01</v>
          </cell>
          <cell r="L24" t="str">
            <v>TSSU2239956</v>
          </cell>
          <cell r="M24">
            <v>3</v>
          </cell>
          <cell r="N24" t="str">
            <v>20’</v>
          </cell>
          <cell r="O24">
            <v>1</v>
          </cell>
          <cell r="P24">
            <v>45308</v>
          </cell>
          <cell r="Q24">
            <v>45310</v>
          </cell>
          <cell r="R24" t="str">
            <v>金</v>
          </cell>
          <cell r="S24" t="str">
            <v>AM8:30</v>
          </cell>
        </row>
        <row r="25">
          <cell r="A25">
            <v>8165</v>
          </cell>
          <cell r="B25" t="str">
            <v>川瀬 有里</v>
          </cell>
          <cell r="C25" t="str">
            <v>KONOIKE</v>
          </cell>
          <cell r="D25">
            <v>45299</v>
          </cell>
          <cell r="E25" t="str">
            <v>24K0105</v>
          </cell>
          <cell r="F25" t="str">
            <v>I000012377</v>
          </cell>
          <cell r="G25">
            <v>0</v>
          </cell>
          <cell r="H25" t="str">
            <v>31387534130</v>
          </cell>
          <cell r="I25">
            <v>578414.48</v>
          </cell>
          <cell r="J25">
            <v>578414.48</v>
          </cell>
          <cell r="K25">
            <v>30.5</v>
          </cell>
          <cell r="L25" t="str">
            <v>TSSU2242604</v>
          </cell>
          <cell r="M25">
            <v>3</v>
          </cell>
          <cell r="N25" t="str">
            <v>20’</v>
          </cell>
          <cell r="O25">
            <v>1</v>
          </cell>
          <cell r="P25">
            <v>45308</v>
          </cell>
          <cell r="Q25">
            <v>45310</v>
          </cell>
          <cell r="R25" t="str">
            <v>金</v>
          </cell>
          <cell r="S25" t="str">
            <v>AM8:30</v>
          </cell>
        </row>
        <row r="26">
          <cell r="A26">
            <v>8167</v>
          </cell>
          <cell r="B26" t="str">
            <v>川瀬 有里</v>
          </cell>
          <cell r="C26" t="str">
            <v>TRADIA</v>
          </cell>
          <cell r="D26">
            <v>45301</v>
          </cell>
          <cell r="E26" t="str">
            <v>24K0152</v>
          </cell>
          <cell r="F26" t="str">
            <v>I000012381</v>
          </cell>
          <cell r="G26">
            <v>0</v>
          </cell>
          <cell r="H26" t="str">
            <v>30041467730</v>
          </cell>
          <cell r="I26">
            <v>590</v>
          </cell>
          <cell r="J26">
            <v>590</v>
          </cell>
          <cell r="K26">
            <v>7.0000000000000007E-2</v>
          </cell>
          <cell r="M26">
            <v>3</v>
          </cell>
          <cell r="N26" t="str">
            <v>AIR</v>
          </cell>
          <cell r="O26">
            <v>2</v>
          </cell>
          <cell r="Q26">
            <v>45303</v>
          </cell>
          <cell r="R26" t="str">
            <v>金</v>
          </cell>
          <cell r="S26" t="str">
            <v>AM8:30</v>
          </cell>
        </row>
        <row r="27">
          <cell r="A27">
            <v>8168</v>
          </cell>
          <cell r="B27" t="str">
            <v>川瀬 有里</v>
          </cell>
          <cell r="C27" t="str">
            <v>TRADIA</v>
          </cell>
          <cell r="D27">
            <v>45301</v>
          </cell>
          <cell r="E27" t="str">
            <v>24K0157</v>
          </cell>
          <cell r="F27" t="str">
            <v>I000012382</v>
          </cell>
          <cell r="G27">
            <v>0</v>
          </cell>
          <cell r="H27" t="str">
            <v>40976797140</v>
          </cell>
          <cell r="I27">
            <v>3830.3</v>
          </cell>
          <cell r="J27">
            <v>3830.3</v>
          </cell>
          <cell r="K27">
            <v>0.21</v>
          </cell>
          <cell r="M27">
            <v>3</v>
          </cell>
          <cell r="N27" t="str">
            <v>AIR</v>
          </cell>
          <cell r="O27">
            <v>2</v>
          </cell>
          <cell r="Q27">
            <v>45303</v>
          </cell>
          <cell r="R27" t="str">
            <v>金</v>
          </cell>
          <cell r="S27" t="str">
            <v>AM8:30</v>
          </cell>
        </row>
        <row r="28">
          <cell r="A28">
            <v>8169</v>
          </cell>
          <cell r="B28" t="str">
            <v>川瀬 有里</v>
          </cell>
          <cell r="C28" t="str">
            <v>TRADIA</v>
          </cell>
          <cell r="D28">
            <v>45301</v>
          </cell>
          <cell r="E28" t="str">
            <v>24K0159</v>
          </cell>
          <cell r="F28" t="str">
            <v>I000012383</v>
          </cell>
          <cell r="G28">
            <v>0</v>
          </cell>
          <cell r="H28" t="str">
            <v>40976834240</v>
          </cell>
          <cell r="I28">
            <v>1584</v>
          </cell>
          <cell r="J28">
            <v>1584</v>
          </cell>
          <cell r="K28">
            <v>0.05</v>
          </cell>
          <cell r="M28">
            <v>3</v>
          </cell>
          <cell r="N28" t="str">
            <v>AIR</v>
          </cell>
          <cell r="O28">
            <v>2</v>
          </cell>
          <cell r="Q28">
            <v>45303</v>
          </cell>
          <cell r="R28" t="str">
            <v>金</v>
          </cell>
          <cell r="S28" t="str">
            <v>AM8:30</v>
          </cell>
        </row>
        <row r="29">
          <cell r="A29">
            <v>8170</v>
          </cell>
          <cell r="B29" t="str">
            <v>川瀬 有里</v>
          </cell>
          <cell r="C29" t="str">
            <v>TRADIA</v>
          </cell>
          <cell r="D29">
            <v>45301</v>
          </cell>
          <cell r="E29" t="str">
            <v>24K0106</v>
          </cell>
          <cell r="F29" t="str">
            <v>I000012380</v>
          </cell>
          <cell r="G29">
            <v>0</v>
          </cell>
          <cell r="H29" t="str">
            <v>31388098660</v>
          </cell>
          <cell r="I29">
            <v>267189.03999999998</v>
          </cell>
          <cell r="J29">
            <v>267189.03999999998</v>
          </cell>
          <cell r="K29">
            <v>23.21</v>
          </cell>
          <cell r="L29" t="str">
            <v>EGSU3441290</v>
          </cell>
          <cell r="M29">
            <v>3</v>
          </cell>
          <cell r="N29" t="str">
            <v>20’</v>
          </cell>
          <cell r="O29">
            <v>1</v>
          </cell>
          <cell r="P29">
            <v>45312</v>
          </cell>
          <cell r="Q29">
            <v>45315</v>
          </cell>
          <cell r="R29" t="str">
            <v>水</v>
          </cell>
          <cell r="S29" t="str">
            <v>AM8:30</v>
          </cell>
        </row>
        <row r="30">
          <cell r="A30">
            <v>8171</v>
          </cell>
          <cell r="B30" t="str">
            <v>川瀬 有里</v>
          </cell>
          <cell r="C30" t="str">
            <v>TRADIA</v>
          </cell>
          <cell r="D30">
            <v>45301</v>
          </cell>
          <cell r="E30" t="str">
            <v>24K0107</v>
          </cell>
          <cell r="F30" t="str">
            <v>I000012392</v>
          </cell>
          <cell r="G30">
            <v>0</v>
          </cell>
          <cell r="H30" t="str">
            <v>31388098660</v>
          </cell>
          <cell r="I30">
            <v>294335.08</v>
          </cell>
          <cell r="J30">
            <v>294335.08</v>
          </cell>
          <cell r="K30">
            <v>25.47</v>
          </cell>
          <cell r="L30" t="str">
            <v>EGHU3369593</v>
          </cell>
          <cell r="M30">
            <v>3</v>
          </cell>
          <cell r="N30" t="str">
            <v>20’</v>
          </cell>
          <cell r="O30">
            <v>1</v>
          </cell>
          <cell r="P30">
            <v>45312</v>
          </cell>
          <cell r="Q30">
            <v>45315</v>
          </cell>
          <cell r="R30" t="str">
            <v>水</v>
          </cell>
          <cell r="S30" t="str">
            <v>AM8:30</v>
          </cell>
        </row>
        <row r="31">
          <cell r="A31">
            <v>8172</v>
          </cell>
          <cell r="B31" t="str">
            <v>川瀬 有里</v>
          </cell>
          <cell r="C31" t="str">
            <v>TRADIA</v>
          </cell>
          <cell r="D31">
            <v>45301</v>
          </cell>
          <cell r="E31" t="str">
            <v>24K0108</v>
          </cell>
          <cell r="F31" t="str">
            <v>I000012398</v>
          </cell>
          <cell r="G31">
            <v>0</v>
          </cell>
          <cell r="H31" t="str">
            <v>31388098660</v>
          </cell>
          <cell r="I31">
            <v>515535.84</v>
          </cell>
          <cell r="J31">
            <v>515535.84</v>
          </cell>
          <cell r="K31">
            <v>29.03</v>
          </cell>
          <cell r="L31" t="str">
            <v>EITU0344904</v>
          </cell>
          <cell r="M31">
            <v>3</v>
          </cell>
          <cell r="N31" t="str">
            <v>20’</v>
          </cell>
          <cell r="O31">
            <v>1</v>
          </cell>
          <cell r="P31">
            <v>45312</v>
          </cell>
          <cell r="Q31">
            <v>45315</v>
          </cell>
          <cell r="R31" t="str">
            <v>水</v>
          </cell>
          <cell r="S31" t="str">
            <v>AM8:30</v>
          </cell>
        </row>
        <row r="32">
          <cell r="A32">
            <v>8173</v>
          </cell>
          <cell r="B32" t="str">
            <v>川瀬 有里</v>
          </cell>
          <cell r="C32" t="str">
            <v>TRADIA</v>
          </cell>
          <cell r="D32">
            <v>45306</v>
          </cell>
          <cell r="E32" t="str">
            <v>24P0101</v>
          </cell>
          <cell r="F32" t="str">
            <v>I000012372</v>
          </cell>
          <cell r="G32">
            <v>0</v>
          </cell>
          <cell r="H32" t="str">
            <v>41278570900</v>
          </cell>
          <cell r="I32">
            <v>478057.08</v>
          </cell>
          <cell r="J32">
            <v>478057.08</v>
          </cell>
          <cell r="K32">
            <v>65.89</v>
          </cell>
          <cell r="L32" t="str">
            <v>TSSU5074280</v>
          </cell>
          <cell r="N32" t="str">
            <v>40HQ</v>
          </cell>
          <cell r="O32">
            <v>2</v>
          </cell>
          <cell r="P32">
            <v>45308</v>
          </cell>
          <cell r="Q32">
            <v>45324</v>
          </cell>
          <cell r="R32" t="str">
            <v>金</v>
          </cell>
          <cell r="S32" t="str">
            <v>AM9:30</v>
          </cell>
        </row>
        <row r="33">
          <cell r="A33">
            <v>8174</v>
          </cell>
          <cell r="B33" t="str">
            <v>川瀬 有里</v>
          </cell>
          <cell r="C33" t="str">
            <v>KONOIKE</v>
          </cell>
          <cell r="D33">
            <v>45306</v>
          </cell>
          <cell r="E33" t="str">
            <v>24T0105</v>
          </cell>
          <cell r="F33" t="str">
            <v>I000012379</v>
          </cell>
          <cell r="G33">
            <v>0</v>
          </cell>
          <cell r="H33" t="str">
            <v>41276308830</v>
          </cell>
          <cell r="I33">
            <v>682923.48</v>
          </cell>
          <cell r="J33">
            <v>682923.48</v>
          </cell>
          <cell r="K33">
            <v>64.930000000000007</v>
          </cell>
          <cell r="L33" t="str">
            <v>WHSU6335986</v>
          </cell>
          <cell r="M33">
            <v>4</v>
          </cell>
          <cell r="N33" t="str">
            <v>40HQ</v>
          </cell>
          <cell r="O33">
            <v>2</v>
          </cell>
          <cell r="P33">
            <v>45308</v>
          </cell>
          <cell r="Q33">
            <v>45310</v>
          </cell>
          <cell r="R33" t="str">
            <v>金</v>
          </cell>
          <cell r="S33" t="str">
            <v>AM8:00</v>
          </cell>
        </row>
        <row r="34">
          <cell r="A34">
            <v>8175</v>
          </cell>
          <cell r="B34" t="str">
            <v>川瀬 有里</v>
          </cell>
          <cell r="C34" t="str">
            <v>KONOIKE</v>
          </cell>
          <cell r="D34">
            <v>45306</v>
          </cell>
          <cell r="E34" t="str">
            <v>24T0106</v>
          </cell>
          <cell r="F34" t="str">
            <v>I000012384</v>
          </cell>
          <cell r="G34">
            <v>0</v>
          </cell>
          <cell r="H34" t="str">
            <v>41276308830</v>
          </cell>
          <cell r="I34">
            <v>608099.12</v>
          </cell>
          <cell r="J34">
            <v>608099.12</v>
          </cell>
          <cell r="K34">
            <v>66.150000000000006</v>
          </cell>
          <cell r="L34" t="str">
            <v>WHSU6432517</v>
          </cell>
          <cell r="M34">
            <v>4</v>
          </cell>
          <cell r="N34" t="str">
            <v>40HQ</v>
          </cell>
          <cell r="O34">
            <v>2</v>
          </cell>
          <cell r="P34">
            <v>45308</v>
          </cell>
          <cell r="Q34">
            <v>45310</v>
          </cell>
          <cell r="R34" t="str">
            <v>金</v>
          </cell>
          <cell r="S34" t="str">
            <v>AM8:00</v>
          </cell>
        </row>
        <row r="35">
          <cell r="A35">
            <v>8176</v>
          </cell>
          <cell r="B35" t="str">
            <v>川瀬 有里</v>
          </cell>
          <cell r="C35" t="str">
            <v>KONOIKE</v>
          </cell>
          <cell r="D35">
            <v>45306</v>
          </cell>
          <cell r="E35" t="str">
            <v>24T0107</v>
          </cell>
          <cell r="F35" t="str">
            <v>I000012395</v>
          </cell>
          <cell r="G35">
            <v>0</v>
          </cell>
          <cell r="H35" t="str">
            <v>11577510440</v>
          </cell>
          <cell r="I35">
            <v>568385.04</v>
          </cell>
          <cell r="J35">
            <v>568385.04</v>
          </cell>
          <cell r="K35">
            <v>64.38</v>
          </cell>
          <cell r="L35" t="str">
            <v>WHSU6632475</v>
          </cell>
          <cell r="M35">
            <v>4</v>
          </cell>
          <cell r="N35" t="str">
            <v>40HQ</v>
          </cell>
          <cell r="O35">
            <v>5</v>
          </cell>
          <cell r="P35">
            <v>45308</v>
          </cell>
          <cell r="Q35">
            <v>45310</v>
          </cell>
          <cell r="R35" t="str">
            <v>金</v>
          </cell>
          <cell r="S35" t="str">
            <v>AM8:00</v>
          </cell>
        </row>
        <row r="36">
          <cell r="A36">
            <v>8177</v>
          </cell>
          <cell r="B36" t="str">
            <v>川瀬 有里</v>
          </cell>
          <cell r="C36" t="str">
            <v>KONOIKE</v>
          </cell>
          <cell r="D36">
            <v>45307</v>
          </cell>
          <cell r="E36" t="str">
            <v>24T0108</v>
          </cell>
          <cell r="F36" t="str">
            <v>I000012399</v>
          </cell>
          <cell r="G36">
            <v>0</v>
          </cell>
          <cell r="H36" t="str">
            <v>41277289160</v>
          </cell>
          <cell r="I36">
            <v>539038.65</v>
          </cell>
          <cell r="J36">
            <v>539038.65</v>
          </cell>
          <cell r="K36">
            <v>66.930000000000007</v>
          </cell>
          <cell r="L36" t="str">
            <v>WHSU6542561</v>
          </cell>
          <cell r="M36">
            <v>4</v>
          </cell>
          <cell r="N36" t="str">
            <v>40HQ</v>
          </cell>
          <cell r="O36">
            <v>2</v>
          </cell>
          <cell r="P36">
            <v>45313</v>
          </cell>
          <cell r="Q36">
            <v>45315</v>
          </cell>
          <cell r="R36" t="str">
            <v>水</v>
          </cell>
          <cell r="S36" t="str">
            <v>AM8:00</v>
          </cell>
        </row>
        <row r="37">
          <cell r="A37">
            <v>8178</v>
          </cell>
          <cell r="B37" t="str">
            <v>川瀬 有里</v>
          </cell>
          <cell r="C37" t="str">
            <v>KONOIKE</v>
          </cell>
          <cell r="D37">
            <v>45307</v>
          </cell>
          <cell r="E37" t="str">
            <v>24T0109</v>
          </cell>
          <cell r="F37" t="str">
            <v>I000012403</v>
          </cell>
          <cell r="G37">
            <v>0</v>
          </cell>
          <cell r="H37" t="str">
            <v>11578885610</v>
          </cell>
          <cell r="I37">
            <v>689503.2</v>
          </cell>
          <cell r="J37">
            <v>689503.2</v>
          </cell>
          <cell r="K37">
            <v>64.36</v>
          </cell>
          <cell r="L37" t="str">
            <v>WHSU5836659</v>
          </cell>
          <cell r="M37">
            <v>4</v>
          </cell>
          <cell r="N37" t="str">
            <v>40HQ</v>
          </cell>
          <cell r="O37">
            <v>5</v>
          </cell>
          <cell r="P37">
            <v>45315</v>
          </cell>
          <cell r="Q37">
            <v>45317</v>
          </cell>
          <cell r="R37" t="str">
            <v>金</v>
          </cell>
          <cell r="S37" t="str">
            <v>AM8:00</v>
          </cell>
        </row>
        <row r="38">
          <cell r="A38">
            <v>8179</v>
          </cell>
          <cell r="B38" t="str">
            <v>川瀬 有里</v>
          </cell>
          <cell r="C38" t="str">
            <v>KONOIKE</v>
          </cell>
          <cell r="D38">
            <v>45307</v>
          </cell>
          <cell r="E38" t="str">
            <v>24T0110</v>
          </cell>
          <cell r="F38" t="str">
            <v>I000012404</v>
          </cell>
          <cell r="G38">
            <v>0</v>
          </cell>
          <cell r="H38" t="str">
            <v>41278806910</v>
          </cell>
          <cell r="I38">
            <v>1026699.28</v>
          </cell>
          <cell r="J38">
            <v>1026699.28</v>
          </cell>
          <cell r="K38">
            <v>63.18</v>
          </cell>
          <cell r="L38" t="str">
            <v>WHSU6596552</v>
          </cell>
          <cell r="M38">
            <v>4</v>
          </cell>
          <cell r="N38" t="str">
            <v>40HQ</v>
          </cell>
          <cell r="O38">
            <v>2</v>
          </cell>
          <cell r="P38">
            <v>45315</v>
          </cell>
          <cell r="Q38">
            <v>45317</v>
          </cell>
          <cell r="R38" t="str">
            <v>金</v>
          </cell>
          <cell r="S38" t="str">
            <v>AM8:00</v>
          </cell>
        </row>
        <row r="39">
          <cell r="A39">
            <v>8180</v>
          </cell>
          <cell r="B39" t="str">
            <v>川瀬 有里</v>
          </cell>
          <cell r="C39" t="str">
            <v>TRADIA</v>
          </cell>
          <cell r="D39">
            <v>45310</v>
          </cell>
          <cell r="E39" t="str">
            <v>24P0102</v>
          </cell>
          <cell r="F39" t="str">
            <v>I000012396</v>
          </cell>
          <cell r="G39">
            <v>0</v>
          </cell>
          <cell r="H39" t="str">
            <v>21534801840</v>
          </cell>
          <cell r="I39">
            <v>461983.74</v>
          </cell>
          <cell r="J39">
            <v>461983.74</v>
          </cell>
          <cell r="K39">
            <v>64.41</v>
          </cell>
          <cell r="L39" t="str">
            <v>WHSU6275423</v>
          </cell>
          <cell r="M39">
            <v>11</v>
          </cell>
          <cell r="N39" t="str">
            <v>40HQ</v>
          </cell>
          <cell r="O39">
            <v>4</v>
          </cell>
          <cell r="P39">
            <v>45314</v>
          </cell>
          <cell r="Q39">
            <v>45327</v>
          </cell>
          <cell r="R39" t="str">
            <v>月</v>
          </cell>
          <cell r="S39" t="str">
            <v>AM7:30</v>
          </cell>
        </row>
        <row r="40">
          <cell r="A40">
            <v>8181</v>
          </cell>
          <cell r="B40" t="str">
            <v>川瀬 有里</v>
          </cell>
          <cell r="C40" t="str">
            <v>TRADIA</v>
          </cell>
          <cell r="D40">
            <v>45313</v>
          </cell>
          <cell r="E40" t="str">
            <v>24K0109</v>
          </cell>
          <cell r="F40" t="str">
            <v>I000012409</v>
          </cell>
          <cell r="G40">
            <v>0</v>
          </cell>
          <cell r="H40" t="str">
            <v>31388884760</v>
          </cell>
          <cell r="I40">
            <v>467685.96</v>
          </cell>
          <cell r="J40">
            <v>467685.96</v>
          </cell>
          <cell r="K40">
            <v>29.66</v>
          </cell>
          <cell r="L40" t="str">
            <v>SEGU1675163</v>
          </cell>
          <cell r="M40">
            <v>3</v>
          </cell>
          <cell r="N40" t="str">
            <v>20’</v>
          </cell>
          <cell r="O40">
            <v>1</v>
          </cell>
          <cell r="P40">
            <v>45321</v>
          </cell>
          <cell r="Q40">
            <v>45324</v>
          </cell>
          <cell r="R40" t="str">
            <v>金</v>
          </cell>
          <cell r="S40" t="str">
            <v>AM8:30</v>
          </cell>
        </row>
        <row r="41">
          <cell r="A41">
            <v>8182</v>
          </cell>
          <cell r="B41" t="str">
            <v>川瀬 有里</v>
          </cell>
          <cell r="C41" t="str">
            <v>TRADIA</v>
          </cell>
          <cell r="D41">
            <v>45313</v>
          </cell>
          <cell r="E41" t="str">
            <v>24K0160</v>
          </cell>
          <cell r="F41" t="str">
            <v>I000012414</v>
          </cell>
          <cell r="G41">
            <v>0</v>
          </cell>
          <cell r="H41" t="str">
            <v>40029111020</v>
          </cell>
          <cell r="I41">
            <v>1200</v>
          </cell>
          <cell r="J41">
            <v>1200</v>
          </cell>
          <cell r="K41">
            <v>0.15</v>
          </cell>
          <cell r="M41">
            <v>3</v>
          </cell>
          <cell r="N41" t="str">
            <v>AIR</v>
          </cell>
          <cell r="O41">
            <v>2</v>
          </cell>
          <cell r="P41">
            <v>45312</v>
          </cell>
          <cell r="Q41">
            <v>45313</v>
          </cell>
          <cell r="R41" t="str">
            <v>月</v>
          </cell>
          <cell r="S41" t="str">
            <v>AM8:30</v>
          </cell>
        </row>
        <row r="42">
          <cell r="A42">
            <v>8183</v>
          </cell>
          <cell r="B42" t="str">
            <v>川瀬 有里</v>
          </cell>
          <cell r="C42" t="str">
            <v>TRADIA</v>
          </cell>
          <cell r="D42">
            <v>45313</v>
          </cell>
          <cell r="E42" t="str">
            <v>24K0110</v>
          </cell>
          <cell r="F42" t="str">
            <v>I000012420</v>
          </cell>
          <cell r="G42">
            <v>0</v>
          </cell>
          <cell r="H42" t="str">
            <v>31389306860</v>
          </cell>
          <cell r="I42">
            <v>314673.5</v>
          </cell>
          <cell r="J42">
            <v>314673.5</v>
          </cell>
          <cell r="K42">
            <v>28.46</v>
          </cell>
          <cell r="L42" t="str">
            <v>TSSU2258410</v>
          </cell>
          <cell r="M42">
            <v>3</v>
          </cell>
          <cell r="N42" t="str">
            <v>20’</v>
          </cell>
          <cell r="O42">
            <v>1</v>
          </cell>
          <cell r="P42">
            <v>45322</v>
          </cell>
          <cell r="Q42">
            <v>45324</v>
          </cell>
          <cell r="R42" t="str">
            <v>金</v>
          </cell>
          <cell r="S42" t="str">
            <v>AM8:30</v>
          </cell>
        </row>
        <row r="43">
          <cell r="A43">
            <v>8184</v>
          </cell>
          <cell r="B43" t="str">
            <v>川瀬 有里</v>
          </cell>
          <cell r="C43" t="str">
            <v>TRADIA</v>
          </cell>
          <cell r="D43">
            <v>45313</v>
          </cell>
          <cell r="E43" t="str">
            <v>24T0111-1</v>
          </cell>
          <cell r="F43" t="str">
            <v>I000012412</v>
          </cell>
          <cell r="G43">
            <v>0</v>
          </cell>
          <cell r="H43" t="str">
            <v>41279656600</v>
          </cell>
          <cell r="I43">
            <v>772195.74</v>
          </cell>
          <cell r="J43">
            <v>772195.74</v>
          </cell>
          <cell r="K43">
            <v>56.32</v>
          </cell>
          <cell r="L43" t="str">
            <v>WHSU5771223</v>
          </cell>
          <cell r="M43">
            <v>4</v>
          </cell>
          <cell r="N43" t="str">
            <v>40HQ</v>
          </cell>
          <cell r="O43">
            <v>2</v>
          </cell>
          <cell r="P43">
            <v>45320</v>
          </cell>
          <cell r="Q43">
            <v>45324</v>
          </cell>
          <cell r="R43" t="str">
            <v>金</v>
          </cell>
          <cell r="S43" t="str">
            <v>AM8:00</v>
          </cell>
        </row>
        <row r="44">
          <cell r="A44">
            <v>8185</v>
          </cell>
          <cell r="B44" t="str">
            <v>川瀬 有里</v>
          </cell>
          <cell r="C44" t="str">
            <v>TRADIA</v>
          </cell>
          <cell r="D44">
            <v>45313</v>
          </cell>
          <cell r="E44" t="str">
            <v>24T0111-2</v>
          </cell>
          <cell r="F44" t="str">
            <v>K064/24</v>
          </cell>
          <cell r="G44">
            <v>0</v>
          </cell>
          <cell r="H44" t="str">
            <v>41279656600</v>
          </cell>
          <cell r="I44">
            <v>658</v>
          </cell>
          <cell r="J44">
            <v>658</v>
          </cell>
          <cell r="K44">
            <v>0.2</v>
          </cell>
          <cell r="M44">
            <v>4</v>
          </cell>
          <cell r="N44" t="str">
            <v>40HQ</v>
          </cell>
          <cell r="O44">
            <v>2</v>
          </cell>
          <cell r="P44">
            <v>45320</v>
          </cell>
          <cell r="Q44">
            <v>45324</v>
          </cell>
          <cell r="R44" t="str">
            <v>金</v>
          </cell>
          <cell r="S44" t="str">
            <v>AM8:00</v>
          </cell>
        </row>
        <row r="45">
          <cell r="A45">
            <v>8186</v>
          </cell>
          <cell r="B45" t="str">
            <v>川瀬 有里</v>
          </cell>
          <cell r="C45" t="str">
            <v>TRADIA</v>
          </cell>
          <cell r="D45">
            <v>45313</v>
          </cell>
          <cell r="E45" t="str">
            <v>24T0113</v>
          </cell>
          <cell r="F45" t="str">
            <v>I000012418</v>
          </cell>
          <cell r="G45">
            <v>0</v>
          </cell>
          <cell r="H45" t="str">
            <v>41279656600</v>
          </cell>
          <cell r="I45">
            <v>721234.36</v>
          </cell>
          <cell r="J45">
            <v>721234.36</v>
          </cell>
          <cell r="K45">
            <v>57.75</v>
          </cell>
          <cell r="L45" t="str">
            <v>WHSU6170989</v>
          </cell>
          <cell r="M45">
            <v>4</v>
          </cell>
          <cell r="N45" t="str">
            <v>40HQ</v>
          </cell>
          <cell r="O45">
            <v>2</v>
          </cell>
          <cell r="P45">
            <v>45320</v>
          </cell>
          <cell r="Q45">
            <v>45324</v>
          </cell>
          <cell r="R45" t="str">
            <v>金</v>
          </cell>
          <cell r="S45" t="str">
            <v>AM8:00</v>
          </cell>
        </row>
        <row r="46">
          <cell r="A46">
            <v>8187</v>
          </cell>
          <cell r="B46" t="str">
            <v>川瀬 有里</v>
          </cell>
          <cell r="C46" t="str">
            <v>TRADIA</v>
          </cell>
          <cell r="D46">
            <v>45313</v>
          </cell>
          <cell r="E46" t="str">
            <v>24T0114</v>
          </cell>
          <cell r="F46" t="str">
            <v>I000012422</v>
          </cell>
          <cell r="G46">
            <v>0</v>
          </cell>
          <cell r="H46" t="str">
            <v>41279656600</v>
          </cell>
          <cell r="I46">
            <v>663300.18000000005</v>
          </cell>
          <cell r="J46">
            <v>663300.18000000005</v>
          </cell>
          <cell r="K46">
            <v>61.34</v>
          </cell>
          <cell r="L46" t="str">
            <v>WHSU6558465</v>
          </cell>
          <cell r="M46">
            <v>4</v>
          </cell>
          <cell r="N46" t="str">
            <v>40HQ</v>
          </cell>
          <cell r="O46">
            <v>2</v>
          </cell>
          <cell r="P46">
            <v>45320</v>
          </cell>
          <cell r="Q46">
            <v>45324</v>
          </cell>
          <cell r="R46" t="str">
            <v>金</v>
          </cell>
          <cell r="S46" t="str">
            <v>AM8:00</v>
          </cell>
        </row>
        <row r="47">
          <cell r="A47">
            <v>8188</v>
          </cell>
          <cell r="B47" t="str">
            <v>川瀬 有里</v>
          </cell>
          <cell r="C47" t="str">
            <v>TRADIA</v>
          </cell>
          <cell r="D47">
            <v>45316</v>
          </cell>
          <cell r="E47" t="str">
            <v>24P0103</v>
          </cell>
          <cell r="F47" t="str">
            <v>I000012417</v>
          </cell>
          <cell r="G47">
            <v>0</v>
          </cell>
          <cell r="H47" t="str">
            <v>41283581350</v>
          </cell>
          <cell r="I47">
            <v>526207.5</v>
          </cell>
          <cell r="J47">
            <v>526207.5</v>
          </cell>
          <cell r="K47">
            <v>65.16</v>
          </cell>
          <cell r="L47" t="str">
            <v>TIIU4438181</v>
          </cell>
          <cell r="N47" t="str">
            <v>40HQ</v>
          </cell>
          <cell r="O47">
            <v>2</v>
          </cell>
          <cell r="P47">
            <v>45320</v>
          </cell>
          <cell r="Q47">
            <v>45335</v>
          </cell>
          <cell r="R47" t="str">
            <v>火</v>
          </cell>
          <cell r="S47" t="str">
            <v>AM9:30</v>
          </cell>
        </row>
        <row r="48">
          <cell r="A48">
            <v>8189</v>
          </cell>
          <cell r="B48" t="str">
            <v>川瀬 有里</v>
          </cell>
          <cell r="C48" t="str">
            <v>TRADIA</v>
          </cell>
          <cell r="D48">
            <v>45316</v>
          </cell>
          <cell r="E48" t="str">
            <v>24P0105-1</v>
          </cell>
          <cell r="F48" t="str">
            <v>I000012423</v>
          </cell>
          <cell r="G48">
            <v>0</v>
          </cell>
          <cell r="H48" t="str">
            <v>41282981560</v>
          </cell>
          <cell r="I48">
            <v>470428.2</v>
          </cell>
          <cell r="J48">
            <v>470428.2</v>
          </cell>
          <cell r="K48">
            <v>55.32</v>
          </cell>
          <cell r="L48" t="str">
            <v>TXGU7369370</v>
          </cell>
          <cell r="N48" t="str">
            <v>40HQ</v>
          </cell>
          <cell r="O48">
            <v>2</v>
          </cell>
          <cell r="P48">
            <v>45322</v>
          </cell>
          <cell r="Q48">
            <v>45329</v>
          </cell>
          <cell r="R48" t="str">
            <v>水</v>
          </cell>
          <cell r="S48" t="str">
            <v>AM9:30</v>
          </cell>
        </row>
        <row r="49">
          <cell r="A49">
            <v>8190</v>
          </cell>
          <cell r="B49" t="str">
            <v>川瀬 有里</v>
          </cell>
          <cell r="C49" t="str">
            <v>TRADIA</v>
          </cell>
          <cell r="D49">
            <v>45316</v>
          </cell>
          <cell r="E49" t="str">
            <v>24P0105-2</v>
          </cell>
          <cell r="F49" t="str">
            <v>24P0105</v>
          </cell>
          <cell r="G49">
            <v>0</v>
          </cell>
          <cell r="H49" t="str">
            <v>41282981560</v>
          </cell>
          <cell r="I49">
            <v>560</v>
          </cell>
          <cell r="J49">
            <v>560</v>
          </cell>
          <cell r="K49">
            <v>0.1</v>
          </cell>
          <cell r="N49" t="str">
            <v>40HQ</v>
          </cell>
          <cell r="O49">
            <v>2</v>
          </cell>
          <cell r="P49">
            <v>45322</v>
          </cell>
          <cell r="Q49">
            <v>45329</v>
          </cell>
          <cell r="R49" t="str">
            <v>水</v>
          </cell>
          <cell r="S49" t="str">
            <v>AM9:30</v>
          </cell>
        </row>
        <row r="50">
          <cell r="A50">
            <v>8191</v>
          </cell>
          <cell r="B50" t="str">
            <v>川瀬 有里</v>
          </cell>
          <cell r="C50" t="str">
            <v>TRADIA</v>
          </cell>
          <cell r="D50">
            <v>45318</v>
          </cell>
          <cell r="E50" t="str">
            <v>24T0112</v>
          </cell>
          <cell r="F50" t="str">
            <v>I000012408</v>
          </cell>
          <cell r="G50">
            <v>0</v>
          </cell>
          <cell r="H50" t="str">
            <v>11580163920</v>
          </cell>
          <cell r="I50">
            <v>708113.4</v>
          </cell>
          <cell r="J50">
            <v>708113.4</v>
          </cell>
          <cell r="K50">
            <v>62.94</v>
          </cell>
          <cell r="L50" t="str">
            <v>WHSU6875259</v>
          </cell>
          <cell r="M50">
            <v>4</v>
          </cell>
          <cell r="N50" t="str">
            <v>40HQ</v>
          </cell>
          <cell r="O50">
            <v>5</v>
          </cell>
          <cell r="P50">
            <v>45320</v>
          </cell>
          <cell r="Q50">
            <v>45322</v>
          </cell>
          <cell r="R50" t="str">
            <v>水</v>
          </cell>
          <cell r="S50" t="str">
            <v>AM8:00</v>
          </cell>
        </row>
        <row r="51">
          <cell r="A51">
            <v>8192</v>
          </cell>
          <cell r="B51" t="str">
            <v>川瀬 有里</v>
          </cell>
          <cell r="C51" t="str">
            <v>TRADIA</v>
          </cell>
          <cell r="D51">
            <v>45318</v>
          </cell>
          <cell r="E51" t="str">
            <v>24K0165</v>
          </cell>
          <cell r="F51" t="str">
            <v>I000012424</v>
          </cell>
          <cell r="G51">
            <v>0</v>
          </cell>
          <cell r="H51" t="str">
            <v>40038977150</v>
          </cell>
          <cell r="I51">
            <v>18070</v>
          </cell>
          <cell r="J51">
            <v>18070</v>
          </cell>
          <cell r="K51">
            <v>0.15</v>
          </cell>
          <cell r="M51">
            <v>3</v>
          </cell>
          <cell r="N51" t="str">
            <v>AIR</v>
          </cell>
          <cell r="O51">
            <v>2</v>
          </cell>
          <cell r="Q51">
            <v>45315</v>
          </cell>
          <cell r="R51" t="str">
            <v>水</v>
          </cell>
          <cell r="S51" t="str">
            <v>AM8:30</v>
          </cell>
        </row>
        <row r="52">
          <cell r="A52">
            <v>8193</v>
          </cell>
          <cell r="B52" t="str">
            <v>川瀬 有里</v>
          </cell>
          <cell r="C52" t="str">
            <v>TRADIA</v>
          </cell>
          <cell r="D52">
            <v>45318</v>
          </cell>
          <cell r="E52" t="str">
            <v>24K0164</v>
          </cell>
          <cell r="F52" t="str">
            <v>I000012430</v>
          </cell>
          <cell r="G52">
            <v>0</v>
          </cell>
          <cell r="H52" t="str">
            <v>30041490830</v>
          </cell>
          <cell r="I52">
            <v>2700</v>
          </cell>
          <cell r="J52">
            <v>2700</v>
          </cell>
          <cell r="K52">
            <v>0.1</v>
          </cell>
          <cell r="M52">
            <v>3</v>
          </cell>
          <cell r="N52" t="str">
            <v>AIR</v>
          </cell>
          <cell r="O52">
            <v>2</v>
          </cell>
          <cell r="Q52">
            <v>45316</v>
          </cell>
          <cell r="R52" t="str">
            <v>木</v>
          </cell>
          <cell r="S52" t="str">
            <v>AM8:30</v>
          </cell>
        </row>
        <row r="53">
          <cell r="A53">
            <v>8194</v>
          </cell>
          <cell r="B53" t="str">
            <v>川瀬 有里</v>
          </cell>
          <cell r="C53" t="str">
            <v>YUSEN</v>
          </cell>
          <cell r="D53">
            <v>45318</v>
          </cell>
          <cell r="E53" t="str">
            <v>24K0111</v>
          </cell>
          <cell r="F53" t="str">
            <v>I000012427</v>
          </cell>
          <cell r="G53">
            <v>0</v>
          </cell>
          <cell r="H53" t="str">
            <v>31390015741</v>
          </cell>
          <cell r="I53">
            <v>518295.2</v>
          </cell>
          <cell r="J53">
            <v>518295.2</v>
          </cell>
          <cell r="K53">
            <v>30.25</v>
          </cell>
          <cell r="L53" t="str">
            <v>FCIU5840354</v>
          </cell>
          <cell r="M53">
            <v>3</v>
          </cell>
          <cell r="N53" t="str">
            <v>20’</v>
          </cell>
          <cell r="O53">
            <v>1</v>
          </cell>
          <cell r="P53">
            <v>45322</v>
          </cell>
          <cell r="Q53">
            <v>45324</v>
          </cell>
          <cell r="R53" t="str">
            <v>金</v>
          </cell>
          <cell r="S53" t="str">
            <v>AM8:30</v>
          </cell>
        </row>
        <row r="54">
          <cell r="A54">
            <v>8195</v>
          </cell>
          <cell r="B54" t="str">
            <v>川瀬 有里</v>
          </cell>
          <cell r="C54" t="str">
            <v>TRADIA</v>
          </cell>
          <cell r="D54">
            <v>45318</v>
          </cell>
          <cell r="E54" t="str">
            <v>24K0167</v>
          </cell>
          <cell r="F54" t="str">
            <v>I000012437</v>
          </cell>
          <cell r="G54">
            <v>0</v>
          </cell>
          <cell r="H54" t="str">
            <v>40053106760</v>
          </cell>
          <cell r="I54">
            <v>13035.71</v>
          </cell>
          <cell r="J54">
            <v>13035.71</v>
          </cell>
          <cell r="K54">
            <v>0.98</v>
          </cell>
          <cell r="M54">
            <v>3</v>
          </cell>
          <cell r="N54" t="str">
            <v>AIR</v>
          </cell>
          <cell r="O54">
            <v>2</v>
          </cell>
          <cell r="Q54">
            <v>45317</v>
          </cell>
          <cell r="R54" t="str">
            <v>金</v>
          </cell>
          <cell r="S54" t="str">
            <v>AM8:30</v>
          </cell>
        </row>
        <row r="55">
          <cell r="A55">
            <v>8196</v>
          </cell>
          <cell r="B55" t="str">
            <v>川瀬 有里</v>
          </cell>
          <cell r="C55" t="str">
            <v>TRADIA</v>
          </cell>
          <cell r="D55">
            <v>45318</v>
          </cell>
          <cell r="E55" t="str">
            <v>24K0168</v>
          </cell>
          <cell r="F55" t="str">
            <v>I000012438</v>
          </cell>
          <cell r="G55">
            <v>0</v>
          </cell>
          <cell r="H55" t="str">
            <v>40053203400</v>
          </cell>
          <cell r="I55">
            <v>33513.339999999997</v>
          </cell>
          <cell r="J55">
            <v>33513.339999999997</v>
          </cell>
          <cell r="K55">
            <v>1.41</v>
          </cell>
          <cell r="M55">
            <v>3</v>
          </cell>
          <cell r="N55" t="str">
            <v>AIR</v>
          </cell>
          <cell r="O55">
            <v>2</v>
          </cell>
          <cell r="Q55">
            <v>45317</v>
          </cell>
          <cell r="R55" t="str">
            <v>金</v>
          </cell>
          <cell r="S55" t="str">
            <v>AM8:30</v>
          </cell>
        </row>
        <row r="56">
          <cell r="A56">
            <v>8197</v>
          </cell>
          <cell r="B56" t="str">
            <v>川瀬 有里</v>
          </cell>
          <cell r="C56" t="str">
            <v>TRADIA</v>
          </cell>
          <cell r="D56">
            <v>45318</v>
          </cell>
          <cell r="E56" t="str">
            <v>24K0112</v>
          </cell>
          <cell r="F56" t="str">
            <v>I000012433</v>
          </cell>
          <cell r="G56">
            <v>0</v>
          </cell>
          <cell r="H56" t="str">
            <v>31389312240</v>
          </cell>
          <cell r="I56">
            <v>279107.8</v>
          </cell>
          <cell r="J56">
            <v>279107.8</v>
          </cell>
          <cell r="K56">
            <v>28.63</v>
          </cell>
          <cell r="L56" t="str">
            <v>TSSU2264748</v>
          </cell>
          <cell r="M56">
            <v>3</v>
          </cell>
          <cell r="N56" t="str">
            <v>20’</v>
          </cell>
          <cell r="O56">
            <v>1</v>
          </cell>
          <cell r="P56">
            <v>45322</v>
          </cell>
          <cell r="Q56">
            <v>45324</v>
          </cell>
          <cell r="R56" t="str">
            <v>金</v>
          </cell>
          <cell r="S56" t="str">
            <v>AM8:30</v>
          </cell>
        </row>
        <row r="57">
          <cell r="A57">
            <v>8198</v>
          </cell>
          <cell r="B57" t="str">
            <v>川瀬 有里</v>
          </cell>
          <cell r="C57" t="str">
            <v>KONOIKE</v>
          </cell>
          <cell r="D57">
            <v>45318</v>
          </cell>
          <cell r="E57" t="str">
            <v>24T0116</v>
          </cell>
          <cell r="F57" t="str">
            <v>I000012435</v>
          </cell>
          <cell r="G57">
            <v>0</v>
          </cell>
          <cell r="H57" t="str">
            <v>41282904120</v>
          </cell>
          <cell r="I57">
            <v>772917.98</v>
          </cell>
          <cell r="J57">
            <v>772917.98</v>
          </cell>
          <cell r="K57">
            <v>63.51</v>
          </cell>
          <cell r="L57" t="str">
            <v>EMCU9934850</v>
          </cell>
          <cell r="M57">
            <v>4</v>
          </cell>
          <cell r="N57" t="str">
            <v>40HQ</v>
          </cell>
          <cell r="O57">
            <v>2</v>
          </cell>
          <cell r="P57">
            <v>45325</v>
          </cell>
          <cell r="Q57">
            <v>45329</v>
          </cell>
          <cell r="R57" t="str">
            <v>水</v>
          </cell>
          <cell r="S57" t="str">
            <v>AM8:00</v>
          </cell>
        </row>
        <row r="58">
          <cell r="A58">
            <v>8199</v>
          </cell>
          <cell r="B58" t="str">
            <v>川瀬 有里</v>
          </cell>
          <cell r="C58" t="str">
            <v>KONOIKE</v>
          </cell>
          <cell r="D58">
            <v>45320</v>
          </cell>
          <cell r="E58" t="str">
            <v>24T0115</v>
          </cell>
          <cell r="F58" t="str">
            <v>I000012426</v>
          </cell>
          <cell r="G58">
            <v>0</v>
          </cell>
          <cell r="H58" t="str">
            <v>11584182250</v>
          </cell>
          <cell r="I58">
            <v>620882.68000000005</v>
          </cell>
          <cell r="J58">
            <v>620882.68000000005</v>
          </cell>
          <cell r="K58">
            <v>65.010000000000005</v>
          </cell>
          <cell r="L58" t="str">
            <v>WHLU5604220</v>
          </cell>
          <cell r="M58">
            <v>4</v>
          </cell>
          <cell r="N58" t="str">
            <v>40HQ</v>
          </cell>
          <cell r="O58">
            <v>5</v>
          </cell>
          <cell r="P58">
            <v>45327</v>
          </cell>
          <cell r="Q58">
            <v>45329</v>
          </cell>
          <cell r="R58" t="str">
            <v>水</v>
          </cell>
          <cell r="S58" t="str">
            <v>AM8:00</v>
          </cell>
        </row>
        <row r="59">
          <cell r="A59">
            <v>8200</v>
          </cell>
          <cell r="B59" t="str">
            <v>川瀬 有里</v>
          </cell>
          <cell r="C59" t="str">
            <v>KONOIKE</v>
          </cell>
          <cell r="D59">
            <v>45320</v>
          </cell>
          <cell r="E59" t="str">
            <v>24T0117</v>
          </cell>
          <cell r="F59" t="str">
            <v>I000012453</v>
          </cell>
          <cell r="G59">
            <v>0</v>
          </cell>
          <cell r="H59" t="str">
            <v>11584182250</v>
          </cell>
          <cell r="I59">
            <v>623102.64</v>
          </cell>
          <cell r="J59">
            <v>623102.64</v>
          </cell>
          <cell r="K59">
            <v>63.22</v>
          </cell>
          <cell r="L59" t="str">
            <v>WHSU6187209</v>
          </cell>
          <cell r="M59">
            <v>4</v>
          </cell>
          <cell r="N59" t="str">
            <v>40HQ</v>
          </cell>
          <cell r="O59">
            <v>5</v>
          </cell>
          <cell r="P59">
            <v>45327</v>
          </cell>
          <cell r="Q59">
            <v>45329</v>
          </cell>
          <cell r="R59" t="str">
            <v>水</v>
          </cell>
          <cell r="S59" t="str">
            <v>AM8:00</v>
          </cell>
        </row>
        <row r="60">
          <cell r="A60">
            <v>8201</v>
          </cell>
          <cell r="B60" t="str">
            <v>川瀬 有里</v>
          </cell>
          <cell r="C60" t="str">
            <v>TRADIA</v>
          </cell>
          <cell r="D60">
            <v>45320</v>
          </cell>
          <cell r="E60" t="str">
            <v>24P0104</v>
          </cell>
          <cell r="F60" t="str">
            <v>I000012450</v>
          </cell>
          <cell r="G60">
            <v>0</v>
          </cell>
          <cell r="H60" t="str">
            <v>21537228260</v>
          </cell>
          <cell r="I60">
            <v>553887.18000000005</v>
          </cell>
          <cell r="J60">
            <v>553887.18000000005</v>
          </cell>
          <cell r="K60">
            <v>67.05</v>
          </cell>
          <cell r="L60" t="str">
            <v>WHSU6187261</v>
          </cell>
          <cell r="M60">
            <v>11</v>
          </cell>
          <cell r="N60" t="str">
            <v>40HQ</v>
          </cell>
          <cell r="O60">
            <v>4</v>
          </cell>
          <cell r="P60">
            <v>45329</v>
          </cell>
          <cell r="Q60">
            <v>45343</v>
          </cell>
          <cell r="R60" t="str">
            <v>水</v>
          </cell>
          <cell r="S60" t="str">
            <v>AM7:30</v>
          </cell>
        </row>
        <row r="61">
          <cell r="A61">
            <v>8202</v>
          </cell>
          <cell r="B61" t="str">
            <v>川瀬 有里</v>
          </cell>
          <cell r="C61" t="str">
            <v>TRADIA</v>
          </cell>
          <cell r="D61">
            <v>45320</v>
          </cell>
          <cell r="E61" t="str">
            <v>24K0115</v>
          </cell>
          <cell r="F61" t="str">
            <v>I000012452</v>
          </cell>
          <cell r="G61">
            <v>0</v>
          </cell>
          <cell r="H61" t="str">
            <v>31390328750</v>
          </cell>
          <cell r="I61">
            <v>499184.28</v>
          </cell>
          <cell r="J61">
            <v>499184.28</v>
          </cell>
          <cell r="K61">
            <v>29.09</v>
          </cell>
          <cell r="L61" t="str">
            <v>OOLU0641573</v>
          </cell>
          <cell r="M61">
            <v>3</v>
          </cell>
          <cell r="N61" t="str">
            <v>20’</v>
          </cell>
          <cell r="O61">
            <v>1</v>
          </cell>
          <cell r="P61">
            <v>45328</v>
          </cell>
          <cell r="Q61">
            <v>45330</v>
          </cell>
          <cell r="R61" t="str">
            <v>木</v>
          </cell>
          <cell r="S61" t="str">
            <v>AM8:30</v>
          </cell>
        </row>
        <row r="62">
          <cell r="A62">
            <v>8203</v>
          </cell>
          <cell r="B62" t="str">
            <v>川瀬 有里</v>
          </cell>
          <cell r="C62" t="str">
            <v>TRADIA</v>
          </cell>
          <cell r="D62">
            <v>45320</v>
          </cell>
          <cell r="E62" t="str">
            <v>24K0116</v>
          </cell>
          <cell r="F62" t="str">
            <v>I000012457</v>
          </cell>
          <cell r="G62">
            <v>0</v>
          </cell>
          <cell r="H62" t="str">
            <v>31390090200</v>
          </cell>
          <cell r="I62">
            <v>420655.4</v>
          </cell>
          <cell r="J62">
            <v>420655.4</v>
          </cell>
          <cell r="K62">
            <v>25.95</v>
          </cell>
          <cell r="L62" t="str">
            <v>WHSU2371590</v>
          </cell>
          <cell r="M62">
            <v>3</v>
          </cell>
          <cell r="N62" t="str">
            <v>20’</v>
          </cell>
          <cell r="O62">
            <v>1</v>
          </cell>
          <cell r="P62">
            <v>45328</v>
          </cell>
          <cell r="Q62">
            <v>45330</v>
          </cell>
          <cell r="R62" t="str">
            <v>木</v>
          </cell>
          <cell r="S62" t="str">
            <v>AM8:30</v>
          </cell>
        </row>
        <row r="63">
          <cell r="A63">
            <v>8204</v>
          </cell>
          <cell r="B63" t="str">
            <v>川瀬 有里</v>
          </cell>
          <cell r="C63" t="str">
            <v>TRADIA</v>
          </cell>
          <cell r="D63">
            <v>45320</v>
          </cell>
          <cell r="E63" t="str">
            <v>24K0113</v>
          </cell>
          <cell r="F63" t="str">
            <v>I000012440</v>
          </cell>
          <cell r="G63">
            <v>0</v>
          </cell>
          <cell r="H63" t="str">
            <v>31390090200</v>
          </cell>
          <cell r="I63">
            <v>261187.56</v>
          </cell>
          <cell r="J63">
            <v>261187.56</v>
          </cell>
          <cell r="K63">
            <v>27.02</v>
          </cell>
          <cell r="L63" t="str">
            <v>BMOU1230870</v>
          </cell>
          <cell r="M63">
            <v>3</v>
          </cell>
          <cell r="N63" t="str">
            <v>20’</v>
          </cell>
          <cell r="O63">
            <v>1</v>
          </cell>
          <cell r="P63">
            <v>45328</v>
          </cell>
          <cell r="Q63">
            <v>45330</v>
          </cell>
          <cell r="R63" t="str">
            <v>木</v>
          </cell>
          <cell r="S63" t="str">
            <v>AM8:30</v>
          </cell>
        </row>
        <row r="64">
          <cell r="A64">
            <v>8205</v>
          </cell>
          <cell r="B64" t="str">
            <v>川瀬 有里</v>
          </cell>
          <cell r="C64" t="str">
            <v>TRADIA</v>
          </cell>
          <cell r="D64">
            <v>45320</v>
          </cell>
          <cell r="E64" t="str">
            <v>24K0114</v>
          </cell>
          <cell r="F64" t="str">
            <v>I000012448</v>
          </cell>
          <cell r="G64">
            <v>0</v>
          </cell>
          <cell r="H64" t="str">
            <v>31390090200</v>
          </cell>
          <cell r="I64">
            <v>286315.92</v>
          </cell>
          <cell r="J64">
            <v>286315.92</v>
          </cell>
          <cell r="K64">
            <v>24.85</v>
          </cell>
          <cell r="L64" t="str">
            <v>WHLU0298175</v>
          </cell>
          <cell r="M64">
            <v>3</v>
          </cell>
          <cell r="N64" t="str">
            <v>20’</v>
          </cell>
          <cell r="O64">
            <v>1</v>
          </cell>
          <cell r="P64">
            <v>45328</v>
          </cell>
          <cell r="Q64">
            <v>45330</v>
          </cell>
          <cell r="R64" t="str">
            <v>木</v>
          </cell>
          <cell r="S64" t="str">
            <v>AM8:30</v>
          </cell>
        </row>
        <row r="65">
          <cell r="A65">
            <v>8206</v>
          </cell>
          <cell r="B65" t="str">
            <v>川瀬 有里</v>
          </cell>
          <cell r="C65" t="str">
            <v>TRADIA</v>
          </cell>
          <cell r="D65">
            <v>45320</v>
          </cell>
          <cell r="E65" t="str">
            <v>24K0161</v>
          </cell>
          <cell r="F65" t="str">
            <v>I000012458</v>
          </cell>
          <cell r="G65">
            <v>0</v>
          </cell>
          <cell r="H65" t="str">
            <v>40075671300</v>
          </cell>
          <cell r="I65">
            <v>38635.5</v>
          </cell>
          <cell r="J65">
            <v>38635.5</v>
          </cell>
          <cell r="K65">
            <v>1.02</v>
          </cell>
          <cell r="M65">
            <v>3</v>
          </cell>
          <cell r="N65" t="str">
            <v>AIR</v>
          </cell>
          <cell r="O65">
            <v>2</v>
          </cell>
          <cell r="Q65">
            <v>45322</v>
          </cell>
          <cell r="R65" t="str">
            <v>水</v>
          </cell>
          <cell r="S65" t="str">
            <v>AM8:30</v>
          </cell>
        </row>
        <row r="66">
          <cell r="A66">
            <v>8207</v>
          </cell>
          <cell r="B66" t="str">
            <v>川瀬 有里</v>
          </cell>
          <cell r="C66" t="str">
            <v>TRADIA</v>
          </cell>
          <cell r="D66">
            <v>45322</v>
          </cell>
          <cell r="E66" t="str">
            <v>24K0179</v>
          </cell>
          <cell r="F66" t="str">
            <v>I000012470</v>
          </cell>
          <cell r="G66">
            <v>0</v>
          </cell>
          <cell r="H66" t="str">
            <v>40085300610</v>
          </cell>
          <cell r="I66">
            <v>687161.5</v>
          </cell>
          <cell r="J66">
            <v>687161.5</v>
          </cell>
          <cell r="K66">
            <v>7.6</v>
          </cell>
          <cell r="M66">
            <v>3</v>
          </cell>
          <cell r="N66" t="str">
            <v>AIR</v>
          </cell>
          <cell r="O66">
            <v>2</v>
          </cell>
          <cell r="Q66">
            <v>45322</v>
          </cell>
          <cell r="R66" t="str">
            <v>水</v>
          </cell>
          <cell r="S66" t="str">
            <v>AM8:30</v>
          </cell>
        </row>
        <row r="67">
          <cell r="A67">
            <v>8208</v>
          </cell>
          <cell r="B67" t="str">
            <v>川瀬 有里</v>
          </cell>
          <cell r="C67" t="str">
            <v>TRADIA</v>
          </cell>
          <cell r="D67">
            <v>45322</v>
          </cell>
          <cell r="E67" t="str">
            <v>24K0175</v>
          </cell>
          <cell r="F67" t="str">
            <v>I000012471</v>
          </cell>
          <cell r="G67">
            <v>0</v>
          </cell>
          <cell r="H67" t="str">
            <v>40086594210</v>
          </cell>
          <cell r="I67">
            <v>399537.7</v>
          </cell>
          <cell r="J67">
            <v>399537.7</v>
          </cell>
          <cell r="K67">
            <v>2.76</v>
          </cell>
          <cell r="M67">
            <v>3</v>
          </cell>
          <cell r="N67" t="str">
            <v>AIR</v>
          </cell>
          <cell r="O67">
            <v>2</v>
          </cell>
          <cell r="Q67">
            <v>45322</v>
          </cell>
          <cell r="R67" t="str">
            <v>水</v>
          </cell>
          <cell r="S67" t="str">
            <v>AM8:30</v>
          </cell>
        </row>
        <row r="68">
          <cell r="A68">
            <v>8209</v>
          </cell>
          <cell r="B68" t="str">
            <v>川瀬 有里</v>
          </cell>
          <cell r="C68" t="str">
            <v>KONOIKE</v>
          </cell>
          <cell r="D68">
            <v>45323</v>
          </cell>
          <cell r="E68" t="str">
            <v>24T0118</v>
          </cell>
          <cell r="F68" t="str">
            <v>I000012454</v>
          </cell>
          <cell r="G68">
            <v>0</v>
          </cell>
          <cell r="H68" t="str">
            <v>41284749910</v>
          </cell>
          <cell r="I68">
            <v>821897.86</v>
          </cell>
          <cell r="J68">
            <v>821897.86</v>
          </cell>
          <cell r="K68">
            <v>61.81</v>
          </cell>
          <cell r="L68" t="str">
            <v>WHSU6253770</v>
          </cell>
          <cell r="M68">
            <v>4</v>
          </cell>
          <cell r="N68" t="str">
            <v>40HQ</v>
          </cell>
          <cell r="O68">
            <v>2</v>
          </cell>
          <cell r="P68">
            <v>45327</v>
          </cell>
          <cell r="Q68">
            <v>45329</v>
          </cell>
          <cell r="R68" t="str">
            <v>水</v>
          </cell>
          <cell r="S68" t="str">
            <v>AM8:00</v>
          </cell>
        </row>
        <row r="69">
          <cell r="A69">
            <v>8210</v>
          </cell>
          <cell r="B69" t="str">
            <v>川瀬 有里</v>
          </cell>
          <cell r="C69" t="str">
            <v>TRADIA</v>
          </cell>
          <cell r="D69">
            <v>45323</v>
          </cell>
          <cell r="E69" t="str">
            <v>24K0117</v>
          </cell>
          <cell r="F69" t="str">
            <v>I000012464</v>
          </cell>
          <cell r="G69">
            <v>0</v>
          </cell>
          <cell r="H69" t="str">
            <v>31390561150</v>
          </cell>
          <cell r="I69">
            <v>308526.12</v>
          </cell>
          <cell r="J69">
            <v>308526.12</v>
          </cell>
          <cell r="K69">
            <v>26.58</v>
          </cell>
          <cell r="L69" t="str">
            <v>TSSU2273523</v>
          </cell>
          <cell r="M69">
            <v>3</v>
          </cell>
          <cell r="N69" t="str">
            <v>20’</v>
          </cell>
          <cell r="O69">
            <v>1</v>
          </cell>
          <cell r="P69">
            <v>45329</v>
          </cell>
          <cell r="Q69">
            <v>45331</v>
          </cell>
          <cell r="R69" t="str">
            <v>金</v>
          </cell>
          <cell r="S69" t="str">
            <v>AM8:30</v>
          </cell>
        </row>
        <row r="70">
          <cell r="A70">
            <v>8211</v>
          </cell>
          <cell r="B70" t="str">
            <v>川瀬 有里</v>
          </cell>
          <cell r="C70" t="str">
            <v>TRADIA</v>
          </cell>
          <cell r="D70">
            <v>45323</v>
          </cell>
          <cell r="E70" t="str">
            <v>24K0118</v>
          </cell>
          <cell r="F70" t="str">
            <v>I000012473</v>
          </cell>
          <cell r="G70">
            <v>0</v>
          </cell>
          <cell r="H70" t="str">
            <v>31390561150</v>
          </cell>
          <cell r="I70">
            <v>297884.88</v>
          </cell>
          <cell r="J70">
            <v>297884.88</v>
          </cell>
          <cell r="K70">
            <v>25.95</v>
          </cell>
          <cell r="L70" t="str">
            <v>TSSU2267639</v>
          </cell>
          <cell r="M70">
            <v>3</v>
          </cell>
          <cell r="N70" t="str">
            <v>20’</v>
          </cell>
          <cell r="O70">
            <v>1</v>
          </cell>
          <cell r="P70">
            <v>45329</v>
          </cell>
          <cell r="Q70">
            <v>45331</v>
          </cell>
          <cell r="R70" t="str">
            <v>金</v>
          </cell>
          <cell r="S70" t="str">
            <v>AM8:30</v>
          </cell>
        </row>
        <row r="71">
          <cell r="A71">
            <v>8212</v>
          </cell>
          <cell r="B71" t="str">
            <v>川瀬 有里</v>
          </cell>
          <cell r="C71" t="str">
            <v>TRADIA</v>
          </cell>
          <cell r="D71">
            <v>45323</v>
          </cell>
          <cell r="E71" t="str">
            <v>24K0120</v>
          </cell>
          <cell r="F71" t="str">
            <v>I000012475</v>
          </cell>
          <cell r="G71">
            <v>0</v>
          </cell>
          <cell r="H71" t="str">
            <v>31390972860</v>
          </cell>
          <cell r="I71">
            <v>436375.52</v>
          </cell>
          <cell r="J71">
            <v>436375.52</v>
          </cell>
          <cell r="K71">
            <v>23.53</v>
          </cell>
          <cell r="L71" t="str">
            <v>TRHU3927285</v>
          </cell>
          <cell r="M71">
            <v>3</v>
          </cell>
          <cell r="N71" t="str">
            <v>20’</v>
          </cell>
          <cell r="O71">
            <v>1</v>
          </cell>
          <cell r="P71">
            <v>45329</v>
          </cell>
          <cell r="Q71">
            <v>45331</v>
          </cell>
          <cell r="R71" t="str">
            <v>金</v>
          </cell>
          <cell r="S71" t="str">
            <v>AM8:30</v>
          </cell>
        </row>
        <row r="72">
          <cell r="A72">
            <v>8213</v>
          </cell>
          <cell r="B72" t="str">
            <v>川瀬 有里</v>
          </cell>
          <cell r="C72" t="str">
            <v>KONOIKE</v>
          </cell>
          <cell r="D72">
            <v>45324</v>
          </cell>
          <cell r="E72" t="str">
            <v>24T0119</v>
          </cell>
          <cell r="F72" t="str">
            <v>I000012459</v>
          </cell>
          <cell r="G72">
            <v>0</v>
          </cell>
          <cell r="H72" t="str">
            <v>41286742440</v>
          </cell>
          <cell r="I72">
            <v>627314.48</v>
          </cell>
          <cell r="J72">
            <v>627314.48</v>
          </cell>
          <cell r="K72">
            <v>64.650000000000006</v>
          </cell>
          <cell r="L72" t="str">
            <v>WHSU6866283</v>
          </cell>
          <cell r="M72">
            <v>4</v>
          </cell>
          <cell r="N72" t="str">
            <v>40HQ</v>
          </cell>
          <cell r="O72">
            <v>2</v>
          </cell>
          <cell r="P72">
            <v>45330</v>
          </cell>
          <cell r="Q72">
            <v>45335</v>
          </cell>
          <cell r="R72" t="str">
            <v>火</v>
          </cell>
          <cell r="S72" t="str">
            <v>AM8:00</v>
          </cell>
        </row>
        <row r="73">
          <cell r="A73">
            <v>8214</v>
          </cell>
          <cell r="B73" t="str">
            <v>川瀬 有里</v>
          </cell>
          <cell r="C73" t="str">
            <v>KONOIKE</v>
          </cell>
          <cell r="D73">
            <v>45324</v>
          </cell>
          <cell r="E73" t="str">
            <v>24T0120</v>
          </cell>
          <cell r="F73" t="str">
            <v>I000012463</v>
          </cell>
          <cell r="G73">
            <v>0</v>
          </cell>
          <cell r="H73" t="str">
            <v>41286742440</v>
          </cell>
          <cell r="I73">
            <v>796940.12</v>
          </cell>
          <cell r="J73">
            <v>796940.12</v>
          </cell>
          <cell r="K73">
            <v>63.13</v>
          </cell>
          <cell r="L73" t="str">
            <v>WHSU6706053</v>
          </cell>
          <cell r="M73">
            <v>4</v>
          </cell>
          <cell r="N73" t="str">
            <v>40HQ</v>
          </cell>
          <cell r="O73">
            <v>2</v>
          </cell>
          <cell r="P73">
            <v>45330</v>
          </cell>
          <cell r="Q73">
            <v>45335</v>
          </cell>
          <cell r="R73" t="str">
            <v>火</v>
          </cell>
          <cell r="S73" t="str">
            <v>AM8:00</v>
          </cell>
        </row>
        <row r="74">
          <cell r="A74">
            <v>8215</v>
          </cell>
          <cell r="B74" t="str">
            <v>川瀬 有里</v>
          </cell>
          <cell r="C74" t="str">
            <v>KONOIKE</v>
          </cell>
          <cell r="D74">
            <v>45324</v>
          </cell>
          <cell r="E74" t="str">
            <v>24T0121</v>
          </cell>
          <cell r="F74" t="str">
            <v>I000012474</v>
          </cell>
          <cell r="G74">
            <v>0</v>
          </cell>
          <cell r="H74" t="str">
            <v>41286742440</v>
          </cell>
          <cell r="I74">
            <v>870037.22</v>
          </cell>
          <cell r="J74">
            <v>870037.22</v>
          </cell>
          <cell r="K74">
            <v>63.72</v>
          </cell>
          <cell r="L74" t="str">
            <v>WHSU6647120</v>
          </cell>
          <cell r="M74">
            <v>4</v>
          </cell>
          <cell r="N74" t="str">
            <v>40HQ</v>
          </cell>
          <cell r="O74">
            <v>2</v>
          </cell>
          <cell r="P74">
            <v>45330</v>
          </cell>
          <cell r="Q74">
            <v>45335</v>
          </cell>
          <cell r="R74" t="str">
            <v>火</v>
          </cell>
          <cell r="S74" t="str">
            <v>AM8:00</v>
          </cell>
        </row>
        <row r="75">
          <cell r="A75">
            <v>8216</v>
          </cell>
          <cell r="B75" t="str">
            <v>川瀬 有里</v>
          </cell>
          <cell r="C75" t="str">
            <v>TRADIA</v>
          </cell>
          <cell r="D75">
            <v>45328</v>
          </cell>
          <cell r="E75" t="str">
            <v>24K0201</v>
          </cell>
          <cell r="F75" t="str">
            <v>I000012484</v>
          </cell>
          <cell r="G75">
            <v>0</v>
          </cell>
          <cell r="H75" t="str">
            <v>41288722520</v>
          </cell>
          <cell r="I75">
            <v>297329.76</v>
          </cell>
          <cell r="J75">
            <v>297329.76</v>
          </cell>
          <cell r="K75">
            <v>27.08</v>
          </cell>
          <cell r="L75" t="str">
            <v>WHLU0338344</v>
          </cell>
          <cell r="M75">
            <v>3</v>
          </cell>
          <cell r="N75" t="str">
            <v>20’</v>
          </cell>
          <cell r="O75">
            <v>1</v>
          </cell>
          <cell r="P75">
            <v>45335</v>
          </cell>
          <cell r="Q75">
            <v>45337</v>
          </cell>
          <cell r="R75" t="str">
            <v>木</v>
          </cell>
          <cell r="S75" t="str">
            <v>AM8:30</v>
          </cell>
        </row>
        <row r="76">
          <cell r="A76">
            <v>8217</v>
          </cell>
          <cell r="B76" t="str">
            <v>川瀬 有里</v>
          </cell>
          <cell r="C76" t="str">
            <v>TRADIA</v>
          </cell>
          <cell r="D76">
            <v>45328</v>
          </cell>
          <cell r="E76" t="str">
            <v>24K0202</v>
          </cell>
          <cell r="F76" t="str">
            <v>I000012486</v>
          </cell>
          <cell r="G76">
            <v>0</v>
          </cell>
          <cell r="H76" t="str">
            <v>41288722520</v>
          </cell>
          <cell r="I76">
            <v>472294.46</v>
          </cell>
          <cell r="J76">
            <v>472294.46</v>
          </cell>
          <cell r="K76">
            <v>28.93</v>
          </cell>
          <cell r="L76" t="str">
            <v>WHSU2873509</v>
          </cell>
          <cell r="M76">
            <v>3</v>
          </cell>
          <cell r="N76" t="str">
            <v>20’</v>
          </cell>
          <cell r="O76">
            <v>1</v>
          </cell>
          <cell r="P76">
            <v>45335</v>
          </cell>
          <cell r="Q76">
            <v>45337</v>
          </cell>
          <cell r="R76" t="str">
            <v>木</v>
          </cell>
          <cell r="S76" t="str">
            <v>AM8:30</v>
          </cell>
        </row>
        <row r="77">
          <cell r="A77">
            <v>8218</v>
          </cell>
          <cell r="B77" t="str">
            <v>川瀬 有里</v>
          </cell>
          <cell r="C77" t="str">
            <v>TRADIA</v>
          </cell>
          <cell r="D77">
            <v>45328</v>
          </cell>
          <cell r="E77" t="str">
            <v>24K0250</v>
          </cell>
          <cell r="F77" t="str">
            <v>I000012488</v>
          </cell>
          <cell r="G77">
            <v>0</v>
          </cell>
          <cell r="H77" t="str">
            <v>40102418300</v>
          </cell>
          <cell r="I77">
            <v>601205.21</v>
          </cell>
          <cell r="J77">
            <v>601205.21</v>
          </cell>
          <cell r="K77">
            <v>6.12</v>
          </cell>
          <cell r="M77">
            <v>3</v>
          </cell>
          <cell r="N77" t="str">
            <v>AIR</v>
          </cell>
          <cell r="O77">
            <v>2</v>
          </cell>
          <cell r="Q77">
            <v>45329</v>
          </cell>
          <cell r="R77" t="str">
            <v>水</v>
          </cell>
          <cell r="S77" t="str">
            <v>AM8:30</v>
          </cell>
        </row>
        <row r="78">
          <cell r="A78">
            <v>8219</v>
          </cell>
          <cell r="B78" t="str">
            <v>川瀬 有里</v>
          </cell>
          <cell r="C78" t="str">
            <v>TRADIA</v>
          </cell>
          <cell r="D78">
            <v>45328</v>
          </cell>
          <cell r="E78" t="str">
            <v>24K0174</v>
          </cell>
          <cell r="F78" t="str">
            <v>I000012471</v>
          </cell>
          <cell r="G78">
            <v>0</v>
          </cell>
          <cell r="H78" t="str">
            <v>40086594210</v>
          </cell>
          <cell r="I78">
            <v>399537.7</v>
          </cell>
          <cell r="J78">
            <v>399537.7</v>
          </cell>
          <cell r="K78">
            <v>2.76</v>
          </cell>
          <cell r="M78">
            <v>3</v>
          </cell>
          <cell r="N78" t="str">
            <v>AIR</v>
          </cell>
          <cell r="O78">
            <v>2</v>
          </cell>
          <cell r="Q78">
            <v>45327</v>
          </cell>
          <cell r="R78" t="str">
            <v>月</v>
          </cell>
          <cell r="S78" t="str">
            <v>AM8:30</v>
          </cell>
        </row>
        <row r="79">
          <cell r="A79">
            <v>8220</v>
          </cell>
          <cell r="B79" t="str">
            <v>川瀬 有里</v>
          </cell>
          <cell r="C79" t="str">
            <v>TRADIA</v>
          </cell>
          <cell r="D79">
            <v>45328</v>
          </cell>
          <cell r="E79" t="str">
            <v>24K0251</v>
          </cell>
          <cell r="F79" t="str">
            <v>I000012478</v>
          </cell>
          <cell r="G79">
            <v>0</v>
          </cell>
          <cell r="H79" t="str">
            <v>40090289620</v>
          </cell>
          <cell r="I79">
            <v>730971.16</v>
          </cell>
          <cell r="J79">
            <v>730971.16</v>
          </cell>
          <cell r="K79">
            <v>9.7799999999999994</v>
          </cell>
          <cell r="M79">
            <v>3</v>
          </cell>
          <cell r="N79" t="str">
            <v>AIR</v>
          </cell>
          <cell r="O79">
            <v>2</v>
          </cell>
          <cell r="Q79">
            <v>45327</v>
          </cell>
          <cell r="R79" t="str">
            <v>月</v>
          </cell>
          <cell r="S79" t="str">
            <v>AM8:30</v>
          </cell>
        </row>
        <row r="80">
          <cell r="A80">
            <v>8221</v>
          </cell>
          <cell r="B80" t="str">
            <v>川瀬 有里</v>
          </cell>
          <cell r="C80" t="str">
            <v>TRADIA</v>
          </cell>
          <cell r="D80">
            <v>45328</v>
          </cell>
          <cell r="E80" t="str">
            <v>24P0106</v>
          </cell>
          <cell r="F80" t="str">
            <v>I000012472</v>
          </cell>
          <cell r="G80">
            <v>0</v>
          </cell>
          <cell r="H80" t="str">
            <v>41288569000</v>
          </cell>
          <cell r="I80">
            <v>347101.98</v>
          </cell>
          <cell r="J80">
            <v>347101.98</v>
          </cell>
          <cell r="K80">
            <v>46.97</v>
          </cell>
          <cell r="L80" t="str">
            <v>TXGU7361575</v>
          </cell>
          <cell r="N80" t="str">
            <v>40HQ</v>
          </cell>
          <cell r="O80">
            <v>2</v>
          </cell>
          <cell r="P80">
            <v>45329</v>
          </cell>
          <cell r="Q80">
            <v>45344</v>
          </cell>
          <cell r="R80" t="str">
            <v>木</v>
          </cell>
          <cell r="S80" t="str">
            <v>AM9:30</v>
          </cell>
        </row>
        <row r="81">
          <cell r="A81">
            <v>8222</v>
          </cell>
          <cell r="B81" t="str">
            <v>川瀬 有里</v>
          </cell>
          <cell r="C81" t="str">
            <v>KONOIKE</v>
          </cell>
          <cell r="D81">
            <v>45336</v>
          </cell>
          <cell r="E81" t="str">
            <v>24T0202</v>
          </cell>
          <cell r="F81" t="str">
            <v>I000012487</v>
          </cell>
          <cell r="G81">
            <v>0</v>
          </cell>
          <cell r="H81" t="str">
            <v>11586610811</v>
          </cell>
          <cell r="I81">
            <v>769600.68</v>
          </cell>
          <cell r="J81">
            <v>769600.68</v>
          </cell>
          <cell r="K81">
            <v>62.69</v>
          </cell>
          <cell r="L81" t="str">
            <v>WHSU5661170</v>
          </cell>
          <cell r="M81">
            <v>4</v>
          </cell>
          <cell r="N81" t="str">
            <v>40HQ</v>
          </cell>
          <cell r="O81">
            <v>2</v>
          </cell>
          <cell r="P81">
            <v>45337</v>
          </cell>
          <cell r="Q81">
            <v>45341</v>
          </cell>
          <cell r="R81" t="str">
            <v>月</v>
          </cell>
          <cell r="S81" t="str">
            <v>AM8:00</v>
          </cell>
        </row>
        <row r="82">
          <cell r="A82">
            <v>8223</v>
          </cell>
          <cell r="B82" t="str">
            <v>川瀬 有里</v>
          </cell>
          <cell r="C82" t="str">
            <v>TRADIA</v>
          </cell>
          <cell r="D82">
            <v>45344</v>
          </cell>
          <cell r="E82" t="str">
            <v>24K0258</v>
          </cell>
          <cell r="F82" t="str">
            <v>I000012503</v>
          </cell>
          <cell r="G82">
            <v>0</v>
          </cell>
          <cell r="H82" t="str">
            <v>40193185860</v>
          </cell>
          <cell r="I82">
            <v>20406.2</v>
          </cell>
          <cell r="J82">
            <v>20406.2</v>
          </cell>
          <cell r="K82">
            <v>0.2</v>
          </cell>
          <cell r="M82">
            <v>3</v>
          </cell>
          <cell r="N82" t="str">
            <v>AIR</v>
          </cell>
          <cell r="O82">
            <v>2</v>
          </cell>
          <cell r="Q82">
            <v>45348</v>
          </cell>
          <cell r="R82" t="str">
            <v>月</v>
          </cell>
          <cell r="S82" t="str">
            <v>AM8:30</v>
          </cell>
        </row>
        <row r="83">
          <cell r="A83">
            <v>8224</v>
          </cell>
          <cell r="B83" t="str">
            <v>川瀬 有里</v>
          </cell>
          <cell r="C83" t="str">
            <v>KONOIKE</v>
          </cell>
          <cell r="D83">
            <v>45348</v>
          </cell>
          <cell r="E83" t="str">
            <v>24T0201</v>
          </cell>
          <cell r="F83" t="str">
            <v>I000012489</v>
          </cell>
          <cell r="G83">
            <v>0</v>
          </cell>
          <cell r="H83" t="str">
            <v>41292927530</v>
          </cell>
          <cell r="I83">
            <v>752830.21</v>
          </cell>
          <cell r="J83">
            <v>752830.21</v>
          </cell>
          <cell r="K83">
            <v>63.89</v>
          </cell>
          <cell r="L83" t="str">
            <v>WHSU6823548</v>
          </cell>
          <cell r="M83">
            <v>4</v>
          </cell>
          <cell r="N83" t="str">
            <v>40HQ</v>
          </cell>
          <cell r="O83">
            <v>2</v>
          </cell>
          <cell r="P83">
            <v>45344</v>
          </cell>
          <cell r="Q83">
            <v>45350</v>
          </cell>
          <cell r="R83" t="str">
            <v>水</v>
          </cell>
          <cell r="S83" t="str">
            <v>AM8:00</v>
          </cell>
        </row>
        <row r="84">
          <cell r="A84">
            <v>8225</v>
          </cell>
          <cell r="B84" t="str">
            <v>川瀬 有里</v>
          </cell>
          <cell r="C84" t="str">
            <v>KONOIKE</v>
          </cell>
          <cell r="D84">
            <v>45348</v>
          </cell>
          <cell r="E84" t="str">
            <v>24T0203</v>
          </cell>
          <cell r="F84" t="str">
            <v>I000012496</v>
          </cell>
          <cell r="G84">
            <v>0</v>
          </cell>
          <cell r="H84" t="str">
            <v>41292927530</v>
          </cell>
          <cell r="I84">
            <v>711856.7</v>
          </cell>
          <cell r="J84">
            <v>711856.7</v>
          </cell>
          <cell r="K84">
            <v>61.38</v>
          </cell>
          <cell r="L84" t="str">
            <v>WHSU6077388</v>
          </cell>
          <cell r="M84">
            <v>4</v>
          </cell>
          <cell r="N84" t="str">
            <v>40HQ</v>
          </cell>
          <cell r="O84">
            <v>2</v>
          </cell>
          <cell r="P84">
            <v>45344</v>
          </cell>
          <cell r="Q84">
            <v>45350</v>
          </cell>
          <cell r="R84" t="str">
            <v>水</v>
          </cell>
          <cell r="S84" t="str">
            <v>AM8:00</v>
          </cell>
        </row>
        <row r="85">
          <cell r="A85">
            <v>8226</v>
          </cell>
          <cell r="B85" t="str">
            <v>川瀬 有里</v>
          </cell>
          <cell r="C85" t="str">
            <v>KONOIKE</v>
          </cell>
          <cell r="D85">
            <v>45348</v>
          </cell>
          <cell r="E85" t="str">
            <v>24T0205</v>
          </cell>
          <cell r="F85" t="str">
            <v>I000012502</v>
          </cell>
          <cell r="G85">
            <v>0</v>
          </cell>
          <cell r="H85" t="str">
            <v>41292927530</v>
          </cell>
          <cell r="I85">
            <v>692190.3</v>
          </cell>
          <cell r="J85">
            <v>692190.3</v>
          </cell>
          <cell r="K85">
            <v>59.78</v>
          </cell>
          <cell r="L85" t="str">
            <v>WHSU6907980</v>
          </cell>
          <cell r="M85">
            <v>4</v>
          </cell>
          <cell r="N85" t="str">
            <v>40HQ</v>
          </cell>
          <cell r="O85">
            <v>2</v>
          </cell>
          <cell r="P85">
            <v>45344</v>
          </cell>
          <cell r="Q85">
            <v>45350</v>
          </cell>
          <cell r="R85" t="str">
            <v>水</v>
          </cell>
          <cell r="S85" t="str">
            <v>AM8:00</v>
          </cell>
        </row>
        <row r="86">
          <cell r="A86">
            <v>8227</v>
          </cell>
          <cell r="B86" t="str">
            <v>川瀬 有里</v>
          </cell>
          <cell r="C86" t="str">
            <v>TRADIA</v>
          </cell>
          <cell r="D86">
            <v>45348</v>
          </cell>
          <cell r="E86" t="str">
            <v>24K0256</v>
          </cell>
          <cell r="F86" t="str">
            <v>I000012491</v>
          </cell>
          <cell r="G86">
            <v>0</v>
          </cell>
          <cell r="H86" t="str">
            <v>40171620150</v>
          </cell>
          <cell r="I86">
            <v>23168</v>
          </cell>
          <cell r="J86">
            <v>23168</v>
          </cell>
          <cell r="K86">
            <v>1.27</v>
          </cell>
          <cell r="M86">
            <v>3</v>
          </cell>
          <cell r="N86" t="str">
            <v>AIR</v>
          </cell>
          <cell r="O86">
            <v>1</v>
          </cell>
          <cell r="P86">
            <v>45343</v>
          </cell>
          <cell r="Q86">
            <v>45344</v>
          </cell>
          <cell r="R86" t="str">
            <v>木</v>
          </cell>
          <cell r="S86" t="str">
            <v>AM8:30</v>
          </cell>
        </row>
        <row r="87">
          <cell r="A87">
            <v>8228</v>
          </cell>
          <cell r="B87" t="str">
            <v>川瀬 有里</v>
          </cell>
          <cell r="C87" t="str">
            <v>TRADIA</v>
          </cell>
          <cell r="D87">
            <v>45348</v>
          </cell>
          <cell r="E87" t="str">
            <v>24K0203</v>
          </cell>
          <cell r="F87" t="str">
            <v>I000012490</v>
          </cell>
          <cell r="G87">
            <v>0</v>
          </cell>
          <cell r="H87" t="str">
            <v>41292024310</v>
          </cell>
          <cell r="I87">
            <v>311910.36</v>
          </cell>
          <cell r="J87">
            <v>311910.36</v>
          </cell>
          <cell r="K87">
            <v>28.14</v>
          </cell>
          <cell r="L87" t="str">
            <v>WHSU0214061</v>
          </cell>
          <cell r="M87">
            <v>4</v>
          </cell>
          <cell r="N87" t="str">
            <v>40HQ</v>
          </cell>
          <cell r="O87">
            <v>2</v>
          </cell>
          <cell r="P87">
            <v>45348</v>
          </cell>
          <cell r="Q87">
            <v>45350</v>
          </cell>
          <cell r="R87" t="str">
            <v>水</v>
          </cell>
          <cell r="S87" t="str">
            <v>AM8:30</v>
          </cell>
        </row>
        <row r="88">
          <cell r="A88">
            <v>8229</v>
          </cell>
          <cell r="B88" t="str">
            <v>川瀬 有里</v>
          </cell>
          <cell r="C88" t="str">
            <v>TRADIA</v>
          </cell>
          <cell r="D88">
            <v>45348</v>
          </cell>
          <cell r="E88" t="str">
            <v>24K0204</v>
          </cell>
          <cell r="F88" t="str">
            <v>I000012500</v>
          </cell>
          <cell r="G88">
            <v>0</v>
          </cell>
          <cell r="H88" t="str">
            <v>41293318720</v>
          </cell>
          <cell r="I88">
            <v>499168.36</v>
          </cell>
          <cell r="J88">
            <v>499168.36</v>
          </cell>
          <cell r="K88">
            <v>29.6</v>
          </cell>
          <cell r="L88" t="str">
            <v>EMCU6138988</v>
          </cell>
          <cell r="M88">
            <v>4</v>
          </cell>
          <cell r="N88" t="str">
            <v>40HQ</v>
          </cell>
          <cell r="O88">
            <v>2</v>
          </cell>
          <cell r="P88">
            <v>45353</v>
          </cell>
          <cell r="Q88">
            <v>45357</v>
          </cell>
          <cell r="R88" t="str">
            <v>水</v>
          </cell>
          <cell r="S88" t="str">
            <v>AM8:30</v>
          </cell>
        </row>
        <row r="89">
          <cell r="A89">
            <v>8230</v>
          </cell>
          <cell r="B89" t="str">
            <v>川瀬 有里</v>
          </cell>
          <cell r="C89" t="str">
            <v>TRADIA</v>
          </cell>
          <cell r="D89">
            <v>45348</v>
          </cell>
          <cell r="E89" t="str">
            <v>24K0205</v>
          </cell>
          <cell r="F89" t="str">
            <v>I000012505</v>
          </cell>
          <cell r="G89">
            <v>0</v>
          </cell>
          <cell r="H89" t="str">
            <v>41293318720</v>
          </cell>
          <cell r="I89">
            <v>354851.88</v>
          </cell>
          <cell r="J89">
            <v>354851.88</v>
          </cell>
          <cell r="K89">
            <v>27.44</v>
          </cell>
          <cell r="L89" t="str">
            <v>EGSU3070693</v>
          </cell>
          <cell r="M89">
            <v>4</v>
          </cell>
          <cell r="N89" t="str">
            <v>40HQ</v>
          </cell>
          <cell r="O89">
            <v>2</v>
          </cell>
          <cell r="P89">
            <v>45355</v>
          </cell>
          <cell r="Q89">
            <v>45357</v>
          </cell>
          <cell r="R89" t="str">
            <v>水</v>
          </cell>
          <cell r="S89" t="str">
            <v>AM8:30</v>
          </cell>
        </row>
        <row r="90">
          <cell r="A90">
            <v>8231</v>
          </cell>
          <cell r="B90" t="str">
            <v>川瀬 有里</v>
          </cell>
          <cell r="C90" t="str">
            <v>TRADIA</v>
          </cell>
          <cell r="D90">
            <v>45348</v>
          </cell>
          <cell r="E90" t="str">
            <v>24K0206</v>
          </cell>
          <cell r="F90" t="str">
            <v>I000012512</v>
          </cell>
          <cell r="G90">
            <v>0</v>
          </cell>
          <cell r="H90" t="str">
            <v>41295435960</v>
          </cell>
          <cell r="I90">
            <v>184681.44</v>
          </cell>
          <cell r="J90">
            <v>184681.44</v>
          </cell>
          <cell r="K90">
            <v>27.84</v>
          </cell>
          <cell r="L90" t="str">
            <v>WHSU2743676</v>
          </cell>
          <cell r="M90">
            <v>4</v>
          </cell>
          <cell r="N90" t="str">
            <v>40HQ</v>
          </cell>
          <cell r="O90">
            <v>2</v>
          </cell>
          <cell r="P90">
            <v>45328</v>
          </cell>
          <cell r="Q90">
            <v>45330</v>
          </cell>
          <cell r="R90" t="str">
            <v>水</v>
          </cell>
          <cell r="S90" t="str">
            <v>AM8:30</v>
          </cell>
        </row>
        <row r="91">
          <cell r="A91">
            <v>8232</v>
          </cell>
          <cell r="B91" t="str">
            <v>川瀬 有里</v>
          </cell>
          <cell r="C91" t="str">
            <v>TRADIA</v>
          </cell>
          <cell r="D91">
            <v>45348</v>
          </cell>
          <cell r="E91" t="str">
            <v>24K0207</v>
          </cell>
          <cell r="F91" t="str">
            <v>I000012516</v>
          </cell>
          <cell r="G91">
            <v>0</v>
          </cell>
          <cell r="H91" t="str">
            <v>41295435960</v>
          </cell>
          <cell r="I91">
            <v>308765.52</v>
          </cell>
          <cell r="J91">
            <v>308765.52</v>
          </cell>
          <cell r="K91">
            <v>28.12</v>
          </cell>
          <cell r="L91" t="str">
            <v>WHSU0118772</v>
          </cell>
          <cell r="M91">
            <v>4</v>
          </cell>
          <cell r="N91" t="str">
            <v>40HQ</v>
          </cell>
          <cell r="O91">
            <v>2</v>
          </cell>
          <cell r="P91">
            <v>45328</v>
          </cell>
          <cell r="Q91">
            <v>45330</v>
          </cell>
          <cell r="R91" t="str">
            <v>水</v>
          </cell>
          <cell r="S91" t="str">
            <v>AM8:30</v>
          </cell>
        </row>
        <row r="92">
          <cell r="A92">
            <v>8233</v>
          </cell>
          <cell r="B92" t="str">
            <v>川瀬 有里</v>
          </cell>
          <cell r="C92" t="str">
            <v>TRADIA</v>
          </cell>
          <cell r="D92">
            <v>45349</v>
          </cell>
          <cell r="E92" t="str">
            <v>24P0201</v>
          </cell>
          <cell r="F92" t="str">
            <v>I000012492</v>
          </cell>
          <cell r="G92">
            <v>0</v>
          </cell>
          <cell r="H92" t="str">
            <v>21539594520</v>
          </cell>
          <cell r="I92">
            <v>563646.71999999997</v>
          </cell>
          <cell r="J92">
            <v>563646.71999999997</v>
          </cell>
          <cell r="K92">
            <v>63.46</v>
          </cell>
          <cell r="L92" t="str">
            <v>WHSU6876430</v>
          </cell>
          <cell r="M92">
            <v>11</v>
          </cell>
          <cell r="N92" t="str">
            <v>40HQ</v>
          </cell>
          <cell r="O92">
            <v>4</v>
          </cell>
          <cell r="P92">
            <v>45353</v>
          </cell>
          <cell r="Q92">
            <v>45362</v>
          </cell>
          <cell r="R92" t="str">
            <v>月</v>
          </cell>
          <cell r="S92" t="str">
            <v>AM7:30</v>
          </cell>
        </row>
        <row r="93">
          <cell r="A93">
            <v>8234</v>
          </cell>
          <cell r="B93" t="str">
            <v>川瀬 有里</v>
          </cell>
          <cell r="C93" t="str">
            <v>TRADIA</v>
          </cell>
          <cell r="D93">
            <v>45349</v>
          </cell>
          <cell r="E93" t="str">
            <v>24P0202</v>
          </cell>
          <cell r="F93" t="str">
            <v>I000012508</v>
          </cell>
          <cell r="G93">
            <v>0</v>
          </cell>
          <cell r="H93" t="str">
            <v>41293317100</v>
          </cell>
          <cell r="I93">
            <v>517786.8</v>
          </cell>
          <cell r="J93">
            <v>517786.8</v>
          </cell>
          <cell r="K93">
            <v>63.93</v>
          </cell>
          <cell r="L93" t="str">
            <v>WHSU6942721</v>
          </cell>
          <cell r="N93" t="str">
            <v>40HQ</v>
          </cell>
          <cell r="O93">
            <v>2</v>
          </cell>
          <cell r="P93">
            <v>45355</v>
          </cell>
          <cell r="Q93">
            <v>45358</v>
          </cell>
          <cell r="R93" t="str">
            <v>木</v>
          </cell>
          <cell r="S93" t="str">
            <v>AM9:30</v>
          </cell>
        </row>
        <row r="94">
          <cell r="A94">
            <v>8235</v>
          </cell>
          <cell r="B94" t="str">
            <v>川瀬 有里</v>
          </cell>
          <cell r="C94" t="str">
            <v>TRADIA</v>
          </cell>
          <cell r="D94">
            <v>45351</v>
          </cell>
          <cell r="E94" t="str">
            <v>24K0208</v>
          </cell>
          <cell r="F94" t="str">
            <v>I000012523</v>
          </cell>
          <cell r="G94">
            <v>0</v>
          </cell>
          <cell r="H94" t="str">
            <v>41297707020</v>
          </cell>
          <cell r="I94">
            <v>376662.94</v>
          </cell>
          <cell r="J94">
            <v>376662.94</v>
          </cell>
          <cell r="K94">
            <v>29.66</v>
          </cell>
          <cell r="L94" t="str">
            <v>TSSU2050176</v>
          </cell>
          <cell r="M94">
            <v>3</v>
          </cell>
          <cell r="N94" t="str">
            <v>20’</v>
          </cell>
          <cell r="O94">
            <v>1</v>
          </cell>
          <cell r="P94">
            <v>45360</v>
          </cell>
          <cell r="Q94">
            <v>45362</v>
          </cell>
          <cell r="R94" t="str">
            <v>月</v>
          </cell>
          <cell r="S94" t="str">
            <v>AM8:30</v>
          </cell>
        </row>
        <row r="95">
          <cell r="A95">
            <v>8236</v>
          </cell>
          <cell r="B95" t="str">
            <v>川瀬 有里</v>
          </cell>
          <cell r="C95" t="str">
            <v>TRADIA</v>
          </cell>
          <cell r="D95">
            <v>45351</v>
          </cell>
          <cell r="E95" t="str">
            <v>24T0250</v>
          </cell>
          <cell r="F95" t="str">
            <v>I000012510</v>
          </cell>
          <cell r="G95">
            <v>0</v>
          </cell>
          <cell r="H95" t="str">
            <v>40196509940</v>
          </cell>
          <cell r="I95">
            <v>2736</v>
          </cell>
          <cell r="J95">
            <v>2736</v>
          </cell>
          <cell r="K95">
            <v>0.23</v>
          </cell>
          <cell r="M95">
            <v>4</v>
          </cell>
          <cell r="N95" t="str">
            <v>AIR</v>
          </cell>
          <cell r="O95">
            <v>2</v>
          </cell>
          <cell r="Q95">
            <v>45349</v>
          </cell>
          <cell r="R95" t="str">
            <v>火</v>
          </cell>
          <cell r="S95" t="str">
            <v>AM8:00</v>
          </cell>
        </row>
        <row r="96">
          <cell r="A96">
            <v>8237</v>
          </cell>
          <cell r="B96" t="str">
            <v>川瀬 有里</v>
          </cell>
          <cell r="C96" t="str">
            <v>KONOIKE</v>
          </cell>
          <cell r="D96">
            <v>45351</v>
          </cell>
          <cell r="E96" t="str">
            <v>24T0204</v>
          </cell>
          <cell r="F96" t="str">
            <v>I000012509</v>
          </cell>
          <cell r="G96">
            <v>0</v>
          </cell>
          <cell r="H96" t="str">
            <v>11592214860</v>
          </cell>
          <cell r="I96">
            <v>598679.52</v>
          </cell>
          <cell r="J96">
            <v>598679.52</v>
          </cell>
          <cell r="K96">
            <v>63.46</v>
          </cell>
          <cell r="L96" t="str">
            <v>WHSU6079246</v>
          </cell>
          <cell r="M96">
            <v>4</v>
          </cell>
          <cell r="N96" t="str">
            <v>40HQ</v>
          </cell>
          <cell r="O96">
            <v>5</v>
          </cell>
          <cell r="P96">
            <v>45356</v>
          </cell>
          <cell r="Q96">
            <v>45358</v>
          </cell>
          <cell r="R96" t="str">
            <v>木</v>
          </cell>
          <cell r="S96" t="str">
            <v>AM8:00</v>
          </cell>
        </row>
        <row r="97">
          <cell r="A97">
            <v>8238</v>
          </cell>
          <cell r="B97" t="str">
            <v>川瀬 有里</v>
          </cell>
          <cell r="C97" t="str">
            <v>KONOIKE</v>
          </cell>
          <cell r="D97">
            <v>45351</v>
          </cell>
          <cell r="E97" t="str">
            <v>24T0206</v>
          </cell>
          <cell r="F97" t="str">
            <v>I000012514</v>
          </cell>
          <cell r="G97">
            <v>0</v>
          </cell>
          <cell r="H97" t="str">
            <v>41295518230</v>
          </cell>
          <cell r="I97">
            <v>710142.95</v>
          </cell>
          <cell r="J97">
            <v>710142.95</v>
          </cell>
          <cell r="K97">
            <v>63.79</v>
          </cell>
          <cell r="L97" t="str">
            <v>WHSU6797984</v>
          </cell>
          <cell r="M97">
            <v>4</v>
          </cell>
          <cell r="N97" t="str">
            <v>40HQ</v>
          </cell>
          <cell r="O97">
            <v>2</v>
          </cell>
          <cell r="P97">
            <v>45357</v>
          </cell>
          <cell r="Q97">
            <v>45359</v>
          </cell>
          <cell r="R97" t="str">
            <v>金</v>
          </cell>
          <cell r="S97" t="str">
            <v>AM8:00</v>
          </cell>
        </row>
        <row r="98">
          <cell r="A98">
            <v>8239</v>
          </cell>
          <cell r="B98" t="str">
            <v>川瀬 有里</v>
          </cell>
          <cell r="C98" t="str">
            <v>KONOIKE</v>
          </cell>
          <cell r="D98">
            <v>45351</v>
          </cell>
          <cell r="E98" t="str">
            <v>24T0208</v>
          </cell>
          <cell r="F98" t="str">
            <v>I000012526</v>
          </cell>
          <cell r="G98">
            <v>0</v>
          </cell>
          <cell r="H98" t="str">
            <v>41295518230</v>
          </cell>
          <cell r="I98">
            <v>738293.7</v>
          </cell>
          <cell r="J98">
            <v>738293.7</v>
          </cell>
          <cell r="K98">
            <v>60.59</v>
          </cell>
          <cell r="L98" t="str">
            <v>WHSU6088844</v>
          </cell>
          <cell r="M98">
            <v>4</v>
          </cell>
          <cell r="N98" t="str">
            <v>40HQ</v>
          </cell>
          <cell r="O98">
            <v>2</v>
          </cell>
          <cell r="P98">
            <v>45357</v>
          </cell>
          <cell r="Q98">
            <v>45359</v>
          </cell>
          <cell r="R98" t="str">
            <v>金</v>
          </cell>
          <cell r="S98" t="str">
            <v>AM8:00</v>
          </cell>
        </row>
        <row r="99">
          <cell r="A99">
            <v>8240</v>
          </cell>
          <cell r="B99" t="str">
            <v>川瀬 有里</v>
          </cell>
          <cell r="C99" t="str">
            <v>TRADIA</v>
          </cell>
          <cell r="D99">
            <v>45350</v>
          </cell>
          <cell r="E99" t="str">
            <v>24K0209</v>
          </cell>
          <cell r="F99" t="str">
            <v>I000012530</v>
          </cell>
          <cell r="G99">
            <v>0</v>
          </cell>
          <cell r="H99" t="str">
            <v>41296084530</v>
          </cell>
          <cell r="I99">
            <v>439376.28</v>
          </cell>
          <cell r="J99">
            <v>439376.28</v>
          </cell>
          <cell r="K99">
            <v>29.21</v>
          </cell>
          <cell r="L99" t="str">
            <v>GAOU2414839</v>
          </cell>
          <cell r="M99">
            <v>3</v>
          </cell>
          <cell r="N99" t="str">
            <v>20’</v>
          </cell>
          <cell r="O99">
            <v>1</v>
          </cell>
          <cell r="P99">
            <v>45360</v>
          </cell>
          <cell r="Q99">
            <v>45362</v>
          </cell>
          <cell r="R99" t="str">
            <v>月</v>
          </cell>
          <cell r="S99" t="str">
            <v>AM8:30</v>
          </cell>
        </row>
        <row r="100">
          <cell r="A100">
            <v>8241</v>
          </cell>
          <cell r="B100" t="str">
            <v>川瀬 有里</v>
          </cell>
          <cell r="C100" t="str">
            <v>TRADIA</v>
          </cell>
          <cell r="D100">
            <v>45350</v>
          </cell>
          <cell r="E100" t="str">
            <v>24K0210</v>
          </cell>
          <cell r="F100" t="str">
            <v>I000012531</v>
          </cell>
          <cell r="G100">
            <v>0</v>
          </cell>
          <cell r="H100" t="str">
            <v>41296084530</v>
          </cell>
          <cell r="I100">
            <v>438957.6</v>
          </cell>
          <cell r="J100">
            <v>438957.6</v>
          </cell>
          <cell r="K100">
            <v>27.07</v>
          </cell>
          <cell r="L100" t="str">
            <v>MAGU2281853</v>
          </cell>
          <cell r="M100">
            <v>3</v>
          </cell>
          <cell r="N100" t="str">
            <v>20’</v>
          </cell>
          <cell r="O100">
            <v>1</v>
          </cell>
          <cell r="P100">
            <v>45360</v>
          </cell>
          <cell r="Q100">
            <v>45362</v>
          </cell>
          <cell r="R100" t="str">
            <v>月</v>
          </cell>
          <cell r="S100" t="str">
            <v>AM8:30</v>
          </cell>
        </row>
        <row r="101">
          <cell r="A101">
            <v>8242</v>
          </cell>
          <cell r="B101" t="str">
            <v>川瀬 有里</v>
          </cell>
          <cell r="C101" t="str">
            <v>TRADIA</v>
          </cell>
          <cell r="D101">
            <v>45350</v>
          </cell>
          <cell r="E101" t="str">
            <v>24K0211</v>
          </cell>
          <cell r="F101" t="str">
            <v>I000012540</v>
          </cell>
          <cell r="G101">
            <v>0</v>
          </cell>
          <cell r="H101" t="str">
            <v>41296084530</v>
          </cell>
          <cell r="I101">
            <v>343001.81</v>
          </cell>
          <cell r="J101">
            <v>343001.81</v>
          </cell>
          <cell r="K101">
            <v>27.95</v>
          </cell>
          <cell r="L101" t="str">
            <v>TCLU3636273</v>
          </cell>
          <cell r="M101">
            <v>3</v>
          </cell>
          <cell r="N101" t="str">
            <v>20’</v>
          </cell>
          <cell r="O101">
            <v>1</v>
          </cell>
          <cell r="P101">
            <v>45360</v>
          </cell>
          <cell r="Q101">
            <v>45362</v>
          </cell>
          <cell r="R101" t="str">
            <v>月</v>
          </cell>
          <cell r="S101" t="str">
            <v>AM8:30</v>
          </cell>
        </row>
        <row r="102">
          <cell r="A102">
            <v>8243</v>
          </cell>
          <cell r="B102" t="str">
            <v>川瀬 有里</v>
          </cell>
          <cell r="C102" t="str">
            <v>TRADIA</v>
          </cell>
          <cell r="D102">
            <v>45355</v>
          </cell>
          <cell r="E102" t="str">
            <v>24P0203</v>
          </cell>
          <cell r="F102" t="str">
            <v>I000012527</v>
          </cell>
          <cell r="G102">
            <v>0</v>
          </cell>
          <cell r="H102" t="str">
            <v>41298792350</v>
          </cell>
          <cell r="I102">
            <v>510895.62</v>
          </cell>
          <cell r="J102">
            <v>510895.62</v>
          </cell>
          <cell r="K102">
            <v>66.27</v>
          </cell>
          <cell r="L102" t="str">
            <v>GAOU6741758</v>
          </cell>
          <cell r="N102" t="str">
            <v>40HQ</v>
          </cell>
          <cell r="O102">
            <v>2</v>
          </cell>
          <cell r="P102">
            <v>45357</v>
          </cell>
          <cell r="Q102">
            <v>45366</v>
          </cell>
          <cell r="R102" t="str">
            <v>金</v>
          </cell>
          <cell r="S102" t="str">
            <v>AM8:30</v>
          </cell>
        </row>
        <row r="103">
          <cell r="A103">
            <v>8244</v>
          </cell>
          <cell r="B103" t="str">
            <v>川瀬 有里</v>
          </cell>
          <cell r="C103" t="str">
            <v>TRADIA</v>
          </cell>
          <cell r="D103">
            <v>45355</v>
          </cell>
          <cell r="E103" t="str">
            <v>24P0204</v>
          </cell>
          <cell r="F103" t="str">
            <v>I000012539</v>
          </cell>
          <cell r="G103">
            <v>0</v>
          </cell>
          <cell r="H103" t="str">
            <v>21540185650</v>
          </cell>
          <cell r="I103">
            <v>486200.94</v>
          </cell>
          <cell r="J103">
            <v>486200.94</v>
          </cell>
          <cell r="K103">
            <v>64.92</v>
          </cell>
          <cell r="L103" t="str">
            <v>WHSU6274258</v>
          </cell>
          <cell r="M103">
            <v>11</v>
          </cell>
          <cell r="N103" t="str">
            <v>40HQ</v>
          </cell>
          <cell r="O103">
            <v>4</v>
          </cell>
          <cell r="P103">
            <v>45363</v>
          </cell>
          <cell r="Q103">
            <v>45366</v>
          </cell>
          <cell r="R103" t="str">
            <v>金</v>
          </cell>
          <cell r="S103" t="str">
            <v>AM7:30</v>
          </cell>
        </row>
        <row r="104">
          <cell r="A104">
            <v>8245</v>
          </cell>
          <cell r="B104" t="str">
            <v>川瀬 有里</v>
          </cell>
          <cell r="C104" t="str">
            <v>TRADIA</v>
          </cell>
          <cell r="D104">
            <v>45355</v>
          </cell>
          <cell r="E104" t="str">
            <v>24P0250</v>
          </cell>
          <cell r="F104" t="str">
            <v>K168/24</v>
          </cell>
          <cell r="G104">
            <v>0</v>
          </cell>
          <cell r="H104" t="str">
            <v>41298863310</v>
          </cell>
          <cell r="I104">
            <v>15585</v>
          </cell>
          <cell r="J104">
            <v>15585</v>
          </cell>
          <cell r="K104">
            <v>0.33</v>
          </cell>
          <cell r="N104" t="str">
            <v>CFS</v>
          </cell>
          <cell r="O104">
            <v>2</v>
          </cell>
          <cell r="P104">
            <v>45358</v>
          </cell>
          <cell r="Q104">
            <v>45376</v>
          </cell>
          <cell r="R104" t="str">
            <v>月</v>
          </cell>
          <cell r="S104" t="str">
            <v>AM</v>
          </cell>
        </row>
        <row r="105">
          <cell r="A105">
            <v>8247</v>
          </cell>
          <cell r="B105" t="str">
            <v>川瀬 有里</v>
          </cell>
          <cell r="C105" t="str">
            <v>KONOIKE</v>
          </cell>
          <cell r="D105">
            <v>45356</v>
          </cell>
          <cell r="E105" t="str">
            <v>24T0207</v>
          </cell>
          <cell r="F105" t="str">
            <v>I000012541</v>
          </cell>
          <cell r="G105">
            <v>0</v>
          </cell>
          <cell r="H105" t="str">
            <v>11595407450</v>
          </cell>
          <cell r="I105">
            <v>648456.80000000005</v>
          </cell>
          <cell r="J105">
            <v>648456.80000000005</v>
          </cell>
          <cell r="K105">
            <v>55.52</v>
          </cell>
          <cell r="L105" t="str">
            <v>WHSU6406293</v>
          </cell>
          <cell r="M105">
            <v>4</v>
          </cell>
          <cell r="N105" t="str">
            <v>40HQ</v>
          </cell>
          <cell r="O105">
            <v>5</v>
          </cell>
          <cell r="P105">
            <v>45362</v>
          </cell>
          <cell r="Q105">
            <v>45364</v>
          </cell>
          <cell r="R105" t="str">
            <v>水</v>
          </cell>
          <cell r="S105" t="str">
            <v>AM8:00</v>
          </cell>
        </row>
        <row r="106">
          <cell r="A106">
            <v>8248</v>
          </cell>
          <cell r="B106" t="str">
            <v>川瀬 有里</v>
          </cell>
          <cell r="C106" t="str">
            <v>KONOIKE</v>
          </cell>
          <cell r="D106">
            <v>45356</v>
          </cell>
          <cell r="E106" t="str">
            <v>24T0301-1</v>
          </cell>
          <cell r="F106" t="str">
            <v>I000012545</v>
          </cell>
          <cell r="G106">
            <v>0</v>
          </cell>
          <cell r="H106" t="str">
            <v>41296082100</v>
          </cell>
          <cell r="I106">
            <v>557810.24</v>
          </cell>
          <cell r="J106">
            <v>557810.24</v>
          </cell>
          <cell r="K106">
            <v>62.73</v>
          </cell>
          <cell r="L106" t="str">
            <v>WHSU6558383</v>
          </cell>
          <cell r="M106">
            <v>4</v>
          </cell>
          <cell r="N106" t="str">
            <v>40HQ</v>
          </cell>
          <cell r="O106">
            <v>2</v>
          </cell>
          <cell r="P106">
            <v>45362</v>
          </cell>
          <cell r="Q106">
            <v>45364</v>
          </cell>
          <cell r="R106" t="str">
            <v>水</v>
          </cell>
          <cell r="S106" t="str">
            <v>AM8:00</v>
          </cell>
        </row>
        <row r="107">
          <cell r="A107">
            <v>8249</v>
          </cell>
          <cell r="B107" t="str">
            <v>川瀬 有里</v>
          </cell>
          <cell r="C107" t="str">
            <v>TRADIA</v>
          </cell>
          <cell r="D107">
            <v>45353</v>
          </cell>
          <cell r="E107" t="str">
            <v>24K0302</v>
          </cell>
          <cell r="F107" t="str">
            <v>I000012547</v>
          </cell>
          <cell r="G107">
            <v>0</v>
          </cell>
          <cell r="H107" t="str">
            <v>41296503350</v>
          </cell>
          <cell r="I107">
            <v>369185.58</v>
          </cell>
          <cell r="J107">
            <v>369185.58</v>
          </cell>
          <cell r="K107">
            <v>25.9</v>
          </cell>
          <cell r="L107" t="str">
            <v>WHSU0249664</v>
          </cell>
          <cell r="M107">
            <v>3</v>
          </cell>
          <cell r="N107" t="str">
            <v>20’</v>
          </cell>
          <cell r="O107">
            <v>1</v>
          </cell>
          <cell r="P107">
            <v>45362</v>
          </cell>
          <cell r="Q107">
            <v>45364</v>
          </cell>
          <cell r="R107" t="str">
            <v>水</v>
          </cell>
          <cell r="S107" t="str">
            <v>AM8:30</v>
          </cell>
        </row>
        <row r="108">
          <cell r="A108">
            <v>8250</v>
          </cell>
          <cell r="B108" t="str">
            <v>川瀬 有里</v>
          </cell>
          <cell r="C108" t="str">
            <v>TRADIA</v>
          </cell>
          <cell r="D108">
            <v>45353</v>
          </cell>
          <cell r="E108" t="str">
            <v>24K0301</v>
          </cell>
          <cell r="F108" t="str">
            <v>I000012543</v>
          </cell>
          <cell r="G108">
            <v>0</v>
          </cell>
          <cell r="H108" t="str">
            <v>41296503350</v>
          </cell>
          <cell r="I108">
            <v>306502.09999999998</v>
          </cell>
          <cell r="J108">
            <v>306502.09999999998</v>
          </cell>
          <cell r="K108">
            <v>23.73</v>
          </cell>
          <cell r="L108" t="str">
            <v>WHSU0275283</v>
          </cell>
          <cell r="M108">
            <v>3</v>
          </cell>
          <cell r="N108" t="str">
            <v>20’</v>
          </cell>
          <cell r="O108">
            <v>1</v>
          </cell>
          <cell r="P108">
            <v>45362</v>
          </cell>
          <cell r="Q108">
            <v>45364</v>
          </cell>
          <cell r="R108" t="str">
            <v>水</v>
          </cell>
          <cell r="S108" t="str">
            <v>AM8:30</v>
          </cell>
        </row>
        <row r="109">
          <cell r="A109">
            <v>8251</v>
          </cell>
          <cell r="B109" t="str">
            <v>川瀬 有里</v>
          </cell>
          <cell r="C109" t="str">
            <v>TRADIA</v>
          </cell>
          <cell r="D109">
            <v>45353</v>
          </cell>
          <cell r="E109" t="str">
            <v>24K0303</v>
          </cell>
          <cell r="F109" t="str">
            <v>I000012550</v>
          </cell>
          <cell r="G109">
            <v>0</v>
          </cell>
          <cell r="H109" t="str">
            <v>41296503350</v>
          </cell>
          <cell r="I109">
            <v>389985.3</v>
          </cell>
          <cell r="J109">
            <v>389985.3</v>
          </cell>
          <cell r="K109">
            <v>28.06</v>
          </cell>
          <cell r="L109" t="str">
            <v>WHSU0267210</v>
          </cell>
          <cell r="M109">
            <v>3</v>
          </cell>
          <cell r="N109" t="str">
            <v>20’</v>
          </cell>
          <cell r="O109">
            <v>1</v>
          </cell>
          <cell r="P109">
            <v>45362</v>
          </cell>
          <cell r="Q109">
            <v>45364</v>
          </cell>
          <cell r="R109" t="str">
            <v>水</v>
          </cell>
          <cell r="S109" t="str">
            <v>AM8:30</v>
          </cell>
        </row>
        <row r="110">
          <cell r="A110">
            <v>8252</v>
          </cell>
          <cell r="B110" t="str">
            <v>川瀬 有里</v>
          </cell>
          <cell r="C110" t="str">
            <v>TRADIA</v>
          </cell>
          <cell r="D110">
            <v>45351</v>
          </cell>
          <cell r="E110" t="str">
            <v>24K0261-1</v>
          </cell>
          <cell r="F110" t="str">
            <v>I000012534</v>
          </cell>
          <cell r="G110">
            <v>0</v>
          </cell>
          <cell r="H110" t="str">
            <v>40220001130</v>
          </cell>
          <cell r="I110">
            <v>157054.07999999999</v>
          </cell>
          <cell r="J110">
            <v>157054.07999999999</v>
          </cell>
          <cell r="K110">
            <v>2.0699999999999998</v>
          </cell>
          <cell r="M110">
            <v>3</v>
          </cell>
          <cell r="N110" t="str">
            <v>AIR</v>
          </cell>
          <cell r="O110">
            <v>2</v>
          </cell>
          <cell r="Q110">
            <v>45350</v>
          </cell>
          <cell r="R110" t="str">
            <v>水</v>
          </cell>
          <cell r="S110" t="str">
            <v>AM8:30</v>
          </cell>
        </row>
        <row r="111">
          <cell r="A111">
            <v>8253</v>
          </cell>
          <cell r="B111" t="str">
            <v>川瀬 有里</v>
          </cell>
          <cell r="C111" t="str">
            <v>TRADIA</v>
          </cell>
          <cell r="D111">
            <v>45351</v>
          </cell>
          <cell r="E111" t="str">
            <v>24K0261-2</v>
          </cell>
          <cell r="F111" t="str">
            <v>24K0261</v>
          </cell>
          <cell r="G111">
            <v>0</v>
          </cell>
          <cell r="H111" t="str">
            <v>40220001130</v>
          </cell>
          <cell r="I111">
            <v>21.4</v>
          </cell>
          <cell r="J111">
            <v>21.4</v>
          </cell>
          <cell r="K111">
            <v>0.01</v>
          </cell>
          <cell r="M111">
            <v>3</v>
          </cell>
          <cell r="N111" t="str">
            <v>AIR</v>
          </cell>
          <cell r="O111">
            <v>2</v>
          </cell>
          <cell r="Q111">
            <v>45350</v>
          </cell>
          <cell r="R111" t="str">
            <v>水</v>
          </cell>
          <cell r="S111" t="str">
            <v>AM8:30</v>
          </cell>
        </row>
        <row r="112">
          <cell r="A112">
            <v>8254</v>
          </cell>
          <cell r="B112" t="str">
            <v>川瀬 有里</v>
          </cell>
          <cell r="C112" t="str">
            <v>TRADIA</v>
          </cell>
          <cell r="D112">
            <v>45357</v>
          </cell>
          <cell r="E112" t="str">
            <v>24P0301</v>
          </cell>
          <cell r="F112" t="str">
            <v>I000012548</v>
          </cell>
          <cell r="G112">
            <v>0</v>
          </cell>
          <cell r="H112" t="str">
            <v>21541153050</v>
          </cell>
          <cell r="I112">
            <v>482800.86</v>
          </cell>
          <cell r="J112">
            <v>482800.86</v>
          </cell>
          <cell r="K112">
            <v>63.84</v>
          </cell>
          <cell r="L112" t="str">
            <v>TSSU5148459</v>
          </cell>
          <cell r="M112">
            <v>11</v>
          </cell>
          <cell r="N112" t="str">
            <v>40HQ</v>
          </cell>
          <cell r="O112">
            <v>4</v>
          </cell>
          <cell r="P112">
            <v>45365</v>
          </cell>
          <cell r="Q112">
            <v>45369</v>
          </cell>
          <cell r="R112" t="str">
            <v>月</v>
          </cell>
          <cell r="S112" t="str">
            <v>AM7:30</v>
          </cell>
        </row>
        <row r="113">
          <cell r="A113">
            <v>8255</v>
          </cell>
          <cell r="B113" t="str">
            <v>川瀬 有里</v>
          </cell>
          <cell r="C113" t="str">
            <v>TRADIA</v>
          </cell>
          <cell r="D113">
            <v>45357</v>
          </cell>
          <cell r="E113" t="str">
            <v>24K0351</v>
          </cell>
          <cell r="F113" t="str">
            <v>I000012546</v>
          </cell>
          <cell r="G113">
            <v>0</v>
          </cell>
          <cell r="H113" t="str">
            <v>40237605100</v>
          </cell>
          <cell r="I113">
            <v>37783.4</v>
          </cell>
          <cell r="J113">
            <v>37783.4</v>
          </cell>
          <cell r="K113">
            <v>0.16</v>
          </cell>
          <cell r="M113">
            <v>3</v>
          </cell>
          <cell r="N113" t="str">
            <v>AIR</v>
          </cell>
          <cell r="O113">
            <v>2</v>
          </cell>
          <cell r="Q113">
            <v>45356</v>
          </cell>
          <cell r="R113" t="str">
            <v>月</v>
          </cell>
          <cell r="S113" t="str">
            <v>AM8:30</v>
          </cell>
        </row>
        <row r="114">
          <cell r="A114">
            <v>8256</v>
          </cell>
          <cell r="B114" t="str">
            <v>川瀬 有里</v>
          </cell>
          <cell r="C114" t="str">
            <v>TRADIA</v>
          </cell>
          <cell r="D114">
            <v>45357</v>
          </cell>
          <cell r="E114" t="str">
            <v>24T0350</v>
          </cell>
          <cell r="F114" t="str">
            <v>I000012544</v>
          </cell>
          <cell r="G114">
            <v>0</v>
          </cell>
          <cell r="H114" t="str">
            <v>40237601820</v>
          </cell>
          <cell r="I114">
            <v>23998.799999999999</v>
          </cell>
          <cell r="J114">
            <v>23998.799999999999</v>
          </cell>
          <cell r="K114">
            <v>0.79</v>
          </cell>
          <cell r="M114">
            <v>4</v>
          </cell>
          <cell r="N114" t="str">
            <v>AIR</v>
          </cell>
          <cell r="O114">
            <v>2</v>
          </cell>
          <cell r="Q114">
            <v>45358</v>
          </cell>
          <cell r="R114" t="str">
            <v>木</v>
          </cell>
          <cell r="S114" t="str">
            <v>AM8:00</v>
          </cell>
        </row>
        <row r="115">
          <cell r="A115">
            <v>8257</v>
          </cell>
          <cell r="B115" t="str">
            <v>川瀬 有里</v>
          </cell>
          <cell r="C115" t="str">
            <v>KONOIKE</v>
          </cell>
          <cell r="D115">
            <v>45356</v>
          </cell>
          <cell r="E115" t="str">
            <v>24T0301-2</v>
          </cell>
          <cell r="F115" t="str">
            <v>K189/24</v>
          </cell>
          <cell r="G115">
            <v>0</v>
          </cell>
          <cell r="H115" t="str">
            <v>41296082100</v>
          </cell>
          <cell r="I115">
            <v>4776</v>
          </cell>
          <cell r="J115">
            <v>4776</v>
          </cell>
          <cell r="K115">
            <v>0.9</v>
          </cell>
          <cell r="M115">
            <v>4</v>
          </cell>
          <cell r="N115" t="str">
            <v>40HQ</v>
          </cell>
          <cell r="O115">
            <v>2</v>
          </cell>
          <cell r="P115">
            <v>45362</v>
          </cell>
          <cell r="Q115">
            <v>45364</v>
          </cell>
          <cell r="R115" t="str">
            <v>水</v>
          </cell>
          <cell r="S115" t="str">
            <v>AM8:00</v>
          </cell>
        </row>
        <row r="116">
          <cell r="A116">
            <v>8258</v>
          </cell>
          <cell r="B116" t="str">
            <v>川瀬 有里</v>
          </cell>
          <cell r="C116" t="str">
            <v>KONOIKE</v>
          </cell>
          <cell r="D116">
            <v>45357</v>
          </cell>
          <cell r="E116" t="str">
            <v>24T0303</v>
          </cell>
          <cell r="F116" t="str">
            <v>I000012555</v>
          </cell>
          <cell r="G116">
            <v>0</v>
          </cell>
          <cell r="H116" t="str">
            <v>11595930940</v>
          </cell>
          <cell r="I116">
            <v>579956</v>
          </cell>
          <cell r="J116">
            <v>579956</v>
          </cell>
          <cell r="K116">
            <v>64.09</v>
          </cell>
          <cell r="L116" t="str">
            <v>WHSU6627571</v>
          </cell>
          <cell r="M116">
            <v>4</v>
          </cell>
          <cell r="N116" t="str">
            <v>40HQ</v>
          </cell>
          <cell r="O116">
            <v>5</v>
          </cell>
          <cell r="P116">
            <v>45365</v>
          </cell>
          <cell r="Q116">
            <v>45369</v>
          </cell>
          <cell r="R116" t="str">
            <v>月</v>
          </cell>
          <cell r="S116" t="str">
            <v>AM8:00</v>
          </cell>
        </row>
        <row r="117">
          <cell r="A117">
            <v>8259</v>
          </cell>
          <cell r="B117" t="str">
            <v>川瀬 有里</v>
          </cell>
          <cell r="C117" t="str">
            <v>TRADIA</v>
          </cell>
          <cell r="D117">
            <v>45358</v>
          </cell>
          <cell r="E117" t="str">
            <v>24K0350</v>
          </cell>
          <cell r="F117" t="str">
            <v>I000012564</v>
          </cell>
          <cell r="G117">
            <v>0</v>
          </cell>
          <cell r="H117" t="str">
            <v>40255319960</v>
          </cell>
          <cell r="I117">
            <v>13307.94</v>
          </cell>
          <cell r="J117">
            <v>13307.94</v>
          </cell>
          <cell r="K117">
            <v>0.89</v>
          </cell>
          <cell r="M117">
            <v>3</v>
          </cell>
          <cell r="N117" t="str">
            <v>AIR</v>
          </cell>
          <cell r="O117">
            <v>2</v>
          </cell>
          <cell r="Q117">
            <v>45362</v>
          </cell>
          <cell r="R117" t="str">
            <v>月</v>
          </cell>
          <cell r="S117" t="str">
            <v>AM8:30</v>
          </cell>
        </row>
        <row r="118">
          <cell r="A118">
            <v>8260</v>
          </cell>
          <cell r="B118" t="str">
            <v>川瀬 有里</v>
          </cell>
          <cell r="C118" t="str">
            <v>TRADIA</v>
          </cell>
          <cell r="D118">
            <v>45359</v>
          </cell>
          <cell r="E118" t="str">
            <v>24K0354</v>
          </cell>
          <cell r="F118" t="str">
            <v>I000012565</v>
          </cell>
          <cell r="G118">
            <v>0</v>
          </cell>
          <cell r="H118" t="str">
            <v>40255308210</v>
          </cell>
          <cell r="I118">
            <v>2800</v>
          </cell>
          <cell r="J118">
            <v>2800</v>
          </cell>
          <cell r="K118">
            <v>0.4</v>
          </cell>
          <cell r="M118">
            <v>3</v>
          </cell>
          <cell r="N118" t="str">
            <v>AIR</v>
          </cell>
          <cell r="O118">
            <v>2</v>
          </cell>
          <cell r="Q118">
            <v>45362</v>
          </cell>
          <cell r="R118" t="str">
            <v>月</v>
          </cell>
          <cell r="S118" t="str">
            <v>AM8:30</v>
          </cell>
        </row>
        <row r="119">
          <cell r="A119">
            <v>8261</v>
          </cell>
          <cell r="B119" t="str">
            <v>川瀬 有里</v>
          </cell>
          <cell r="C119" t="str">
            <v>TRADIA</v>
          </cell>
          <cell r="D119">
            <v>45359</v>
          </cell>
          <cell r="E119" t="str">
            <v>24K0305</v>
          </cell>
          <cell r="F119" t="str">
            <v>I000012567</v>
          </cell>
          <cell r="G119">
            <v>0</v>
          </cell>
          <cell r="H119" t="str">
            <v>41300364440</v>
          </cell>
          <cell r="I119">
            <v>391964.1</v>
          </cell>
          <cell r="J119">
            <v>391964.1</v>
          </cell>
          <cell r="K119">
            <v>28.03</v>
          </cell>
          <cell r="L119" t="str">
            <v>EMCU6194981</v>
          </cell>
          <cell r="M119">
            <v>3</v>
          </cell>
          <cell r="N119" t="str">
            <v>20’</v>
          </cell>
          <cell r="O119">
            <v>2</v>
          </cell>
          <cell r="P119">
            <v>45367</v>
          </cell>
          <cell r="Q119">
            <v>45370</v>
          </cell>
          <cell r="R119" t="str">
            <v>火</v>
          </cell>
          <cell r="S119" t="str">
            <v>AM8:30</v>
          </cell>
        </row>
        <row r="120">
          <cell r="A120">
            <v>8262</v>
          </cell>
          <cell r="B120" t="str">
            <v>川瀬 有里</v>
          </cell>
          <cell r="C120" t="str">
            <v>KONOIKE</v>
          </cell>
          <cell r="D120">
            <v>45359</v>
          </cell>
          <cell r="E120" t="str">
            <v>24K0356</v>
          </cell>
          <cell r="F120" t="str">
            <v>I000012551</v>
          </cell>
          <cell r="G120">
            <v>0</v>
          </cell>
          <cell r="H120" t="str">
            <v>40372311000</v>
          </cell>
          <cell r="I120">
            <v>130</v>
          </cell>
          <cell r="J120">
            <v>130</v>
          </cell>
          <cell r="K120">
            <v>0.03</v>
          </cell>
          <cell r="M120">
            <v>3</v>
          </cell>
          <cell r="N120" t="str">
            <v>AIR</v>
          </cell>
          <cell r="O120">
            <v>2</v>
          </cell>
        </row>
        <row r="121">
          <cell r="A121">
            <v>8263</v>
          </cell>
          <cell r="B121" t="str">
            <v>川瀬 有里</v>
          </cell>
          <cell r="C121" t="str">
            <v>TRADIA</v>
          </cell>
          <cell r="D121">
            <v>45359</v>
          </cell>
          <cell r="E121" t="str">
            <v>24K0304</v>
          </cell>
          <cell r="F121" t="str">
            <v>I000012558</v>
          </cell>
          <cell r="G121">
            <v>0</v>
          </cell>
          <cell r="H121" t="str">
            <v>41299346200</v>
          </cell>
          <cell r="I121">
            <v>424579.64</v>
          </cell>
          <cell r="J121">
            <v>424579.64</v>
          </cell>
          <cell r="K121">
            <v>25.88</v>
          </cell>
          <cell r="L121" t="str">
            <v>FCIU4812450</v>
          </cell>
          <cell r="M121">
            <v>3</v>
          </cell>
          <cell r="N121" t="str">
            <v>20’</v>
          </cell>
          <cell r="O121">
            <v>1</v>
          </cell>
          <cell r="P121">
            <v>45365</v>
          </cell>
          <cell r="Q121">
            <v>45369</v>
          </cell>
          <cell r="R121" t="str">
            <v>月</v>
          </cell>
          <cell r="S121" t="str">
            <v>AM8:30</v>
          </cell>
        </row>
        <row r="122">
          <cell r="A122">
            <v>8264</v>
          </cell>
          <cell r="B122" t="str">
            <v>川瀬 有里</v>
          </cell>
          <cell r="C122" t="str">
            <v>TRADIA</v>
          </cell>
          <cell r="D122">
            <v>45359</v>
          </cell>
          <cell r="E122" t="str">
            <v>24T0351</v>
          </cell>
          <cell r="F122" t="str">
            <v>I000012561</v>
          </cell>
          <cell r="G122">
            <v>0</v>
          </cell>
          <cell r="H122" t="str">
            <v>40250494640</v>
          </cell>
          <cell r="I122">
            <v>38390.43</v>
          </cell>
          <cell r="J122">
            <v>38390.43</v>
          </cell>
          <cell r="K122">
            <v>2.88</v>
          </cell>
          <cell r="M122">
            <v>3</v>
          </cell>
          <cell r="N122" t="str">
            <v>AIR</v>
          </cell>
          <cell r="O122">
            <v>2</v>
          </cell>
          <cell r="Q122">
            <v>45359</v>
          </cell>
          <cell r="R122" t="str">
            <v>金</v>
          </cell>
          <cell r="S122" t="str">
            <v>AM8:30</v>
          </cell>
        </row>
        <row r="123">
          <cell r="A123">
            <v>8265</v>
          </cell>
          <cell r="B123" t="str">
            <v>川瀬 有里</v>
          </cell>
          <cell r="C123" t="str">
            <v>TRADIA</v>
          </cell>
          <cell r="D123">
            <v>45362</v>
          </cell>
          <cell r="E123" t="str">
            <v>24P0302-1</v>
          </cell>
          <cell r="F123" t="str">
            <v>I000012568</v>
          </cell>
          <cell r="G123">
            <v>0</v>
          </cell>
          <cell r="H123" t="str">
            <v>41300468740</v>
          </cell>
          <cell r="I123">
            <v>437340.18</v>
          </cell>
          <cell r="J123">
            <v>437340.18</v>
          </cell>
          <cell r="K123">
            <v>58.3</v>
          </cell>
          <cell r="L123" t="str">
            <v>DRYU9214602</v>
          </cell>
          <cell r="N123" t="str">
            <v>40HQ</v>
          </cell>
          <cell r="O123">
            <v>2</v>
          </cell>
          <cell r="P123">
            <v>45367</v>
          </cell>
          <cell r="Q123">
            <v>45369</v>
          </cell>
          <cell r="R123" t="str">
            <v>月</v>
          </cell>
          <cell r="S123" t="str">
            <v>AM9:30</v>
          </cell>
        </row>
        <row r="124">
          <cell r="A124">
            <v>8266</v>
          </cell>
          <cell r="B124" t="str">
            <v>川瀬 有里</v>
          </cell>
          <cell r="C124" t="str">
            <v>TRADIA</v>
          </cell>
          <cell r="D124">
            <v>45362</v>
          </cell>
          <cell r="E124" t="str">
            <v>24P0302-2</v>
          </cell>
          <cell r="F124" t="str">
            <v>K216/24</v>
          </cell>
          <cell r="G124">
            <v>0</v>
          </cell>
          <cell r="H124" t="str">
            <v>41300468740</v>
          </cell>
          <cell r="I124">
            <v>3920.2</v>
          </cell>
          <cell r="J124">
            <v>3920.2</v>
          </cell>
          <cell r="K124">
            <v>3.54</v>
          </cell>
          <cell r="N124" t="str">
            <v>40HQ</v>
          </cell>
          <cell r="O124">
            <v>2</v>
          </cell>
          <cell r="P124">
            <v>45367</v>
          </cell>
          <cell r="Q124">
            <v>45369</v>
          </cell>
          <cell r="R124" t="str">
            <v>月</v>
          </cell>
          <cell r="S124" t="str">
            <v>AM9:30</v>
          </cell>
        </row>
        <row r="125">
          <cell r="A125">
            <v>8267</v>
          </cell>
          <cell r="B125" t="str">
            <v>川瀬 有里</v>
          </cell>
          <cell r="C125" t="str">
            <v>KONOIKE</v>
          </cell>
          <cell r="D125">
            <v>45363</v>
          </cell>
          <cell r="E125" t="str">
            <v>24Ｔ0302</v>
          </cell>
          <cell r="F125" t="str">
            <v>I000012563</v>
          </cell>
          <cell r="G125">
            <v>0</v>
          </cell>
          <cell r="H125" t="str">
            <v>41300239360</v>
          </cell>
          <cell r="I125">
            <v>663495.12</v>
          </cell>
          <cell r="J125">
            <v>663495.12</v>
          </cell>
          <cell r="K125">
            <v>59.45</v>
          </cell>
          <cell r="L125" t="str">
            <v>WHSU6853898</v>
          </cell>
          <cell r="M125">
            <v>4</v>
          </cell>
          <cell r="N125" t="str">
            <v>40HQ</v>
          </cell>
          <cell r="O125">
            <v>2</v>
          </cell>
          <cell r="P125">
            <v>45364</v>
          </cell>
          <cell r="Q125">
            <v>45366</v>
          </cell>
          <cell r="R125" t="str">
            <v>金</v>
          </cell>
          <cell r="S125" t="str">
            <v>AM8:00</v>
          </cell>
        </row>
        <row r="126">
          <cell r="A126">
            <v>8268</v>
          </cell>
          <cell r="B126" t="str">
            <v>川瀬 有里</v>
          </cell>
          <cell r="C126" t="str">
            <v>TRADIA</v>
          </cell>
          <cell r="D126">
            <v>45364</v>
          </cell>
          <cell r="E126" t="str">
            <v>24K0306</v>
          </cell>
          <cell r="F126" t="str">
            <v>I000012573</v>
          </cell>
          <cell r="G126">
            <v>0</v>
          </cell>
          <cell r="H126" t="str">
            <v>41302430030</v>
          </cell>
          <cell r="I126">
            <v>419238.66</v>
          </cell>
          <cell r="J126">
            <v>419238.66</v>
          </cell>
          <cell r="K126">
            <v>28.83</v>
          </cell>
          <cell r="L126" t="str">
            <v>WHSU2092240</v>
          </cell>
          <cell r="M126">
            <v>3</v>
          </cell>
          <cell r="N126" t="str">
            <v>20’</v>
          </cell>
          <cell r="O126">
            <v>2</v>
          </cell>
          <cell r="P126">
            <v>45370</v>
          </cell>
          <cell r="Q126">
            <v>45373</v>
          </cell>
          <cell r="R126" t="str">
            <v>金</v>
          </cell>
          <cell r="S126" t="str">
            <v>AM8:30</v>
          </cell>
        </row>
        <row r="127">
          <cell r="A127">
            <v>8269</v>
          </cell>
          <cell r="B127" t="str">
            <v>川瀬 有里</v>
          </cell>
          <cell r="C127" t="str">
            <v>TRADIA</v>
          </cell>
          <cell r="D127">
            <v>45364</v>
          </cell>
          <cell r="E127" t="str">
            <v>24K0353</v>
          </cell>
          <cell r="F127" t="str">
            <v>I000012560</v>
          </cell>
          <cell r="G127">
            <v>0</v>
          </cell>
          <cell r="H127" t="str">
            <v>40250403050</v>
          </cell>
          <cell r="I127">
            <v>591.22</v>
          </cell>
          <cell r="J127">
            <v>591.22</v>
          </cell>
          <cell r="K127">
            <v>0.17</v>
          </cell>
          <cell r="M127">
            <v>3</v>
          </cell>
          <cell r="N127" t="str">
            <v>AIR</v>
          </cell>
          <cell r="O127">
            <v>2</v>
          </cell>
          <cell r="Q127">
            <v>45359</v>
          </cell>
          <cell r="R127" t="str">
            <v>金</v>
          </cell>
          <cell r="S127" t="str">
            <v>AM8:30</v>
          </cell>
        </row>
        <row r="128">
          <cell r="A128">
            <v>8270</v>
          </cell>
          <cell r="B128" t="str">
            <v>川瀬 有里</v>
          </cell>
          <cell r="C128" t="str">
            <v>KONOIKE</v>
          </cell>
          <cell r="D128">
            <v>45364</v>
          </cell>
          <cell r="E128" t="str">
            <v>24T0353</v>
          </cell>
          <cell r="F128" t="str">
            <v>I000012577</v>
          </cell>
          <cell r="G128">
            <v>0</v>
          </cell>
          <cell r="H128" t="str">
            <v>40284298230</v>
          </cell>
          <cell r="I128">
            <v>300</v>
          </cell>
          <cell r="J128">
            <v>300</v>
          </cell>
          <cell r="K128">
            <v>0.03</v>
          </cell>
          <cell r="M128">
            <v>3</v>
          </cell>
          <cell r="N128" t="str">
            <v>AIR</v>
          </cell>
          <cell r="O128">
            <v>2</v>
          </cell>
          <cell r="Q128">
            <v>45365</v>
          </cell>
          <cell r="R128" t="str">
            <v>水</v>
          </cell>
          <cell r="S128" t="str">
            <v>AM8:00</v>
          </cell>
        </row>
        <row r="129">
          <cell r="A129">
            <v>8271</v>
          </cell>
          <cell r="B129" t="str">
            <v>川瀬 有里</v>
          </cell>
          <cell r="C129" t="str">
            <v>TRADIA</v>
          </cell>
          <cell r="D129">
            <v>45364</v>
          </cell>
          <cell r="E129" t="str">
            <v>24P0303</v>
          </cell>
          <cell r="F129" t="str">
            <v>I000012580</v>
          </cell>
          <cell r="G129">
            <v>0</v>
          </cell>
          <cell r="H129" t="str">
            <v>21542522400</v>
          </cell>
          <cell r="I129">
            <v>509798.76</v>
          </cell>
          <cell r="J129">
            <v>509798.76</v>
          </cell>
          <cell r="K129">
            <v>67.069999999999993</v>
          </cell>
          <cell r="L129" t="str">
            <v>FFAU4383750</v>
          </cell>
          <cell r="M129">
            <v>11</v>
          </cell>
          <cell r="N129" t="str">
            <v>40HQ</v>
          </cell>
          <cell r="O129">
            <v>4</v>
          </cell>
          <cell r="P129">
            <v>45372</v>
          </cell>
          <cell r="Q129">
            <v>45383</v>
          </cell>
          <cell r="R129" t="str">
            <v>月</v>
          </cell>
          <cell r="S129" t="str">
            <v>AM7:30</v>
          </cell>
        </row>
        <row r="130">
          <cell r="A130">
            <v>8272</v>
          </cell>
          <cell r="B130" t="str">
            <v>川瀬 有里</v>
          </cell>
          <cell r="C130" t="str">
            <v>TRADIA</v>
          </cell>
          <cell r="D130">
            <v>45364</v>
          </cell>
          <cell r="E130" t="str">
            <v>24K0359</v>
          </cell>
          <cell r="F130" t="str">
            <v>I000012581</v>
          </cell>
          <cell r="G130">
            <v>0</v>
          </cell>
          <cell r="H130" t="str">
            <v>40291678440</v>
          </cell>
          <cell r="I130">
            <v>49655</v>
          </cell>
          <cell r="J130">
            <v>49655</v>
          </cell>
          <cell r="K130">
            <v>0.43</v>
          </cell>
          <cell r="M130">
            <v>3</v>
          </cell>
          <cell r="N130" t="str">
            <v>AIR</v>
          </cell>
          <cell r="O130">
            <v>2</v>
          </cell>
          <cell r="Q130">
            <v>45366</v>
          </cell>
          <cell r="R130" t="str">
            <v>金</v>
          </cell>
          <cell r="S130" t="str">
            <v>AM8:30</v>
          </cell>
        </row>
        <row r="131">
          <cell r="A131">
            <v>8273</v>
          </cell>
          <cell r="B131" t="str">
            <v>川瀬 有里</v>
          </cell>
          <cell r="C131" t="str">
            <v>TRADIA</v>
          </cell>
          <cell r="D131">
            <v>45365</v>
          </cell>
          <cell r="E131" t="str">
            <v>24K0307</v>
          </cell>
          <cell r="F131" t="str">
            <v>I000012582</v>
          </cell>
          <cell r="G131">
            <v>0</v>
          </cell>
          <cell r="H131" t="str">
            <v>41302505410</v>
          </cell>
          <cell r="I131">
            <v>430516.59</v>
          </cell>
          <cell r="J131">
            <v>430516.59</v>
          </cell>
          <cell r="K131">
            <v>25.82</v>
          </cell>
          <cell r="L131" t="str">
            <v>OOLU0617411</v>
          </cell>
          <cell r="M131">
            <v>3</v>
          </cell>
          <cell r="N131" t="str">
            <v>20’</v>
          </cell>
          <cell r="O131">
            <v>2</v>
          </cell>
          <cell r="P131">
            <v>45370</v>
          </cell>
          <cell r="Q131">
            <v>45373</v>
          </cell>
          <cell r="R131" t="str">
            <v>金</v>
          </cell>
          <cell r="S131" t="str">
            <v>AM8:30</v>
          </cell>
        </row>
        <row r="132">
          <cell r="A132">
            <v>8274</v>
          </cell>
          <cell r="B132" t="str">
            <v>川瀬 有里</v>
          </cell>
          <cell r="C132" t="str">
            <v>KONOIKE</v>
          </cell>
          <cell r="D132">
            <v>45365</v>
          </cell>
          <cell r="E132" t="str">
            <v>24T0304</v>
          </cell>
          <cell r="F132" t="str">
            <v>I000012572</v>
          </cell>
          <cell r="G132">
            <v>0</v>
          </cell>
          <cell r="H132" t="str">
            <v>41304124950</v>
          </cell>
          <cell r="I132">
            <v>699506.94</v>
          </cell>
          <cell r="J132">
            <v>699506.94</v>
          </cell>
          <cell r="K132">
            <v>63.6</v>
          </cell>
          <cell r="L132" t="str">
            <v>WHSU6267942</v>
          </cell>
          <cell r="M132">
            <v>4</v>
          </cell>
          <cell r="N132" t="str">
            <v>40HQ</v>
          </cell>
          <cell r="O132">
            <v>2</v>
          </cell>
          <cell r="P132">
            <v>45374</v>
          </cell>
          <cell r="Q132">
            <v>45378</v>
          </cell>
          <cell r="R132" t="str">
            <v>水</v>
          </cell>
          <cell r="S132" t="str">
            <v>AM8:00</v>
          </cell>
        </row>
        <row r="133">
          <cell r="A133">
            <v>8275</v>
          </cell>
          <cell r="B133" t="str">
            <v>川瀬 有里</v>
          </cell>
          <cell r="C133" t="str">
            <v>KONOIKE</v>
          </cell>
          <cell r="D133">
            <v>45365</v>
          </cell>
          <cell r="E133" t="str">
            <v>24T0305</v>
          </cell>
          <cell r="F133" t="str">
            <v>I000012583</v>
          </cell>
          <cell r="G133">
            <v>0</v>
          </cell>
          <cell r="H133" t="str">
            <v>41304124950</v>
          </cell>
          <cell r="I133">
            <v>853095.04</v>
          </cell>
          <cell r="J133">
            <v>853095.04</v>
          </cell>
          <cell r="K133">
            <v>64.87</v>
          </cell>
          <cell r="L133" t="str">
            <v>WHSU6916609</v>
          </cell>
          <cell r="M133">
            <v>4</v>
          </cell>
          <cell r="N133" t="str">
            <v>40HQ</v>
          </cell>
          <cell r="O133">
            <v>2</v>
          </cell>
          <cell r="P133">
            <v>45374</v>
          </cell>
          <cell r="Q133">
            <v>45378</v>
          </cell>
          <cell r="R133" t="str">
            <v>水</v>
          </cell>
          <cell r="S133" t="str">
            <v>AM8:00</v>
          </cell>
        </row>
        <row r="134">
          <cell r="A134">
            <v>8276</v>
          </cell>
          <cell r="B134" t="str">
            <v>川瀬 有里</v>
          </cell>
          <cell r="C134" t="str">
            <v>TRADIA</v>
          </cell>
          <cell r="D134">
            <v>45369</v>
          </cell>
          <cell r="E134" t="str">
            <v>24K0360</v>
          </cell>
          <cell r="F134" t="str">
            <v>I000012589</v>
          </cell>
          <cell r="G134">
            <v>0</v>
          </cell>
          <cell r="H134" t="str">
            <v>40300839120</v>
          </cell>
          <cell r="I134">
            <v>48836.1</v>
          </cell>
          <cell r="J134">
            <v>48836.1</v>
          </cell>
          <cell r="K134">
            <v>0.44</v>
          </cell>
          <cell r="M134">
            <v>3</v>
          </cell>
          <cell r="N134" t="str">
            <v>AIR</v>
          </cell>
          <cell r="O134">
            <v>2</v>
          </cell>
          <cell r="Q134">
            <v>45369</v>
          </cell>
          <cell r="R134" t="str">
            <v>月</v>
          </cell>
          <cell r="S134" t="str">
            <v>AM8:00</v>
          </cell>
        </row>
        <row r="135">
          <cell r="A135">
            <v>8277</v>
          </cell>
          <cell r="B135" t="str">
            <v>川瀬 有里</v>
          </cell>
          <cell r="C135" t="str">
            <v>YUSEN</v>
          </cell>
          <cell r="D135">
            <v>45369</v>
          </cell>
          <cell r="E135" t="str">
            <v>24K0310</v>
          </cell>
          <cell r="F135" t="str">
            <v>I000012586</v>
          </cell>
          <cell r="G135">
            <v>0</v>
          </cell>
          <cell r="H135" t="str">
            <v>31395747560</v>
          </cell>
          <cell r="I135">
            <v>328079.15999999997</v>
          </cell>
          <cell r="J135">
            <v>328079.15999999997</v>
          </cell>
          <cell r="K135">
            <v>28.07</v>
          </cell>
          <cell r="L135" t="str">
            <v>OOLU1564553</v>
          </cell>
          <cell r="M135">
            <v>3</v>
          </cell>
          <cell r="N135" t="str">
            <v>20’</v>
          </cell>
          <cell r="O135">
            <v>1</v>
          </cell>
          <cell r="P135">
            <v>45377</v>
          </cell>
          <cell r="Q135">
            <v>45379</v>
          </cell>
          <cell r="R135" t="str">
            <v>木</v>
          </cell>
          <cell r="S135" t="str">
            <v>AM8:30</v>
          </cell>
        </row>
        <row r="136">
          <cell r="A136">
            <v>8278</v>
          </cell>
          <cell r="B136" t="str">
            <v>川瀬 有里</v>
          </cell>
          <cell r="C136" t="str">
            <v>YUSEN</v>
          </cell>
          <cell r="D136">
            <v>45369</v>
          </cell>
          <cell r="E136" t="str">
            <v>24K0311</v>
          </cell>
          <cell r="F136" t="str">
            <v>I000012587</v>
          </cell>
          <cell r="G136">
            <v>0</v>
          </cell>
          <cell r="H136" t="str">
            <v>31395748520</v>
          </cell>
          <cell r="I136">
            <v>297329.76</v>
          </cell>
          <cell r="J136">
            <v>297329.76</v>
          </cell>
          <cell r="K136">
            <v>27.08</v>
          </cell>
          <cell r="L136" t="str">
            <v>CSNU1274372</v>
          </cell>
          <cell r="M136">
            <v>3</v>
          </cell>
          <cell r="N136" t="str">
            <v>20’</v>
          </cell>
          <cell r="O136">
            <v>1</v>
          </cell>
          <cell r="P136">
            <v>45377</v>
          </cell>
          <cell r="Q136">
            <v>45379</v>
          </cell>
          <cell r="R136" t="str">
            <v>木</v>
          </cell>
          <cell r="S136" t="str">
            <v>AM8:30</v>
          </cell>
        </row>
        <row r="137">
          <cell r="A137">
            <v>8279</v>
          </cell>
          <cell r="B137" t="str">
            <v>川瀬 有里</v>
          </cell>
          <cell r="C137" t="str">
            <v>TRADIA</v>
          </cell>
          <cell r="D137">
            <v>45369</v>
          </cell>
          <cell r="E137" t="str">
            <v>24K0309</v>
          </cell>
          <cell r="F137" t="str">
            <v>I000012597</v>
          </cell>
          <cell r="G137">
            <v>0</v>
          </cell>
          <cell r="H137" t="str">
            <v>41304501700</v>
          </cell>
          <cell r="I137">
            <v>461224.56</v>
          </cell>
          <cell r="J137">
            <v>461224.56</v>
          </cell>
          <cell r="K137">
            <v>27.03</v>
          </cell>
          <cell r="L137" t="str">
            <v>EITU0525590</v>
          </cell>
          <cell r="M137">
            <v>3</v>
          </cell>
          <cell r="N137" t="str">
            <v>20’</v>
          </cell>
          <cell r="O137">
            <v>2</v>
          </cell>
          <cell r="P137">
            <v>45374</v>
          </cell>
          <cell r="Q137">
            <v>45376</v>
          </cell>
          <cell r="R137" t="str">
            <v>月</v>
          </cell>
          <cell r="S137" t="str">
            <v>AM8:30</v>
          </cell>
        </row>
        <row r="138">
          <cell r="A138">
            <v>8280</v>
          </cell>
          <cell r="B138" t="str">
            <v>川瀬 有里</v>
          </cell>
          <cell r="C138" t="str">
            <v>TRADIA</v>
          </cell>
          <cell r="D138">
            <v>45369</v>
          </cell>
          <cell r="E138" t="str">
            <v>24K0308</v>
          </cell>
          <cell r="F138" t="str">
            <v>I000012596</v>
          </cell>
          <cell r="G138">
            <v>0</v>
          </cell>
          <cell r="H138" t="str">
            <v>41304501700</v>
          </cell>
          <cell r="I138">
            <v>509974.48</v>
          </cell>
          <cell r="J138">
            <v>509974.48</v>
          </cell>
          <cell r="K138">
            <v>27.5</v>
          </cell>
          <cell r="L138" t="str">
            <v>EISU2273257</v>
          </cell>
          <cell r="M138">
            <v>3</v>
          </cell>
          <cell r="N138" t="str">
            <v>20’</v>
          </cell>
          <cell r="O138">
            <v>2</v>
          </cell>
          <cell r="P138">
            <v>45374</v>
          </cell>
          <cell r="Q138">
            <v>45376</v>
          </cell>
          <cell r="R138" t="str">
            <v>月</v>
          </cell>
          <cell r="S138" t="str">
            <v>AM8:30</v>
          </cell>
        </row>
        <row r="139">
          <cell r="A139">
            <v>8281</v>
          </cell>
          <cell r="B139" t="str">
            <v>川瀬 有里</v>
          </cell>
          <cell r="C139" t="str">
            <v>KONOIKE</v>
          </cell>
          <cell r="D139">
            <v>45369</v>
          </cell>
          <cell r="E139" t="str">
            <v>24T0306</v>
          </cell>
          <cell r="F139" t="str">
            <v>I000012591</v>
          </cell>
          <cell r="G139">
            <v>0</v>
          </cell>
          <cell r="H139" t="str">
            <v>11600331140</v>
          </cell>
          <cell r="I139">
            <v>717028.12</v>
          </cell>
          <cell r="J139">
            <v>717028.12</v>
          </cell>
          <cell r="K139">
            <v>62.77</v>
          </cell>
          <cell r="L139" t="str">
            <v>WHSU6764928</v>
          </cell>
          <cell r="M139">
            <v>4</v>
          </cell>
          <cell r="N139" t="str">
            <v>40HQ</v>
          </cell>
          <cell r="O139">
            <v>5</v>
          </cell>
          <cell r="P139">
            <v>45372</v>
          </cell>
          <cell r="Q139">
            <v>45376</v>
          </cell>
          <cell r="R139" t="str">
            <v>月</v>
          </cell>
          <cell r="S139" t="str">
            <v>AM8:00</v>
          </cell>
        </row>
        <row r="140">
          <cell r="A140">
            <v>8282</v>
          </cell>
          <cell r="B140" t="str">
            <v>川瀬 有里</v>
          </cell>
          <cell r="C140" t="str">
            <v>TRADIA</v>
          </cell>
          <cell r="D140">
            <v>45369</v>
          </cell>
          <cell r="E140" t="str">
            <v>24P0304</v>
          </cell>
          <cell r="F140" t="str">
            <v>I000012598</v>
          </cell>
          <cell r="G140">
            <v>0</v>
          </cell>
          <cell r="H140" t="str">
            <v>41308781500</v>
          </cell>
          <cell r="I140">
            <v>497413.56</v>
          </cell>
          <cell r="J140">
            <v>497413.56</v>
          </cell>
          <cell r="K140">
            <v>62.81</v>
          </cell>
          <cell r="L140" t="str">
            <v>TSSU5080169</v>
          </cell>
          <cell r="N140" t="str">
            <v>40HQ</v>
          </cell>
          <cell r="O140">
            <v>2</v>
          </cell>
          <cell r="P140">
            <v>45377</v>
          </cell>
          <cell r="Q140">
            <v>45387</v>
          </cell>
          <cell r="R140" t="str">
            <v>金</v>
          </cell>
          <cell r="S140" t="str">
            <v>AM9:30</v>
          </cell>
        </row>
        <row r="141">
          <cell r="A141">
            <v>8283</v>
          </cell>
          <cell r="B141" t="str">
            <v>川瀬 有里</v>
          </cell>
          <cell r="C141" t="str">
            <v>TRADIA</v>
          </cell>
          <cell r="D141">
            <v>45369</v>
          </cell>
          <cell r="E141" t="str">
            <v>24K0312</v>
          </cell>
          <cell r="F141" t="str">
            <v>I000012607</v>
          </cell>
          <cell r="G141">
            <v>0</v>
          </cell>
          <cell r="H141" t="str">
            <v>41307259220</v>
          </cell>
          <cell r="I141">
            <v>394374</v>
          </cell>
          <cell r="J141">
            <v>394374</v>
          </cell>
          <cell r="K141">
            <v>27.98</v>
          </cell>
          <cell r="L141" t="str">
            <v>WHSU2656099</v>
          </cell>
          <cell r="M141">
            <v>3</v>
          </cell>
          <cell r="N141" t="str">
            <v>20’</v>
          </cell>
          <cell r="O141">
            <v>2</v>
          </cell>
          <cell r="P141">
            <v>45379</v>
          </cell>
          <cell r="Q141">
            <v>45383</v>
          </cell>
          <cell r="R141" t="str">
            <v>月</v>
          </cell>
          <cell r="S141" t="str">
            <v>AM8:30</v>
          </cell>
        </row>
        <row r="142">
          <cell r="A142">
            <v>8284</v>
          </cell>
          <cell r="B142" t="str">
            <v>川瀬 有里</v>
          </cell>
          <cell r="C142" t="str">
            <v>KONOIKE</v>
          </cell>
          <cell r="D142">
            <v>45373</v>
          </cell>
          <cell r="E142" t="str">
            <v>24T0307</v>
          </cell>
          <cell r="F142" t="str">
            <v>I000012599</v>
          </cell>
          <cell r="G142">
            <v>0</v>
          </cell>
          <cell r="H142" t="str">
            <v>41306135350</v>
          </cell>
          <cell r="I142">
            <v>620092.4</v>
          </cell>
          <cell r="J142">
            <v>620092.4</v>
          </cell>
          <cell r="K142">
            <v>60.95</v>
          </cell>
          <cell r="L142" t="str">
            <v>WHSU6176138</v>
          </cell>
          <cell r="M142">
            <v>4</v>
          </cell>
          <cell r="N142" t="str">
            <v>40HQ</v>
          </cell>
          <cell r="O142">
            <v>2</v>
          </cell>
          <cell r="P142">
            <v>45376</v>
          </cell>
          <cell r="Q142">
            <v>45378</v>
          </cell>
          <cell r="R142" t="str">
            <v>水</v>
          </cell>
          <cell r="S142" t="str">
            <v>AM8:00</v>
          </cell>
        </row>
        <row r="143">
          <cell r="A143">
            <v>8285</v>
          </cell>
          <cell r="B143" t="str">
            <v>川瀬 有里</v>
          </cell>
          <cell r="C143" t="str">
            <v>KONOIKE</v>
          </cell>
          <cell r="D143">
            <v>45373</v>
          </cell>
          <cell r="E143" t="str">
            <v>24T0308</v>
          </cell>
          <cell r="F143" t="str">
            <v>I000012610</v>
          </cell>
          <cell r="G143">
            <v>0</v>
          </cell>
          <cell r="H143" t="str">
            <v>41307634050</v>
          </cell>
          <cell r="I143">
            <v>845474.56</v>
          </cell>
          <cell r="J143">
            <v>845474.56</v>
          </cell>
          <cell r="K143">
            <v>59.44</v>
          </cell>
          <cell r="L143" t="str">
            <v>TCNU5766215</v>
          </cell>
          <cell r="M143">
            <v>4</v>
          </cell>
          <cell r="N143" t="str">
            <v>40HQ</v>
          </cell>
          <cell r="O143">
            <v>2</v>
          </cell>
          <cell r="P143">
            <v>45381</v>
          </cell>
          <cell r="Q143">
            <v>45384</v>
          </cell>
          <cell r="R143" t="str">
            <v>火</v>
          </cell>
          <cell r="S143" t="str">
            <v>AM8:00</v>
          </cell>
        </row>
        <row r="144">
          <cell r="A144">
            <v>8286</v>
          </cell>
          <cell r="B144" t="str">
            <v>川瀬 有里</v>
          </cell>
          <cell r="C144" t="str">
            <v>KONOIKE</v>
          </cell>
          <cell r="D144">
            <v>45373</v>
          </cell>
          <cell r="E144" t="str">
            <v>24T0309</v>
          </cell>
          <cell r="F144" t="str">
            <v>I000012612</v>
          </cell>
          <cell r="G144">
            <v>0</v>
          </cell>
          <cell r="H144" t="str">
            <v>41307634050</v>
          </cell>
          <cell r="I144">
            <v>611530.22</v>
          </cell>
          <cell r="J144">
            <v>611530.22</v>
          </cell>
          <cell r="K144">
            <v>63.52</v>
          </cell>
          <cell r="L144" t="str">
            <v>EMCU8831179</v>
          </cell>
          <cell r="M144">
            <v>4</v>
          </cell>
          <cell r="N144" t="str">
            <v>40HQ</v>
          </cell>
          <cell r="O144">
            <v>2</v>
          </cell>
          <cell r="P144">
            <v>45381</v>
          </cell>
          <cell r="Q144">
            <v>45384</v>
          </cell>
          <cell r="R144" t="str">
            <v>火</v>
          </cell>
          <cell r="S144" t="str">
            <v>AM8:00</v>
          </cell>
        </row>
        <row r="145">
          <cell r="A145">
            <v>8287</v>
          </cell>
          <cell r="B145" t="str">
            <v>川瀬 有里</v>
          </cell>
          <cell r="C145" t="str">
            <v>KONOIKE</v>
          </cell>
          <cell r="D145">
            <v>45374</v>
          </cell>
          <cell r="E145" t="str">
            <v>24T0310</v>
          </cell>
          <cell r="F145" t="str">
            <v>I000012626</v>
          </cell>
          <cell r="G145">
            <v>0</v>
          </cell>
          <cell r="H145" t="str">
            <v>41313793610</v>
          </cell>
          <cell r="I145">
            <v>901756.52</v>
          </cell>
          <cell r="J145">
            <v>901756.52</v>
          </cell>
          <cell r="K145">
            <v>63.24</v>
          </cell>
          <cell r="L145" t="str">
            <v>WHSU6083210</v>
          </cell>
          <cell r="M145">
            <v>4</v>
          </cell>
          <cell r="N145" t="str">
            <v>40HQ</v>
          </cell>
          <cell r="O145">
            <v>2</v>
          </cell>
          <cell r="P145">
            <v>45383</v>
          </cell>
          <cell r="Q145">
            <v>45385</v>
          </cell>
          <cell r="R145" t="str">
            <v>水</v>
          </cell>
          <cell r="S145" t="str">
            <v>AM8:00</v>
          </cell>
        </row>
        <row r="146">
          <cell r="A146">
            <v>8288</v>
          </cell>
          <cell r="B146" t="str">
            <v>川瀬 有里</v>
          </cell>
          <cell r="C146" t="str">
            <v>KONOIKE</v>
          </cell>
          <cell r="D146">
            <v>45374</v>
          </cell>
          <cell r="E146" t="str">
            <v>24T0311</v>
          </cell>
          <cell r="F146" t="str">
            <v>I000012621</v>
          </cell>
          <cell r="G146">
            <v>0</v>
          </cell>
          <cell r="H146" t="str">
            <v>11602848820</v>
          </cell>
          <cell r="I146">
            <v>573188.72</v>
          </cell>
          <cell r="J146">
            <v>573188.72</v>
          </cell>
          <cell r="K146">
            <v>64.61</v>
          </cell>
          <cell r="L146" t="str">
            <v>WHSU6591735</v>
          </cell>
          <cell r="M146">
            <v>4</v>
          </cell>
          <cell r="N146" t="str">
            <v>40HQ</v>
          </cell>
          <cell r="O146">
            <v>5</v>
          </cell>
          <cell r="P146">
            <v>45383</v>
          </cell>
          <cell r="Q146">
            <v>45385</v>
          </cell>
          <cell r="R146" t="str">
            <v>水</v>
          </cell>
          <cell r="S146" t="str">
            <v>AM8:00</v>
          </cell>
        </row>
        <row r="147">
          <cell r="A147">
            <v>8289</v>
          </cell>
          <cell r="B147" t="str">
            <v>川瀬 有里</v>
          </cell>
          <cell r="C147" t="str">
            <v>TRADIA</v>
          </cell>
          <cell r="D147">
            <v>45376</v>
          </cell>
          <cell r="E147" t="str">
            <v>24P0305</v>
          </cell>
          <cell r="F147" t="str">
            <v>I000012616</v>
          </cell>
          <cell r="G147">
            <v>0</v>
          </cell>
          <cell r="H147" t="str">
            <v>41313107020</v>
          </cell>
          <cell r="I147">
            <v>520539.54</v>
          </cell>
          <cell r="J147">
            <v>520539.54</v>
          </cell>
          <cell r="K147">
            <v>64.84</v>
          </cell>
          <cell r="L147" t="str">
            <v>EISU8307307</v>
          </cell>
          <cell r="N147" t="str">
            <v>40HQ</v>
          </cell>
          <cell r="O147">
            <v>2</v>
          </cell>
          <cell r="P147">
            <v>45381</v>
          </cell>
          <cell r="Q147">
            <v>45394</v>
          </cell>
          <cell r="R147" t="str">
            <v>金</v>
          </cell>
          <cell r="S147" t="str">
            <v>AM9:30</v>
          </cell>
        </row>
        <row r="148">
          <cell r="A148">
            <v>8290</v>
          </cell>
          <cell r="B148" t="str">
            <v>川瀬 有里</v>
          </cell>
          <cell r="C148" t="str">
            <v>TRADIA</v>
          </cell>
          <cell r="D148">
            <v>45378</v>
          </cell>
          <cell r="E148" t="str">
            <v>24K0313</v>
          </cell>
          <cell r="F148" t="str">
            <v>I000012618</v>
          </cell>
          <cell r="G148">
            <v>0</v>
          </cell>
          <cell r="H148" t="str">
            <v>41309440900</v>
          </cell>
          <cell r="I148">
            <v>489903.16</v>
          </cell>
          <cell r="J148">
            <v>489903.16</v>
          </cell>
          <cell r="K148">
            <v>29.59</v>
          </cell>
          <cell r="L148" t="str">
            <v>EITU0363308</v>
          </cell>
          <cell r="M148">
            <v>3</v>
          </cell>
          <cell r="N148" t="str">
            <v>20’</v>
          </cell>
          <cell r="O148">
            <v>2</v>
          </cell>
          <cell r="P148">
            <v>45381</v>
          </cell>
          <cell r="Q148">
            <v>45384</v>
          </cell>
          <cell r="R148" t="str">
            <v>火</v>
          </cell>
          <cell r="S148" t="str">
            <v>AM8:30</v>
          </cell>
        </row>
        <row r="149">
          <cell r="A149">
            <v>8291</v>
          </cell>
          <cell r="B149" t="str">
            <v>川瀬 有里</v>
          </cell>
          <cell r="C149" t="str">
            <v>TRADIA</v>
          </cell>
          <cell r="D149">
            <v>45378</v>
          </cell>
          <cell r="E149" t="str">
            <v>24K0314</v>
          </cell>
          <cell r="F149" t="str">
            <v>I000021627</v>
          </cell>
          <cell r="G149">
            <v>0</v>
          </cell>
          <cell r="H149" t="str">
            <v>41314242530</v>
          </cell>
          <cell r="I149">
            <v>294228.28000000003</v>
          </cell>
          <cell r="J149">
            <v>294228.28000000003</v>
          </cell>
          <cell r="K149">
            <v>28.8</v>
          </cell>
          <cell r="L149" t="str">
            <v>WHSU0223926</v>
          </cell>
          <cell r="M149">
            <v>3</v>
          </cell>
          <cell r="N149" t="str">
            <v>20’</v>
          </cell>
          <cell r="O149">
            <v>2</v>
          </cell>
          <cell r="P149">
            <v>45383</v>
          </cell>
          <cell r="Q149">
            <v>45385</v>
          </cell>
          <cell r="R149" t="str">
            <v>水</v>
          </cell>
          <cell r="S149" t="str">
            <v>AM8:30</v>
          </cell>
        </row>
        <row r="150">
          <cell r="A150">
            <v>8292</v>
          </cell>
          <cell r="B150" t="str">
            <v>川瀬 有里</v>
          </cell>
          <cell r="C150" t="str">
            <v>TRADIA</v>
          </cell>
          <cell r="D150">
            <v>45378</v>
          </cell>
          <cell r="E150" t="str">
            <v>24K0365</v>
          </cell>
          <cell r="F150" t="str">
            <v>I000012628</v>
          </cell>
          <cell r="G150">
            <v>0</v>
          </cell>
          <cell r="H150" t="str">
            <v>40354432410</v>
          </cell>
          <cell r="I150">
            <v>294282.05</v>
          </cell>
          <cell r="J150">
            <v>294282.05</v>
          </cell>
          <cell r="K150">
            <v>1.06</v>
          </cell>
          <cell r="M150">
            <v>3</v>
          </cell>
          <cell r="N150" t="str">
            <v>AIR</v>
          </cell>
          <cell r="P150">
            <v>45376</v>
          </cell>
          <cell r="Q150">
            <v>45409</v>
          </cell>
          <cell r="R150" t="str">
            <v>水</v>
          </cell>
          <cell r="S150" t="str">
            <v>AM8:30</v>
          </cell>
        </row>
        <row r="151">
          <cell r="A151">
            <v>8293</v>
          </cell>
          <cell r="B151" t="str">
            <v>川瀬 有里</v>
          </cell>
          <cell r="C151" t="str">
            <v>TRADIA</v>
          </cell>
          <cell r="D151">
            <v>45378</v>
          </cell>
          <cell r="E151" t="str">
            <v>24K0315</v>
          </cell>
          <cell r="F151" t="str">
            <v>I000012632</v>
          </cell>
          <cell r="G151">
            <v>0</v>
          </cell>
          <cell r="H151" t="str">
            <v>41313093830</v>
          </cell>
          <cell r="I151">
            <v>469704.84</v>
          </cell>
          <cell r="J151">
            <v>469704.84</v>
          </cell>
          <cell r="K151">
            <v>29.02</v>
          </cell>
          <cell r="L151" t="str">
            <v>OOLU1768120</v>
          </cell>
          <cell r="M151">
            <v>3</v>
          </cell>
          <cell r="N151" t="str">
            <v>20’</v>
          </cell>
          <cell r="O151">
            <v>2</v>
          </cell>
          <cell r="P151">
            <v>45386</v>
          </cell>
          <cell r="Q151">
            <v>45390</v>
          </cell>
          <cell r="R151" t="str">
            <v>月</v>
          </cell>
          <cell r="S151" t="str">
            <v>AM8:30</v>
          </cell>
        </row>
        <row r="152">
          <cell r="A152">
            <v>8294</v>
          </cell>
          <cell r="B152" t="str">
            <v>川瀬 有里</v>
          </cell>
          <cell r="C152" t="str">
            <v>TRADIA</v>
          </cell>
          <cell r="D152">
            <v>45378</v>
          </cell>
          <cell r="E152" t="str">
            <v>24K0316</v>
          </cell>
          <cell r="F152" t="str">
            <v>I000012639</v>
          </cell>
          <cell r="G152">
            <v>0</v>
          </cell>
          <cell r="H152" t="str">
            <v>41313093830</v>
          </cell>
          <cell r="I152">
            <v>232582.84</v>
          </cell>
          <cell r="J152">
            <v>232582.84</v>
          </cell>
          <cell r="K152">
            <v>28.63</v>
          </cell>
          <cell r="L152" t="str">
            <v>TEMU0103853</v>
          </cell>
          <cell r="M152">
            <v>3</v>
          </cell>
          <cell r="N152" t="str">
            <v>20’</v>
          </cell>
          <cell r="O152">
            <v>2</v>
          </cell>
          <cell r="P152">
            <v>45386</v>
          </cell>
          <cell r="Q152">
            <v>45390</v>
          </cell>
          <cell r="R152" t="str">
            <v>月</v>
          </cell>
          <cell r="S152" t="str">
            <v>AM8:30</v>
          </cell>
        </row>
        <row r="153">
          <cell r="A153">
            <v>8295</v>
          </cell>
          <cell r="B153" t="str">
            <v>川瀬 有里</v>
          </cell>
          <cell r="C153" t="str">
            <v>TRADIA</v>
          </cell>
          <cell r="D153">
            <v>45378</v>
          </cell>
          <cell r="E153" t="str">
            <v>24K0366</v>
          </cell>
          <cell r="F153" t="str">
            <v>I000012638</v>
          </cell>
          <cell r="G153">
            <v>0</v>
          </cell>
          <cell r="H153" t="str">
            <v>40367651060</v>
          </cell>
          <cell r="I153">
            <v>2400</v>
          </cell>
          <cell r="J153">
            <v>2400</v>
          </cell>
          <cell r="K153">
            <v>0.25</v>
          </cell>
          <cell r="M153">
            <v>3</v>
          </cell>
          <cell r="N153" t="str">
            <v>AIR</v>
          </cell>
          <cell r="O153">
            <v>2</v>
          </cell>
          <cell r="Q153">
            <v>45377</v>
          </cell>
          <cell r="R153" t="str">
            <v>火</v>
          </cell>
          <cell r="S153" t="str">
            <v>AM8:30</v>
          </cell>
        </row>
        <row r="154">
          <cell r="A154">
            <v>8296</v>
          </cell>
          <cell r="B154" t="str">
            <v>川瀬 有里</v>
          </cell>
          <cell r="C154" t="str">
            <v>TRADIA</v>
          </cell>
          <cell r="D154">
            <v>45380</v>
          </cell>
          <cell r="E154" t="str">
            <v>24K0367-1</v>
          </cell>
          <cell r="F154" t="str">
            <v>I000012648</v>
          </cell>
          <cell r="G154">
            <v>0</v>
          </cell>
          <cell r="H154" t="str">
            <v>40381808600</v>
          </cell>
          <cell r="I154">
            <v>3000</v>
          </cell>
          <cell r="J154">
            <v>3000</v>
          </cell>
          <cell r="K154">
            <v>0.05</v>
          </cell>
          <cell r="M154">
            <v>3</v>
          </cell>
          <cell r="N154" t="str">
            <v>AIR</v>
          </cell>
          <cell r="O154">
            <v>2</v>
          </cell>
          <cell r="Q154">
            <v>45383</v>
          </cell>
          <cell r="R154" t="str">
            <v>月</v>
          </cell>
          <cell r="S154" t="str">
            <v>AM8:30</v>
          </cell>
        </row>
        <row r="155">
          <cell r="A155">
            <v>8297</v>
          </cell>
          <cell r="B155" t="str">
            <v>川瀬 有里</v>
          </cell>
          <cell r="C155" t="str">
            <v>KONOIKE</v>
          </cell>
          <cell r="D155">
            <v>45380</v>
          </cell>
          <cell r="E155" t="str">
            <v>24T0312</v>
          </cell>
          <cell r="F155" t="str">
            <v>I000012629</v>
          </cell>
          <cell r="G155">
            <v>0</v>
          </cell>
          <cell r="H155" t="str">
            <v>41313188000</v>
          </cell>
          <cell r="I155">
            <v>767228.72</v>
          </cell>
          <cell r="J155">
            <v>767228.72</v>
          </cell>
          <cell r="K155">
            <v>63.9</v>
          </cell>
          <cell r="L155" t="str">
            <v>WHSU6547183</v>
          </cell>
          <cell r="M155">
            <v>4</v>
          </cell>
          <cell r="N155" t="str">
            <v>40HQ</v>
          </cell>
          <cell r="O155">
            <v>2</v>
          </cell>
          <cell r="P155">
            <v>45386</v>
          </cell>
          <cell r="Q155">
            <v>45390</v>
          </cell>
          <cell r="R155" t="str">
            <v>月</v>
          </cell>
          <cell r="S155" t="str">
            <v>AM8:00</v>
          </cell>
        </row>
        <row r="156">
          <cell r="A156">
            <v>8298</v>
          </cell>
          <cell r="B156" t="str">
            <v>川瀬 有里</v>
          </cell>
          <cell r="C156" t="str">
            <v>KONOIKE</v>
          </cell>
          <cell r="D156">
            <v>45380</v>
          </cell>
          <cell r="E156" t="str">
            <v>24T0314</v>
          </cell>
          <cell r="F156" t="str">
            <v>I000012637</v>
          </cell>
          <cell r="G156">
            <v>0</v>
          </cell>
          <cell r="H156" t="str">
            <v>11607418861</v>
          </cell>
          <cell r="I156">
            <v>559898.64</v>
          </cell>
          <cell r="J156">
            <v>559898.64</v>
          </cell>
          <cell r="K156">
            <v>65.239999999999995</v>
          </cell>
          <cell r="L156" t="str">
            <v>WHSU6039069</v>
          </cell>
          <cell r="M156">
            <v>4</v>
          </cell>
          <cell r="N156" t="str">
            <v>40HQ</v>
          </cell>
          <cell r="O156">
            <v>2</v>
          </cell>
          <cell r="P156">
            <v>45392</v>
          </cell>
          <cell r="Q156">
            <v>45394</v>
          </cell>
          <cell r="R156" t="str">
            <v>金</v>
          </cell>
          <cell r="S156" t="str">
            <v>AM8:00</v>
          </cell>
        </row>
        <row r="157">
          <cell r="A157">
            <v>8299</v>
          </cell>
          <cell r="B157" t="str">
            <v>川瀬 有里</v>
          </cell>
          <cell r="C157" t="str">
            <v>TRADIA</v>
          </cell>
          <cell r="D157">
            <v>45380</v>
          </cell>
          <cell r="E157" t="str">
            <v>24K0317</v>
          </cell>
          <cell r="F157" t="str">
            <v>I000012649</v>
          </cell>
          <cell r="G157">
            <v>0</v>
          </cell>
          <cell r="H157" t="str">
            <v>41314473310</v>
          </cell>
          <cell r="I157">
            <v>458762.51</v>
          </cell>
          <cell r="J157">
            <v>458762.51</v>
          </cell>
          <cell r="K157">
            <v>29.01</v>
          </cell>
          <cell r="L157" t="str">
            <v>EGHU3505540</v>
          </cell>
          <cell r="M157">
            <v>4</v>
          </cell>
          <cell r="N157" t="str">
            <v>40HQ</v>
          </cell>
          <cell r="O157">
            <v>2</v>
          </cell>
          <cell r="P157">
            <v>45388</v>
          </cell>
          <cell r="Q157">
            <v>45392</v>
          </cell>
          <cell r="R157" t="str">
            <v>水</v>
          </cell>
          <cell r="S157" t="str">
            <v>AM8:00</v>
          </cell>
        </row>
        <row r="158">
          <cell r="A158">
            <v>8300</v>
          </cell>
          <cell r="B158" t="str">
            <v>川瀬 有里</v>
          </cell>
          <cell r="C158" t="str">
            <v>TRADIA</v>
          </cell>
          <cell r="D158">
            <v>45383</v>
          </cell>
          <cell r="E158" t="str">
            <v>24P0306</v>
          </cell>
          <cell r="F158" t="str">
            <v>I000012642</v>
          </cell>
          <cell r="G158">
            <v>0</v>
          </cell>
          <cell r="H158" t="str">
            <v>41314238440</v>
          </cell>
          <cell r="I158">
            <v>533610</v>
          </cell>
          <cell r="J158">
            <v>533610</v>
          </cell>
          <cell r="K158">
            <v>64.599999999999994</v>
          </cell>
          <cell r="L158" t="str">
            <v>EMCU8865841</v>
          </cell>
          <cell r="N158" t="str">
            <v>40HQ</v>
          </cell>
          <cell r="O158">
            <v>2</v>
          </cell>
          <cell r="P158">
            <v>45388</v>
          </cell>
          <cell r="Q158">
            <v>45393</v>
          </cell>
          <cell r="R158" t="str">
            <v>木</v>
          </cell>
          <cell r="S158" t="str">
            <v>AM9:30</v>
          </cell>
        </row>
        <row r="159">
          <cell r="A159">
            <v>8301</v>
          </cell>
          <cell r="B159" t="str">
            <v>川瀬 有里</v>
          </cell>
          <cell r="C159" t="str">
            <v>TRADIA</v>
          </cell>
          <cell r="D159">
            <v>45383</v>
          </cell>
          <cell r="E159" t="str">
            <v>24K0450</v>
          </cell>
          <cell r="F159" t="str">
            <v>I000012657</v>
          </cell>
          <cell r="G159">
            <v>0</v>
          </cell>
          <cell r="H159" t="str">
            <v>40402790620</v>
          </cell>
          <cell r="I159">
            <v>47200.32</v>
          </cell>
          <cell r="J159">
            <v>47200.32</v>
          </cell>
          <cell r="K159">
            <v>2.52</v>
          </cell>
          <cell r="M159">
            <v>3</v>
          </cell>
          <cell r="N159" t="str">
            <v>AIR</v>
          </cell>
          <cell r="O159">
            <v>2</v>
          </cell>
          <cell r="Q159">
            <v>45385</v>
          </cell>
          <cell r="R159" t="str">
            <v>水</v>
          </cell>
          <cell r="S159" t="str">
            <v>AM8:30</v>
          </cell>
        </row>
        <row r="160">
          <cell r="A160">
            <v>8302</v>
          </cell>
          <cell r="B160" t="str">
            <v>川瀬 有里</v>
          </cell>
          <cell r="C160" t="str">
            <v>TRADIA</v>
          </cell>
          <cell r="D160">
            <v>45385</v>
          </cell>
          <cell r="E160" t="str">
            <v>24K0401</v>
          </cell>
          <cell r="F160" t="str">
            <v>I000012703</v>
          </cell>
          <cell r="G160">
            <v>0</v>
          </cell>
          <cell r="H160" t="str">
            <v>41315439160</v>
          </cell>
          <cell r="I160">
            <v>266624.88</v>
          </cell>
          <cell r="J160">
            <v>266624.88</v>
          </cell>
          <cell r="K160">
            <v>28.48</v>
          </cell>
          <cell r="L160" t="str">
            <v>TLLU3012070</v>
          </cell>
          <cell r="M160">
            <v>3</v>
          </cell>
          <cell r="N160" t="str">
            <v>20’</v>
          </cell>
          <cell r="O160">
            <v>2</v>
          </cell>
          <cell r="P160">
            <v>45392</v>
          </cell>
          <cell r="Q160">
            <v>45394</v>
          </cell>
          <cell r="R160" t="str">
            <v>金</v>
          </cell>
          <cell r="S160" t="str">
            <v>AM8:30</v>
          </cell>
        </row>
        <row r="161">
          <cell r="A161">
            <v>8303</v>
          </cell>
          <cell r="B161" t="str">
            <v>川瀬 有里</v>
          </cell>
          <cell r="C161" t="str">
            <v>TRADIA</v>
          </cell>
          <cell r="D161">
            <v>45385</v>
          </cell>
          <cell r="E161" t="str">
            <v>24K0402</v>
          </cell>
          <cell r="F161" t="str">
            <v>I000012707</v>
          </cell>
          <cell r="G161">
            <v>0</v>
          </cell>
          <cell r="H161" t="str">
            <v>31397444550</v>
          </cell>
          <cell r="I161">
            <v>320889.59999999998</v>
          </cell>
          <cell r="J161">
            <v>320889.59999999998</v>
          </cell>
          <cell r="K161">
            <v>27.58</v>
          </cell>
          <cell r="L161" t="str">
            <v>TGBU2062666</v>
          </cell>
          <cell r="M161">
            <v>3</v>
          </cell>
          <cell r="N161" t="str">
            <v>20’</v>
          </cell>
          <cell r="O161">
            <v>1</v>
          </cell>
          <cell r="P161">
            <v>45392</v>
          </cell>
          <cell r="Q161">
            <v>45394</v>
          </cell>
          <cell r="R161" t="str">
            <v>金</v>
          </cell>
          <cell r="S161" t="str">
            <v>AM8:30</v>
          </cell>
        </row>
        <row r="162">
          <cell r="A162">
            <v>8304</v>
          </cell>
          <cell r="B162" t="str">
            <v>川瀬 有里</v>
          </cell>
          <cell r="C162" t="str">
            <v>TRADIA</v>
          </cell>
          <cell r="D162">
            <v>45386</v>
          </cell>
          <cell r="E162" t="str">
            <v>24P0307</v>
          </cell>
          <cell r="F162" t="str">
            <v>I000012654</v>
          </cell>
          <cell r="G162">
            <v>0</v>
          </cell>
          <cell r="H162" t="str">
            <v>21545505540</v>
          </cell>
          <cell r="I162">
            <v>515178.3</v>
          </cell>
          <cell r="J162">
            <v>515178.3</v>
          </cell>
          <cell r="K162">
            <v>66.03</v>
          </cell>
          <cell r="L162" t="str">
            <v>WHSU6058393</v>
          </cell>
          <cell r="M162">
            <v>11</v>
          </cell>
          <cell r="N162" t="str">
            <v>40HQ</v>
          </cell>
          <cell r="O162">
            <v>4</v>
          </cell>
          <cell r="P162">
            <v>45391</v>
          </cell>
          <cell r="Q162">
            <v>45399</v>
          </cell>
          <cell r="R162" t="str">
            <v>水</v>
          </cell>
          <cell r="S162" t="str">
            <v>AM7:30</v>
          </cell>
        </row>
        <row r="163">
          <cell r="A163">
            <v>8305</v>
          </cell>
          <cell r="B163" t="str">
            <v>川瀬 有里</v>
          </cell>
          <cell r="C163" t="str">
            <v>TRADIA</v>
          </cell>
          <cell r="D163">
            <v>45387</v>
          </cell>
          <cell r="E163" t="str">
            <v>24K0451</v>
          </cell>
          <cell r="F163" t="str">
            <v>I000012710</v>
          </cell>
          <cell r="G163">
            <v>0</v>
          </cell>
          <cell r="H163" t="str">
            <v>40410822310</v>
          </cell>
          <cell r="I163">
            <v>161277.12</v>
          </cell>
          <cell r="J163">
            <v>161277.12</v>
          </cell>
          <cell r="K163">
            <v>4.5999999999999996</v>
          </cell>
          <cell r="M163">
            <v>3</v>
          </cell>
          <cell r="N163" t="str">
            <v>AIR</v>
          </cell>
          <cell r="O163">
            <v>2</v>
          </cell>
          <cell r="Q163">
            <v>45387</v>
          </cell>
          <cell r="R163" t="str">
            <v>金</v>
          </cell>
          <cell r="S163" t="str">
            <v>AM8:30</v>
          </cell>
        </row>
        <row r="164">
          <cell r="A164">
            <v>8306</v>
          </cell>
          <cell r="B164" t="str">
            <v>川瀬 有里</v>
          </cell>
          <cell r="C164" t="str">
            <v>TRADIA</v>
          </cell>
          <cell r="D164">
            <v>45387</v>
          </cell>
          <cell r="E164" t="str">
            <v>24K0452</v>
          </cell>
          <cell r="F164" t="str">
            <v>I000012709</v>
          </cell>
          <cell r="G164">
            <v>0</v>
          </cell>
          <cell r="H164" t="str">
            <v>40410888440</v>
          </cell>
          <cell r="I164">
            <v>85159.2</v>
          </cell>
          <cell r="J164">
            <v>85159.2</v>
          </cell>
          <cell r="K164">
            <v>2.85</v>
          </cell>
          <cell r="M164">
            <v>3</v>
          </cell>
          <cell r="N164" t="str">
            <v>AIR</v>
          </cell>
          <cell r="O164">
            <v>2</v>
          </cell>
          <cell r="Q164">
            <v>45387</v>
          </cell>
          <cell r="R164" t="str">
            <v>金</v>
          </cell>
          <cell r="S164" t="str">
            <v>AM8:30</v>
          </cell>
        </row>
        <row r="165">
          <cell r="A165">
            <v>8307</v>
          </cell>
          <cell r="B165" t="str">
            <v>川瀬 有里</v>
          </cell>
          <cell r="C165" t="str">
            <v>KONOIKE</v>
          </cell>
          <cell r="D165">
            <v>45387</v>
          </cell>
          <cell r="E165" t="str">
            <v>24T0313</v>
          </cell>
          <cell r="F165" t="str">
            <v>I000012645</v>
          </cell>
          <cell r="G165">
            <v>0</v>
          </cell>
          <cell r="H165" t="str">
            <v>41316166610</v>
          </cell>
          <cell r="I165">
            <v>668129.76</v>
          </cell>
          <cell r="J165">
            <v>668129.76</v>
          </cell>
          <cell r="K165">
            <v>64.790000000000006</v>
          </cell>
          <cell r="L165" t="str">
            <v>WHSU6764846</v>
          </cell>
          <cell r="M165">
            <v>4</v>
          </cell>
          <cell r="N165" t="str">
            <v>40HQ</v>
          </cell>
          <cell r="O165">
            <v>2</v>
          </cell>
          <cell r="P165">
            <v>45393</v>
          </cell>
          <cell r="Q165">
            <v>45397</v>
          </cell>
          <cell r="R165" t="str">
            <v>月</v>
          </cell>
          <cell r="S165" t="str">
            <v>AM8:00</v>
          </cell>
        </row>
        <row r="166">
          <cell r="A166">
            <v>8308</v>
          </cell>
          <cell r="B166" t="str">
            <v>川瀬 有里</v>
          </cell>
          <cell r="C166" t="str">
            <v>KONOIKE</v>
          </cell>
          <cell r="D166">
            <v>45387</v>
          </cell>
          <cell r="E166" t="str">
            <v>24T0401</v>
          </cell>
          <cell r="F166" t="str">
            <v>I000012704</v>
          </cell>
          <cell r="G166">
            <v>0</v>
          </cell>
          <cell r="H166" t="str">
            <v>41316166610</v>
          </cell>
          <cell r="I166">
            <v>623382.04</v>
          </cell>
          <cell r="J166">
            <v>623382.04</v>
          </cell>
          <cell r="K166">
            <v>66.78</v>
          </cell>
          <cell r="L166" t="str">
            <v>WHSU6617383</v>
          </cell>
          <cell r="M166">
            <v>4</v>
          </cell>
          <cell r="N166" t="str">
            <v>40HQ</v>
          </cell>
          <cell r="O166">
            <v>2</v>
          </cell>
          <cell r="P166">
            <v>45393</v>
          </cell>
          <cell r="Q166">
            <v>45397</v>
          </cell>
          <cell r="R166" t="str">
            <v>月</v>
          </cell>
          <cell r="S166" t="str">
            <v>AM8:00</v>
          </cell>
        </row>
        <row r="167">
          <cell r="A167">
            <v>8309</v>
          </cell>
          <cell r="B167" t="str">
            <v>川瀬 有里</v>
          </cell>
          <cell r="C167" t="str">
            <v>KONOIKE</v>
          </cell>
          <cell r="D167">
            <v>45387</v>
          </cell>
          <cell r="E167" t="str">
            <v>24T0402</v>
          </cell>
          <cell r="F167" t="str">
            <v>I000012715</v>
          </cell>
          <cell r="G167">
            <v>0</v>
          </cell>
          <cell r="H167" t="str">
            <v>41316166610</v>
          </cell>
          <cell r="I167">
            <v>424050.6</v>
          </cell>
          <cell r="J167">
            <v>424050.6</v>
          </cell>
          <cell r="K167">
            <v>50.66</v>
          </cell>
          <cell r="L167" t="str">
            <v>WHSU6515503</v>
          </cell>
          <cell r="M167">
            <v>4</v>
          </cell>
          <cell r="N167" t="str">
            <v>40HQ</v>
          </cell>
          <cell r="O167">
            <v>2</v>
          </cell>
          <cell r="P167">
            <v>45393</v>
          </cell>
          <cell r="Q167">
            <v>45397</v>
          </cell>
          <cell r="R167" t="str">
            <v>月</v>
          </cell>
          <cell r="S167" t="str">
            <v>AM8:00</v>
          </cell>
        </row>
        <row r="168">
          <cell r="A168">
            <v>8310</v>
          </cell>
          <cell r="B168" t="str">
            <v>川瀬 有里</v>
          </cell>
          <cell r="C168" t="str">
            <v>TRADIA</v>
          </cell>
          <cell r="D168">
            <v>45390</v>
          </cell>
          <cell r="E168" t="str">
            <v>24K0403</v>
          </cell>
          <cell r="F168" t="str">
            <v>I000012711</v>
          </cell>
          <cell r="G168">
            <v>0</v>
          </cell>
          <cell r="H168" t="str">
            <v>31398516060</v>
          </cell>
          <cell r="I168">
            <v>358220.94</v>
          </cell>
          <cell r="J168">
            <v>358220.94</v>
          </cell>
          <cell r="K168">
            <v>27.85</v>
          </cell>
          <cell r="L168" t="str">
            <v>WHSU0201758</v>
          </cell>
          <cell r="M168">
            <v>3</v>
          </cell>
          <cell r="N168" t="str">
            <v>20’</v>
          </cell>
          <cell r="O168">
            <v>2</v>
          </cell>
          <cell r="P168">
            <v>45394</v>
          </cell>
          <cell r="Q168">
            <v>45398</v>
          </cell>
          <cell r="R168" t="str">
            <v>火</v>
          </cell>
          <cell r="S168" t="str">
            <v>AM8:30</v>
          </cell>
        </row>
        <row r="169">
          <cell r="A169">
            <v>8312</v>
          </cell>
          <cell r="B169" t="str">
            <v>川瀬 有里</v>
          </cell>
          <cell r="C169" t="str">
            <v>TRADIA</v>
          </cell>
          <cell r="D169">
            <v>45390</v>
          </cell>
          <cell r="E169" t="str">
            <v>24K0367-2</v>
          </cell>
          <cell r="F169" t="str">
            <v>24K0367</v>
          </cell>
          <cell r="G169">
            <v>0</v>
          </cell>
          <cell r="H169" t="str">
            <v>40381808600</v>
          </cell>
          <cell r="I169">
            <v>3200</v>
          </cell>
          <cell r="J169">
            <v>3200</v>
          </cell>
          <cell r="K169">
            <v>0.05</v>
          </cell>
          <cell r="M169">
            <v>3</v>
          </cell>
          <cell r="N169" t="str">
            <v>AIR</v>
          </cell>
          <cell r="O169">
            <v>2</v>
          </cell>
          <cell r="Q169">
            <v>45390</v>
          </cell>
          <cell r="R169" t="str">
            <v>月</v>
          </cell>
          <cell r="S169" t="str">
            <v>AM8:30</v>
          </cell>
        </row>
        <row r="170">
          <cell r="A170">
            <v>8313</v>
          </cell>
          <cell r="B170" t="str">
            <v>川瀬 有里</v>
          </cell>
          <cell r="C170" t="str">
            <v>TRADIA</v>
          </cell>
          <cell r="D170">
            <v>45390</v>
          </cell>
          <cell r="E170" t="str">
            <v>24K0318</v>
          </cell>
          <cell r="F170" t="str">
            <v>I000012652</v>
          </cell>
          <cell r="G170">
            <v>0</v>
          </cell>
          <cell r="H170" t="str">
            <v>31397744550</v>
          </cell>
          <cell r="I170">
            <v>294998.76</v>
          </cell>
          <cell r="J170">
            <v>294998.76</v>
          </cell>
          <cell r="K170">
            <v>27.02</v>
          </cell>
          <cell r="L170" t="str">
            <v>OOLU1702441</v>
          </cell>
          <cell r="M170">
            <v>3</v>
          </cell>
          <cell r="N170" t="str">
            <v>20’</v>
          </cell>
          <cell r="O170">
            <v>1</v>
          </cell>
          <cell r="P170">
            <v>45392</v>
          </cell>
          <cell r="Q170">
            <v>45394</v>
          </cell>
          <cell r="R170" t="str">
            <v>金</v>
          </cell>
          <cell r="S170" t="str">
            <v>AM8:30</v>
          </cell>
        </row>
        <row r="171">
          <cell r="A171">
            <v>8314</v>
          </cell>
          <cell r="B171" t="str">
            <v>川瀬 有里</v>
          </cell>
          <cell r="C171" t="str">
            <v>TRADIA</v>
          </cell>
          <cell r="D171">
            <v>45390</v>
          </cell>
          <cell r="E171" t="str">
            <v>24K0404</v>
          </cell>
          <cell r="F171" t="str">
            <v>I000012720</v>
          </cell>
          <cell r="G171">
            <v>0</v>
          </cell>
          <cell r="H171" t="str">
            <v>41318549740</v>
          </cell>
          <cell r="I171">
            <v>356726.12</v>
          </cell>
          <cell r="J171">
            <v>356726.12</v>
          </cell>
          <cell r="K171">
            <v>28.4</v>
          </cell>
          <cell r="L171" t="str">
            <v>TSSU2232756</v>
          </cell>
          <cell r="M171">
            <v>3</v>
          </cell>
          <cell r="N171" t="str">
            <v>20’</v>
          </cell>
          <cell r="O171">
            <v>1</v>
          </cell>
          <cell r="P171">
            <v>45398</v>
          </cell>
          <cell r="Q171">
            <v>45400</v>
          </cell>
          <cell r="R171" t="str">
            <v>木</v>
          </cell>
          <cell r="S171" t="str">
            <v>AM8:30</v>
          </cell>
        </row>
        <row r="172">
          <cell r="A172">
            <v>8315</v>
          </cell>
          <cell r="B172" t="str">
            <v>川瀬 有里</v>
          </cell>
          <cell r="C172" t="str">
            <v>TRADIA</v>
          </cell>
          <cell r="D172">
            <v>45390</v>
          </cell>
          <cell r="E172" t="str">
            <v>24K0455</v>
          </cell>
          <cell r="F172" t="str">
            <v>I000012721</v>
          </cell>
          <cell r="G172">
            <v>0</v>
          </cell>
          <cell r="H172" t="str">
            <v>40446376820</v>
          </cell>
          <cell r="I172">
            <v>6155</v>
          </cell>
          <cell r="J172">
            <v>6155</v>
          </cell>
          <cell r="K172">
            <v>1.29</v>
          </cell>
          <cell r="M172">
            <v>3</v>
          </cell>
          <cell r="N172" t="str">
            <v>AIR</v>
          </cell>
          <cell r="O172">
            <v>2</v>
          </cell>
          <cell r="Q172">
            <v>45392</v>
          </cell>
          <cell r="R172" t="str">
            <v>水</v>
          </cell>
          <cell r="S172" t="str">
            <v>AM8:30</v>
          </cell>
        </row>
        <row r="173">
          <cell r="A173">
            <v>8316</v>
          </cell>
          <cell r="B173" t="str">
            <v>川瀬 有里</v>
          </cell>
          <cell r="C173" t="str">
            <v>TRADIA</v>
          </cell>
          <cell r="D173">
            <v>45390</v>
          </cell>
          <cell r="E173" t="str">
            <v>24P0401</v>
          </cell>
          <cell r="F173" t="str">
            <v>I000012719</v>
          </cell>
          <cell r="G173">
            <v>0</v>
          </cell>
          <cell r="H173" t="str">
            <v>21546676900</v>
          </cell>
          <cell r="I173">
            <v>492015</v>
          </cell>
          <cell r="J173">
            <v>492015</v>
          </cell>
          <cell r="K173">
            <v>62.85</v>
          </cell>
          <cell r="L173" t="str">
            <v>WHSU6165051</v>
          </cell>
          <cell r="M173">
            <v>11</v>
          </cell>
          <cell r="N173" t="str">
            <v>40HQ</v>
          </cell>
          <cell r="O173">
            <v>4</v>
          </cell>
          <cell r="P173">
            <v>45398</v>
          </cell>
          <cell r="Q173">
            <v>45407</v>
          </cell>
          <cell r="R173" t="str">
            <v>木</v>
          </cell>
          <cell r="S173" t="str">
            <v>AM7:30</v>
          </cell>
        </row>
        <row r="174">
          <cell r="A174">
            <v>8317</v>
          </cell>
          <cell r="B174" t="str">
            <v>川瀬 有里</v>
          </cell>
          <cell r="C174" t="str">
            <v>TRADIA</v>
          </cell>
          <cell r="D174">
            <v>45391</v>
          </cell>
          <cell r="E174" t="str">
            <v>24K0455</v>
          </cell>
          <cell r="F174" t="str">
            <v>I000012721</v>
          </cell>
          <cell r="G174">
            <v>0</v>
          </cell>
          <cell r="H174" t="str">
            <v>40446376820</v>
          </cell>
          <cell r="I174">
            <v>6155</v>
          </cell>
          <cell r="J174">
            <v>6155</v>
          </cell>
          <cell r="K174">
            <v>0.7</v>
          </cell>
          <cell r="M174">
            <v>3</v>
          </cell>
          <cell r="N174" t="str">
            <v>AIR</v>
          </cell>
          <cell r="O174">
            <v>2</v>
          </cell>
          <cell r="Q174">
            <v>45390</v>
          </cell>
          <cell r="R174" t="str">
            <v>月</v>
          </cell>
          <cell r="S174" t="str">
            <v>AM8:30</v>
          </cell>
        </row>
        <row r="175">
          <cell r="A175">
            <v>8318</v>
          </cell>
          <cell r="B175" t="str">
            <v>川瀬 有里</v>
          </cell>
          <cell r="C175" t="str">
            <v>KONOIKE</v>
          </cell>
          <cell r="D175">
            <v>45392</v>
          </cell>
          <cell r="E175" t="str">
            <v>24T0403</v>
          </cell>
          <cell r="F175" t="str">
            <v>I000012724</v>
          </cell>
          <cell r="G175">
            <v>0</v>
          </cell>
          <cell r="H175" t="str">
            <v>11609739140</v>
          </cell>
          <cell r="I175">
            <v>585499.48</v>
          </cell>
          <cell r="J175">
            <v>585499.48</v>
          </cell>
          <cell r="K175">
            <v>63.41</v>
          </cell>
          <cell r="L175" t="str">
            <v>WHSU6193855</v>
          </cell>
          <cell r="M175">
            <v>4</v>
          </cell>
          <cell r="N175" t="str">
            <v>40HQ</v>
          </cell>
          <cell r="O175">
            <v>5</v>
          </cell>
          <cell r="P175">
            <v>45400</v>
          </cell>
          <cell r="Q175">
            <v>45404</v>
          </cell>
          <cell r="R175" t="str">
            <v>月</v>
          </cell>
          <cell r="S175" t="str">
            <v>AM8:00</v>
          </cell>
        </row>
        <row r="176">
          <cell r="A176">
            <v>8319</v>
          </cell>
          <cell r="B176" t="str">
            <v>川瀬 有里</v>
          </cell>
          <cell r="C176" t="str">
            <v>KONOIKE</v>
          </cell>
          <cell r="D176">
            <v>45392</v>
          </cell>
          <cell r="E176" t="str">
            <v>24T0404</v>
          </cell>
          <cell r="F176" t="str">
            <v>I000012729</v>
          </cell>
          <cell r="G176">
            <v>0</v>
          </cell>
          <cell r="H176" t="str">
            <v>41320686950</v>
          </cell>
          <cell r="I176">
            <v>753785.04</v>
          </cell>
          <cell r="J176">
            <v>753785.04</v>
          </cell>
          <cell r="K176">
            <v>63.5</v>
          </cell>
          <cell r="L176" t="str">
            <v>WHSU6404644</v>
          </cell>
          <cell r="M176">
            <v>4</v>
          </cell>
          <cell r="N176" t="str">
            <v>40HQ</v>
          </cell>
          <cell r="O176">
            <v>2</v>
          </cell>
          <cell r="P176">
            <v>45402</v>
          </cell>
          <cell r="Q176">
            <v>45406</v>
          </cell>
          <cell r="R176" t="str">
            <v>水</v>
          </cell>
          <cell r="S176" t="str">
            <v>AM8:00</v>
          </cell>
        </row>
        <row r="177">
          <cell r="A177">
            <v>8320</v>
          </cell>
          <cell r="B177" t="str">
            <v>川瀬 有里</v>
          </cell>
          <cell r="C177" t="str">
            <v>TRADIA</v>
          </cell>
          <cell r="D177">
            <v>45393</v>
          </cell>
          <cell r="E177" t="str">
            <v>24K0405</v>
          </cell>
          <cell r="F177" t="str">
            <v>I000012727</v>
          </cell>
          <cell r="G177">
            <v>0</v>
          </cell>
          <cell r="H177" t="str">
            <v>31398776130</v>
          </cell>
          <cell r="I177">
            <v>354185.28</v>
          </cell>
          <cell r="J177">
            <v>354185.28</v>
          </cell>
          <cell r="K177">
            <v>27.43</v>
          </cell>
          <cell r="L177" t="str">
            <v>FCIU5504154</v>
          </cell>
          <cell r="M177">
            <v>3</v>
          </cell>
          <cell r="N177" t="str">
            <v>20’</v>
          </cell>
          <cell r="O177">
            <v>1</v>
          </cell>
          <cell r="P177">
            <v>45400</v>
          </cell>
          <cell r="Q177">
            <v>45404</v>
          </cell>
          <cell r="R177" t="str">
            <v>月</v>
          </cell>
          <cell r="S177" t="str">
            <v>AM8:30</v>
          </cell>
        </row>
        <row r="178">
          <cell r="A178">
            <v>8321</v>
          </cell>
          <cell r="B178" t="str">
            <v>川瀬 有里</v>
          </cell>
          <cell r="C178" t="str">
            <v>TRADIA</v>
          </cell>
          <cell r="D178">
            <v>45393</v>
          </cell>
          <cell r="E178" t="str">
            <v>24K0406</v>
          </cell>
          <cell r="F178" t="str">
            <v>I000012736</v>
          </cell>
          <cell r="G178">
            <v>0</v>
          </cell>
          <cell r="H178" t="str">
            <v>31398776130</v>
          </cell>
          <cell r="I178">
            <v>375843.24</v>
          </cell>
          <cell r="J178">
            <v>375843.24</v>
          </cell>
          <cell r="K178">
            <v>25.18</v>
          </cell>
          <cell r="L178" t="str">
            <v>UETU2303585</v>
          </cell>
          <cell r="M178">
            <v>3</v>
          </cell>
          <cell r="N178" t="str">
            <v>20’</v>
          </cell>
          <cell r="O178">
            <v>1</v>
          </cell>
          <cell r="P178">
            <v>45400</v>
          </cell>
          <cell r="Q178">
            <v>45404</v>
          </cell>
          <cell r="R178" t="str">
            <v>月</v>
          </cell>
          <cell r="S178" t="str">
            <v>AM8:30</v>
          </cell>
        </row>
        <row r="179">
          <cell r="A179">
            <v>8322</v>
          </cell>
          <cell r="B179" t="str">
            <v>川瀬 有里</v>
          </cell>
          <cell r="C179" t="str">
            <v>TRADIA</v>
          </cell>
          <cell r="D179">
            <v>45393</v>
          </cell>
          <cell r="E179" t="str">
            <v>24K0458</v>
          </cell>
          <cell r="F179" t="str">
            <v>I000012732</v>
          </cell>
          <cell r="G179">
            <v>0</v>
          </cell>
          <cell r="H179" t="str">
            <v>40461451800</v>
          </cell>
          <cell r="I179">
            <v>8169.6</v>
          </cell>
          <cell r="J179">
            <v>8169.6</v>
          </cell>
          <cell r="K179">
            <v>0.9</v>
          </cell>
          <cell r="M179">
            <v>3</v>
          </cell>
          <cell r="N179" t="str">
            <v>AIR</v>
          </cell>
          <cell r="O179">
            <v>2</v>
          </cell>
          <cell r="Q179">
            <v>45392</v>
          </cell>
          <cell r="R179" t="str">
            <v>水</v>
          </cell>
          <cell r="S179" t="str">
            <v>AM8:30</v>
          </cell>
        </row>
        <row r="180">
          <cell r="A180">
            <v>8323</v>
          </cell>
          <cell r="B180" t="str">
            <v>川瀬 有里</v>
          </cell>
          <cell r="C180" t="str">
            <v>TRADIA</v>
          </cell>
          <cell r="D180">
            <v>45393</v>
          </cell>
          <cell r="E180" t="str">
            <v>24P0402</v>
          </cell>
          <cell r="F180" t="str">
            <v>I000012737</v>
          </cell>
          <cell r="G180">
            <v>0</v>
          </cell>
          <cell r="H180" t="str">
            <v>41322041710</v>
          </cell>
          <cell r="I180">
            <v>477685.8</v>
          </cell>
          <cell r="J180">
            <v>477685.8</v>
          </cell>
          <cell r="K180">
            <v>62.96</v>
          </cell>
          <cell r="L180" t="str">
            <v>TGBU4297130</v>
          </cell>
          <cell r="N180" t="str">
            <v>40HQ</v>
          </cell>
          <cell r="O180">
            <v>2</v>
          </cell>
          <cell r="P180">
            <v>45402</v>
          </cell>
          <cell r="Q180">
            <v>45407</v>
          </cell>
          <cell r="R180" t="str">
            <v>木</v>
          </cell>
          <cell r="S180" t="str">
            <v>AM9:30</v>
          </cell>
        </row>
        <row r="181">
          <cell r="A181">
            <v>8324</v>
          </cell>
          <cell r="B181" t="str">
            <v>川瀬 有里</v>
          </cell>
          <cell r="C181" t="str">
            <v>TRADIA</v>
          </cell>
          <cell r="D181">
            <v>45394</v>
          </cell>
          <cell r="E181" t="str">
            <v>24K0456</v>
          </cell>
          <cell r="F181" t="str">
            <v>I000012742</v>
          </cell>
          <cell r="G181">
            <v>0</v>
          </cell>
          <cell r="H181" t="str">
            <v>40484982850</v>
          </cell>
          <cell r="I181">
            <v>34911.08</v>
          </cell>
          <cell r="J181">
            <v>34911.08</v>
          </cell>
          <cell r="K181">
            <v>2.58</v>
          </cell>
          <cell r="M181">
            <v>3</v>
          </cell>
          <cell r="N181" t="str">
            <v>AIR</v>
          </cell>
          <cell r="O181">
            <v>2</v>
          </cell>
          <cell r="Q181">
            <v>45394</v>
          </cell>
          <cell r="R181" t="str">
            <v>金</v>
          </cell>
          <cell r="S181" t="str">
            <v>AM8:30</v>
          </cell>
        </row>
        <row r="182">
          <cell r="A182">
            <v>8325</v>
          </cell>
          <cell r="B182" t="str">
            <v>川瀬 有里</v>
          </cell>
          <cell r="C182" t="str">
            <v>TRADIA</v>
          </cell>
          <cell r="D182">
            <v>45397</v>
          </cell>
          <cell r="E182" t="str">
            <v>24P0403</v>
          </cell>
          <cell r="F182" t="str">
            <v>I000012750</v>
          </cell>
          <cell r="G182">
            <v>0</v>
          </cell>
          <cell r="H182" t="str">
            <v>21547295000</v>
          </cell>
          <cell r="I182">
            <v>464243.04</v>
          </cell>
          <cell r="J182">
            <v>464243.04</v>
          </cell>
          <cell r="K182">
            <v>66.36</v>
          </cell>
          <cell r="L182" t="str">
            <v>FFAU1623158</v>
          </cell>
          <cell r="M182">
            <v>11</v>
          </cell>
          <cell r="N182" t="str">
            <v>40HQ</v>
          </cell>
          <cell r="O182">
            <v>4</v>
          </cell>
          <cell r="P182">
            <v>45397</v>
          </cell>
          <cell r="Q182">
            <v>45414</v>
          </cell>
          <cell r="R182" t="str">
            <v>木</v>
          </cell>
          <cell r="S182" t="str">
            <v>AM7:30</v>
          </cell>
        </row>
        <row r="183">
          <cell r="A183">
            <v>8326</v>
          </cell>
          <cell r="B183" t="str">
            <v>川瀬 有里</v>
          </cell>
          <cell r="C183" t="str">
            <v>TRADIA</v>
          </cell>
          <cell r="D183">
            <v>45398</v>
          </cell>
          <cell r="E183" t="str">
            <v>24K0462</v>
          </cell>
          <cell r="F183" t="str">
            <v>I000012752</v>
          </cell>
          <cell r="G183">
            <v>0</v>
          </cell>
          <cell r="H183" t="str">
            <v>40499878630</v>
          </cell>
          <cell r="I183">
            <v>334923.98</v>
          </cell>
          <cell r="J183">
            <v>334923.98</v>
          </cell>
          <cell r="K183">
            <v>1.57</v>
          </cell>
          <cell r="M183">
            <v>3</v>
          </cell>
          <cell r="N183" t="str">
            <v>AIR</v>
          </cell>
          <cell r="O183">
            <v>2</v>
          </cell>
          <cell r="Q183">
            <v>45398</v>
          </cell>
          <cell r="R183" t="str">
            <v>火</v>
          </cell>
          <cell r="S183" t="str">
            <v>AM8:30</v>
          </cell>
        </row>
        <row r="184">
          <cell r="A184">
            <v>8327</v>
          </cell>
          <cell r="B184" t="str">
            <v>川瀬 有里</v>
          </cell>
          <cell r="C184" t="str">
            <v>TRADIA</v>
          </cell>
          <cell r="D184">
            <v>45398</v>
          </cell>
          <cell r="E184" t="str">
            <v>24T0455</v>
          </cell>
          <cell r="F184" t="str">
            <v>I000012757</v>
          </cell>
          <cell r="G184">
            <v>0</v>
          </cell>
          <cell r="H184" t="str">
            <v>40508028140</v>
          </cell>
          <cell r="I184">
            <v>16332.79</v>
          </cell>
          <cell r="J184">
            <v>16332.79</v>
          </cell>
          <cell r="K184">
            <v>1.24</v>
          </cell>
          <cell r="M184">
            <v>4</v>
          </cell>
          <cell r="N184" t="str">
            <v>AIR</v>
          </cell>
          <cell r="O184">
            <v>2</v>
          </cell>
          <cell r="Q184">
            <v>45398</v>
          </cell>
          <cell r="R184" t="str">
            <v>火</v>
          </cell>
          <cell r="S184" t="str">
            <v>AM8:30</v>
          </cell>
        </row>
        <row r="185">
          <cell r="A185">
            <v>8328</v>
          </cell>
          <cell r="B185" t="str">
            <v>川瀬 有里</v>
          </cell>
          <cell r="C185" t="str">
            <v>TRADIA</v>
          </cell>
          <cell r="D185">
            <v>45398</v>
          </cell>
          <cell r="E185" t="str">
            <v>24K0461</v>
          </cell>
          <cell r="F185" t="str">
            <v>I000012756</v>
          </cell>
          <cell r="G185">
            <v>0</v>
          </cell>
          <cell r="H185" t="str">
            <v>40496979560</v>
          </cell>
          <cell r="I185">
            <v>21278.36</v>
          </cell>
          <cell r="J185">
            <v>21278.36</v>
          </cell>
          <cell r="K185">
            <v>1.55</v>
          </cell>
          <cell r="M185">
            <v>4</v>
          </cell>
          <cell r="N185" t="str">
            <v>AIR</v>
          </cell>
          <cell r="O185">
            <v>2</v>
          </cell>
          <cell r="P185">
            <v>45397</v>
          </cell>
          <cell r="Q185">
            <v>45400</v>
          </cell>
          <cell r="R185" t="str">
            <v>木</v>
          </cell>
          <cell r="S185" t="str">
            <v>AM8:30</v>
          </cell>
        </row>
        <row r="186">
          <cell r="A186">
            <v>8329</v>
          </cell>
          <cell r="B186" t="str">
            <v>川瀬 有里</v>
          </cell>
          <cell r="C186" t="str">
            <v>TRADIA</v>
          </cell>
          <cell r="D186">
            <v>45398</v>
          </cell>
          <cell r="E186" t="str">
            <v>24K0408</v>
          </cell>
          <cell r="F186" t="str">
            <v>I000012739</v>
          </cell>
          <cell r="G186">
            <v>0</v>
          </cell>
          <cell r="H186" t="str">
            <v>41322920650</v>
          </cell>
          <cell r="I186">
            <v>348113.09</v>
          </cell>
          <cell r="J186">
            <v>348113.09</v>
          </cell>
          <cell r="K186">
            <v>24.23</v>
          </cell>
          <cell r="L186" t="str">
            <v>WHSU2407898</v>
          </cell>
          <cell r="M186">
            <v>3</v>
          </cell>
          <cell r="N186" t="str">
            <v>20’</v>
          </cell>
          <cell r="O186">
            <v>2</v>
          </cell>
          <cell r="P186">
            <v>45404</v>
          </cell>
          <cell r="Q186">
            <v>45406</v>
          </cell>
          <cell r="R186" t="str">
            <v>水</v>
          </cell>
          <cell r="S186" t="str">
            <v>AM8:30</v>
          </cell>
        </row>
        <row r="187">
          <cell r="A187">
            <v>8330</v>
          </cell>
          <cell r="B187" t="str">
            <v>川瀬 有里</v>
          </cell>
          <cell r="C187" t="str">
            <v>TRADIA</v>
          </cell>
          <cell r="D187">
            <v>45398</v>
          </cell>
          <cell r="E187" t="str">
            <v>24K0409</v>
          </cell>
          <cell r="F187" t="str">
            <v>I000012747</v>
          </cell>
          <cell r="G187">
            <v>0</v>
          </cell>
          <cell r="H187" t="str">
            <v>41322920650</v>
          </cell>
          <cell r="I187">
            <v>325900.79999999999</v>
          </cell>
          <cell r="J187">
            <v>325900.79999999999</v>
          </cell>
          <cell r="K187">
            <v>25.26</v>
          </cell>
          <cell r="L187" t="str">
            <v>WHSU2428205</v>
          </cell>
          <cell r="M187">
            <v>3</v>
          </cell>
          <cell r="N187" t="str">
            <v>20’</v>
          </cell>
          <cell r="O187">
            <v>2</v>
          </cell>
          <cell r="P187">
            <v>45404</v>
          </cell>
          <cell r="Q187">
            <v>45406</v>
          </cell>
          <cell r="R187" t="str">
            <v>水</v>
          </cell>
          <cell r="S187" t="str">
            <v>AM8:30</v>
          </cell>
        </row>
        <row r="188">
          <cell r="A188">
            <v>8331</v>
          </cell>
          <cell r="B188" t="str">
            <v>川瀬 有里</v>
          </cell>
          <cell r="C188" t="str">
            <v>TRADIA</v>
          </cell>
          <cell r="D188">
            <v>45398</v>
          </cell>
          <cell r="E188" t="str">
            <v>24K0410</v>
          </cell>
          <cell r="F188" t="str">
            <v>I000012751</v>
          </cell>
          <cell r="G188">
            <v>0</v>
          </cell>
          <cell r="H188" t="str">
            <v>41322920650</v>
          </cell>
          <cell r="I188">
            <v>281567.59999999998</v>
          </cell>
          <cell r="J188">
            <v>281567.59999999998</v>
          </cell>
          <cell r="K188">
            <v>27.25</v>
          </cell>
          <cell r="L188" t="str">
            <v>WHSU0360456</v>
          </cell>
          <cell r="M188">
            <v>3</v>
          </cell>
          <cell r="N188" t="str">
            <v>20’</v>
          </cell>
          <cell r="O188">
            <v>2</v>
          </cell>
          <cell r="P188">
            <v>45404</v>
          </cell>
          <cell r="Q188">
            <v>45406</v>
          </cell>
          <cell r="R188" t="str">
            <v>水</v>
          </cell>
          <cell r="S188" t="str">
            <v>AM8:30</v>
          </cell>
        </row>
        <row r="189">
          <cell r="A189">
            <v>8332</v>
          </cell>
          <cell r="B189" t="str">
            <v>川瀬 有里</v>
          </cell>
          <cell r="C189" t="str">
            <v>TRADIA</v>
          </cell>
          <cell r="D189">
            <v>45398</v>
          </cell>
          <cell r="E189" t="str">
            <v>24K0411</v>
          </cell>
          <cell r="F189" t="str">
            <v>I000012754</v>
          </cell>
          <cell r="G189">
            <v>0</v>
          </cell>
          <cell r="H189" t="str">
            <v>41322920650</v>
          </cell>
          <cell r="I189">
            <v>262633.48</v>
          </cell>
          <cell r="J189">
            <v>262633.48</v>
          </cell>
          <cell r="K189">
            <v>26.33</v>
          </cell>
          <cell r="L189" t="str">
            <v>WHSU2753669</v>
          </cell>
          <cell r="M189">
            <v>3</v>
          </cell>
          <cell r="N189" t="str">
            <v>20’</v>
          </cell>
          <cell r="O189">
            <v>2</v>
          </cell>
          <cell r="P189">
            <v>45404</v>
          </cell>
          <cell r="Q189">
            <v>45406</v>
          </cell>
          <cell r="R189" t="str">
            <v>水</v>
          </cell>
          <cell r="S189" t="str">
            <v>AM8:30</v>
          </cell>
        </row>
        <row r="190">
          <cell r="A190">
            <v>8333</v>
          </cell>
          <cell r="B190" t="str">
            <v>川瀬 有里</v>
          </cell>
          <cell r="C190" t="str">
            <v>TRADIA</v>
          </cell>
          <cell r="D190">
            <v>45399</v>
          </cell>
          <cell r="E190" t="str">
            <v>24K0412</v>
          </cell>
          <cell r="F190" t="str">
            <v>I000012763</v>
          </cell>
          <cell r="G190">
            <v>0</v>
          </cell>
          <cell r="H190" t="str">
            <v>41323167050</v>
          </cell>
          <cell r="I190">
            <v>344493.04</v>
          </cell>
          <cell r="J190">
            <v>344493.04</v>
          </cell>
          <cell r="K190">
            <v>26.63</v>
          </cell>
          <cell r="L190" t="str">
            <v>TSSU2132166</v>
          </cell>
          <cell r="M190">
            <v>3</v>
          </cell>
          <cell r="N190" t="str">
            <v>20’</v>
          </cell>
          <cell r="O190">
            <v>2</v>
          </cell>
          <cell r="P190">
            <v>45406</v>
          </cell>
          <cell r="Q190">
            <v>45408</v>
          </cell>
          <cell r="R190" t="str">
            <v>金</v>
          </cell>
          <cell r="S190" t="str">
            <v>AM8:30</v>
          </cell>
        </row>
        <row r="191">
          <cell r="A191">
            <v>8335</v>
          </cell>
          <cell r="B191" t="str">
            <v>川瀬 有里</v>
          </cell>
          <cell r="C191" t="str">
            <v>KONOIKE</v>
          </cell>
          <cell r="D191">
            <v>45401</v>
          </cell>
          <cell r="E191" t="str">
            <v>24T0405</v>
          </cell>
          <cell r="F191" t="str">
            <v>I000012749</v>
          </cell>
          <cell r="G191">
            <v>0</v>
          </cell>
          <cell r="H191" t="str">
            <v>41322001330</v>
          </cell>
          <cell r="I191">
            <v>656275.31999999995</v>
          </cell>
          <cell r="J191">
            <v>656275.31999999995</v>
          </cell>
          <cell r="K191">
            <v>60.52</v>
          </cell>
          <cell r="L191" t="str">
            <v>WHSU6040141</v>
          </cell>
          <cell r="M191">
            <v>4</v>
          </cell>
          <cell r="N191" t="str">
            <v>40HQ</v>
          </cell>
          <cell r="O191">
            <v>2</v>
          </cell>
          <cell r="P191">
            <v>45406</v>
          </cell>
          <cell r="Q191">
            <v>45408</v>
          </cell>
          <cell r="R191" t="str">
            <v>金</v>
          </cell>
          <cell r="S191" t="str">
            <v>AM8:30</v>
          </cell>
        </row>
        <row r="192">
          <cell r="A192">
            <v>8336</v>
          </cell>
          <cell r="B192" t="str">
            <v>川瀬 有里</v>
          </cell>
          <cell r="C192" t="str">
            <v>KONOIKE</v>
          </cell>
          <cell r="D192">
            <v>45401</v>
          </cell>
          <cell r="E192" t="str">
            <v>24T0406</v>
          </cell>
          <cell r="F192" t="str">
            <v>I000012760</v>
          </cell>
          <cell r="G192">
            <v>0</v>
          </cell>
          <cell r="H192" t="str">
            <v>41321996060</v>
          </cell>
          <cell r="I192">
            <v>689082.84</v>
          </cell>
          <cell r="J192">
            <v>689082.84</v>
          </cell>
          <cell r="K192">
            <v>58.75</v>
          </cell>
          <cell r="L192" t="str">
            <v>WHSU6217345</v>
          </cell>
          <cell r="M192">
            <v>4</v>
          </cell>
          <cell r="N192" t="str">
            <v>40HQ</v>
          </cell>
          <cell r="O192">
            <v>2</v>
          </cell>
          <cell r="P192">
            <v>45406</v>
          </cell>
          <cell r="Q192">
            <v>45408</v>
          </cell>
          <cell r="R192" t="str">
            <v>金</v>
          </cell>
          <cell r="S192" t="str">
            <v>AM8:30</v>
          </cell>
        </row>
        <row r="193">
          <cell r="A193">
            <v>8337</v>
          </cell>
          <cell r="B193" t="str">
            <v>川瀬 有里</v>
          </cell>
          <cell r="C193" t="str">
            <v>KONOIKE</v>
          </cell>
          <cell r="D193">
            <v>45401</v>
          </cell>
          <cell r="E193" t="str">
            <v>24T0407</v>
          </cell>
          <cell r="F193" t="str">
            <v>I000012770</v>
          </cell>
          <cell r="G193">
            <v>0</v>
          </cell>
          <cell r="H193" t="str">
            <v>11613548650</v>
          </cell>
          <cell r="I193">
            <v>636319.43999999994</v>
          </cell>
          <cell r="J193">
            <v>636319.43999999994</v>
          </cell>
          <cell r="K193">
            <v>60.9</v>
          </cell>
          <cell r="L193" t="str">
            <v>WHSU6287553</v>
          </cell>
          <cell r="M193">
            <v>4</v>
          </cell>
          <cell r="N193" t="str">
            <v>40HQ</v>
          </cell>
          <cell r="O193">
            <v>2</v>
          </cell>
          <cell r="P193">
            <v>45406</v>
          </cell>
          <cell r="Q193">
            <v>45408</v>
          </cell>
          <cell r="R193" t="str">
            <v>金</v>
          </cell>
          <cell r="S193" t="str">
            <v>AM8:30</v>
          </cell>
        </row>
        <row r="194">
          <cell r="A194">
            <v>8338</v>
          </cell>
          <cell r="B194" t="str">
            <v>川瀬 有里</v>
          </cell>
          <cell r="C194" t="str">
            <v>TRADIA</v>
          </cell>
          <cell r="D194">
            <v>45405</v>
          </cell>
          <cell r="E194" t="str">
            <v>24K0464-1</v>
          </cell>
          <cell r="F194" t="str">
            <v>I000012773</v>
          </cell>
          <cell r="G194">
            <v>0</v>
          </cell>
          <cell r="H194" t="str">
            <v>40527537510</v>
          </cell>
          <cell r="I194">
            <v>292712.32000000001</v>
          </cell>
          <cell r="J194">
            <v>292712.32000000001</v>
          </cell>
          <cell r="K194">
            <v>1.42</v>
          </cell>
          <cell r="M194">
            <v>3</v>
          </cell>
          <cell r="N194" t="str">
            <v>AIR</v>
          </cell>
          <cell r="O194">
            <v>2</v>
          </cell>
          <cell r="Q194">
            <v>45401</v>
          </cell>
          <cell r="R194" t="str">
            <v>金</v>
          </cell>
          <cell r="S194" t="str">
            <v>AM8:30</v>
          </cell>
        </row>
        <row r="195">
          <cell r="A195">
            <v>8339</v>
          </cell>
          <cell r="B195" t="str">
            <v>川瀬 有里</v>
          </cell>
          <cell r="C195" t="str">
            <v>TRADIA</v>
          </cell>
          <cell r="D195">
            <v>45405</v>
          </cell>
          <cell r="E195" t="str">
            <v>24K0459</v>
          </cell>
          <cell r="F195" t="str">
            <v>I000012774</v>
          </cell>
          <cell r="G195">
            <v>0</v>
          </cell>
          <cell r="H195" t="str">
            <v>40527675260</v>
          </cell>
          <cell r="I195">
            <v>12779.6</v>
          </cell>
          <cell r="J195">
            <v>12779.6</v>
          </cell>
          <cell r="K195">
            <v>1.02</v>
          </cell>
          <cell r="M195">
            <v>3</v>
          </cell>
          <cell r="N195" t="str">
            <v>AIR</v>
          </cell>
          <cell r="O195">
            <v>2</v>
          </cell>
          <cell r="Q195">
            <v>45401</v>
          </cell>
          <cell r="R195" t="str">
            <v>金</v>
          </cell>
          <cell r="S195" t="str">
            <v>AM8:30</v>
          </cell>
        </row>
        <row r="196">
          <cell r="A196">
            <v>8340</v>
          </cell>
          <cell r="B196" t="str">
            <v>川瀬 有里</v>
          </cell>
          <cell r="C196" t="str">
            <v>TRADIA</v>
          </cell>
          <cell r="D196">
            <v>45405</v>
          </cell>
          <cell r="E196" t="str">
            <v>24K0464-2</v>
          </cell>
          <cell r="F196" t="str">
            <v>K363/24</v>
          </cell>
          <cell r="G196">
            <v>0</v>
          </cell>
          <cell r="H196" t="str">
            <v>40527537510</v>
          </cell>
          <cell r="I196">
            <v>2248.88</v>
          </cell>
          <cell r="J196">
            <v>2248.88</v>
          </cell>
          <cell r="K196">
            <v>0</v>
          </cell>
          <cell r="M196">
            <v>3</v>
          </cell>
          <cell r="N196" t="str">
            <v>AIR</v>
          </cell>
          <cell r="O196">
            <v>2</v>
          </cell>
          <cell r="Q196">
            <v>45401</v>
          </cell>
          <cell r="R196" t="str">
            <v>金</v>
          </cell>
          <cell r="S196" t="str">
            <v>AM8:30</v>
          </cell>
        </row>
        <row r="197">
          <cell r="A197">
            <v>8341</v>
          </cell>
          <cell r="B197" t="str">
            <v>川瀬 有里</v>
          </cell>
          <cell r="C197" t="str">
            <v>TRADIA</v>
          </cell>
          <cell r="D197">
            <v>45405</v>
          </cell>
          <cell r="E197" t="str">
            <v>24K0413</v>
          </cell>
          <cell r="F197" t="str">
            <v>I000012778</v>
          </cell>
          <cell r="G197">
            <v>0</v>
          </cell>
          <cell r="H197" t="str">
            <v>31400840310</v>
          </cell>
          <cell r="I197">
            <v>492584.05</v>
          </cell>
          <cell r="J197">
            <v>492584.05</v>
          </cell>
          <cell r="K197">
            <v>31.6</v>
          </cell>
          <cell r="L197" t="str">
            <v>GAOU2496143</v>
          </cell>
          <cell r="M197">
            <v>3</v>
          </cell>
          <cell r="N197" t="str">
            <v>20’</v>
          </cell>
          <cell r="O197">
            <v>1</v>
          </cell>
          <cell r="P197">
            <v>45413</v>
          </cell>
          <cell r="Q197">
            <v>45419</v>
          </cell>
          <cell r="R197" t="str">
            <v>月</v>
          </cell>
          <cell r="S197" t="str">
            <v>AM8:30</v>
          </cell>
        </row>
        <row r="198">
          <cell r="A198">
            <v>8342</v>
          </cell>
          <cell r="B198" t="str">
            <v>川瀬 有里</v>
          </cell>
          <cell r="C198" t="str">
            <v>TRADIA</v>
          </cell>
          <cell r="D198">
            <v>45405</v>
          </cell>
          <cell r="E198" t="str">
            <v>24K0414</v>
          </cell>
          <cell r="F198" t="str">
            <v>I000012780</v>
          </cell>
          <cell r="G198">
            <v>0</v>
          </cell>
          <cell r="H198" t="str">
            <v>41325630940</v>
          </cell>
          <cell r="I198">
            <v>434521.51</v>
          </cell>
          <cell r="J198">
            <v>434521.51</v>
          </cell>
          <cell r="K198">
            <v>27.52</v>
          </cell>
          <cell r="L198" t="str">
            <v>TSSU2282124</v>
          </cell>
          <cell r="M198">
            <v>3</v>
          </cell>
          <cell r="N198" t="str">
            <v>20’</v>
          </cell>
          <cell r="O198">
            <v>1</v>
          </cell>
          <cell r="P198">
            <v>45413</v>
          </cell>
          <cell r="Q198">
            <v>45419</v>
          </cell>
          <cell r="R198" t="str">
            <v>月</v>
          </cell>
          <cell r="S198" t="str">
            <v>AM8:30</v>
          </cell>
        </row>
        <row r="199">
          <cell r="A199">
            <v>8343</v>
          </cell>
          <cell r="B199" t="str">
            <v>川瀬 有里</v>
          </cell>
          <cell r="C199" t="str">
            <v>TRADIA</v>
          </cell>
          <cell r="D199">
            <v>45405</v>
          </cell>
          <cell r="E199" t="str">
            <v>24K0407</v>
          </cell>
          <cell r="F199" t="str">
            <v>I000012777</v>
          </cell>
          <cell r="G199">
            <v>0</v>
          </cell>
          <cell r="H199" t="str">
            <v>31401564820</v>
          </cell>
          <cell r="I199">
            <v>571257.48</v>
          </cell>
          <cell r="J199">
            <v>571257.48</v>
          </cell>
          <cell r="K199">
            <v>29.97</v>
          </cell>
          <cell r="L199" t="str">
            <v>CSNU1592413</v>
          </cell>
          <cell r="M199">
            <v>3</v>
          </cell>
          <cell r="N199" t="str">
            <v>20’</v>
          </cell>
          <cell r="O199">
            <v>1</v>
          </cell>
          <cell r="P199">
            <v>45413</v>
          </cell>
          <cell r="Q199">
            <v>45419</v>
          </cell>
          <cell r="R199" t="str">
            <v>月</v>
          </cell>
          <cell r="S199" t="str">
            <v>AM8:30</v>
          </cell>
        </row>
        <row r="200">
          <cell r="A200">
            <v>8344</v>
          </cell>
          <cell r="B200" t="str">
            <v>川瀬 有里</v>
          </cell>
          <cell r="C200" t="str">
            <v>TRADIA</v>
          </cell>
          <cell r="D200">
            <v>45405</v>
          </cell>
          <cell r="E200" t="str">
            <v>24K0466</v>
          </cell>
          <cell r="F200" t="str">
            <v>I000012784</v>
          </cell>
          <cell r="G200">
            <v>0</v>
          </cell>
          <cell r="H200" t="str">
            <v>40544403200</v>
          </cell>
          <cell r="I200">
            <v>47132.11</v>
          </cell>
          <cell r="J200">
            <v>47132.11</v>
          </cell>
          <cell r="K200">
            <v>1.1499999999999999</v>
          </cell>
          <cell r="M200">
            <v>3</v>
          </cell>
          <cell r="N200" t="str">
            <v>AIR</v>
          </cell>
          <cell r="O200">
            <v>2</v>
          </cell>
          <cell r="Q200">
            <v>45405</v>
          </cell>
          <cell r="R200" t="str">
            <v>火</v>
          </cell>
          <cell r="S200" t="str">
            <v>AM8:30</v>
          </cell>
        </row>
        <row r="201">
          <cell r="A201">
            <v>8346</v>
          </cell>
          <cell r="B201" t="str">
            <v>川瀬 有里</v>
          </cell>
          <cell r="C201" t="str">
            <v>TRADIA</v>
          </cell>
          <cell r="D201">
            <v>45405</v>
          </cell>
          <cell r="E201" t="str">
            <v>24P0404</v>
          </cell>
          <cell r="F201" t="str">
            <v>I000012767</v>
          </cell>
          <cell r="G201">
            <v>0</v>
          </cell>
          <cell r="H201" t="str">
            <v>21547295000</v>
          </cell>
          <cell r="I201">
            <v>463167.22</v>
          </cell>
          <cell r="J201">
            <v>463167.22</v>
          </cell>
          <cell r="K201">
            <v>67.83</v>
          </cell>
          <cell r="L201" t="str">
            <v>EMCU1554724</v>
          </cell>
          <cell r="N201" t="str">
            <v>40HQ</v>
          </cell>
          <cell r="O201">
            <v>2</v>
          </cell>
          <cell r="P201">
            <v>45409</v>
          </cell>
          <cell r="Q201">
            <v>45419</v>
          </cell>
          <cell r="R201" t="str">
            <v>火</v>
          </cell>
          <cell r="S201" t="str">
            <v>AM9:30</v>
          </cell>
        </row>
        <row r="202">
          <cell r="A202">
            <v>8347</v>
          </cell>
          <cell r="B202" t="str">
            <v>川瀬 有里</v>
          </cell>
          <cell r="C202" t="str">
            <v>TRADIA</v>
          </cell>
          <cell r="D202">
            <v>45405</v>
          </cell>
          <cell r="E202" t="str">
            <v>24K0415</v>
          </cell>
          <cell r="F202" t="str">
            <v>I000012787</v>
          </cell>
          <cell r="G202">
            <v>0</v>
          </cell>
          <cell r="H202" t="str">
            <v>41325630940</v>
          </cell>
          <cell r="I202">
            <v>309163.92</v>
          </cell>
          <cell r="J202">
            <v>309163.92</v>
          </cell>
          <cell r="K202">
            <v>28.09</v>
          </cell>
          <cell r="L202" t="str">
            <v>TSSU2255880</v>
          </cell>
          <cell r="M202">
            <v>3</v>
          </cell>
          <cell r="N202" t="str">
            <v>20’</v>
          </cell>
          <cell r="O202">
            <v>1</v>
          </cell>
          <cell r="P202">
            <v>45413</v>
          </cell>
          <cell r="Q202">
            <v>45419</v>
          </cell>
          <cell r="R202" t="str">
            <v>火</v>
          </cell>
          <cell r="S202" t="str">
            <v>AM8:30</v>
          </cell>
        </row>
        <row r="203">
          <cell r="A203">
            <v>8348</v>
          </cell>
          <cell r="B203" t="str">
            <v>川瀬 有里</v>
          </cell>
          <cell r="C203" t="str">
            <v>TRADIA</v>
          </cell>
          <cell r="D203">
            <v>45406</v>
          </cell>
          <cell r="E203" t="str">
            <v>24P0405</v>
          </cell>
          <cell r="F203" t="str">
            <v>I000012791</v>
          </cell>
          <cell r="G203">
            <v>0</v>
          </cell>
          <cell r="H203" t="str">
            <v>21548734420</v>
          </cell>
          <cell r="I203">
            <v>504010.74</v>
          </cell>
          <cell r="J203">
            <v>504010.74</v>
          </cell>
          <cell r="K203">
            <v>64.45</v>
          </cell>
          <cell r="L203" t="str">
            <v>OOLU8501285</v>
          </cell>
          <cell r="M203">
            <v>11</v>
          </cell>
          <cell r="N203" t="str">
            <v>40HQ</v>
          </cell>
          <cell r="O203">
            <v>4</v>
          </cell>
          <cell r="P203">
            <v>45414</v>
          </cell>
          <cell r="Q203">
            <v>45425</v>
          </cell>
          <cell r="R203" t="str">
            <v>月</v>
          </cell>
          <cell r="S203" t="str">
            <v>AM7:30</v>
          </cell>
        </row>
        <row r="204">
          <cell r="A204">
            <v>8349</v>
          </cell>
          <cell r="B204" t="str">
            <v>川瀬 有里</v>
          </cell>
          <cell r="C204" t="str">
            <v>KONOIKE</v>
          </cell>
          <cell r="D204">
            <v>45406</v>
          </cell>
          <cell r="E204" t="str">
            <v>24T0409</v>
          </cell>
          <cell r="F204" t="str">
            <v>I000012790</v>
          </cell>
          <cell r="G204">
            <v>0</v>
          </cell>
          <cell r="H204" t="str">
            <v>41325475760</v>
          </cell>
          <cell r="I204">
            <v>620272.38</v>
          </cell>
          <cell r="J204">
            <v>620272.38</v>
          </cell>
          <cell r="K204">
            <v>62.72</v>
          </cell>
          <cell r="L204" t="str">
            <v>WHSU5686749</v>
          </cell>
          <cell r="M204">
            <v>4</v>
          </cell>
          <cell r="N204" t="str">
            <v>40HQ</v>
          </cell>
          <cell r="O204">
            <v>2</v>
          </cell>
          <cell r="P204">
            <v>45414</v>
          </cell>
          <cell r="Q204">
            <v>45421</v>
          </cell>
          <cell r="R204" t="str">
            <v>木</v>
          </cell>
          <cell r="S204" t="str">
            <v>AM8:00</v>
          </cell>
        </row>
        <row r="205">
          <cell r="A205">
            <v>8350</v>
          </cell>
          <cell r="B205" t="str">
            <v>川瀬 有里</v>
          </cell>
          <cell r="C205" t="str">
            <v>KONOIKE</v>
          </cell>
          <cell r="D205">
            <v>45406</v>
          </cell>
          <cell r="E205" t="str">
            <v>24T0408</v>
          </cell>
          <cell r="F205" t="str">
            <v>I000012782</v>
          </cell>
          <cell r="G205">
            <v>0</v>
          </cell>
          <cell r="H205" t="str">
            <v>41325447540</v>
          </cell>
          <cell r="I205">
            <v>894708.24</v>
          </cell>
          <cell r="J205">
            <v>894708.24</v>
          </cell>
          <cell r="K205">
            <v>63.37</v>
          </cell>
          <cell r="L205" t="str">
            <v>WHSU6654807</v>
          </cell>
          <cell r="M205">
            <v>4</v>
          </cell>
          <cell r="N205" t="str">
            <v>40HQ</v>
          </cell>
          <cell r="O205">
            <v>2</v>
          </cell>
          <cell r="P205">
            <v>45414</v>
          </cell>
          <cell r="Q205">
            <v>45421</v>
          </cell>
          <cell r="R205" t="str">
            <v>木</v>
          </cell>
          <cell r="S205" t="str">
            <v>AM8:00</v>
          </cell>
        </row>
        <row r="206">
          <cell r="A206">
            <v>8351</v>
          </cell>
          <cell r="B206" t="str">
            <v>川瀬 有里</v>
          </cell>
          <cell r="C206" t="str">
            <v>YUSEN</v>
          </cell>
          <cell r="D206">
            <v>45408</v>
          </cell>
          <cell r="E206" t="str">
            <v>24K0417</v>
          </cell>
          <cell r="F206" t="str">
            <v>I000012800</v>
          </cell>
          <cell r="G206">
            <v>0</v>
          </cell>
          <cell r="H206" t="str">
            <v>31400612710</v>
          </cell>
          <cell r="I206">
            <v>461937</v>
          </cell>
          <cell r="J206">
            <v>461937</v>
          </cell>
          <cell r="K206">
            <v>26.41</v>
          </cell>
          <cell r="L206" t="str">
            <v>DRYU2571547</v>
          </cell>
          <cell r="M206">
            <v>3</v>
          </cell>
          <cell r="N206" t="str">
            <v>20’</v>
          </cell>
          <cell r="O206">
            <v>1</v>
          </cell>
          <cell r="P206">
            <v>45416</v>
          </cell>
          <cell r="Q206">
            <v>45422</v>
          </cell>
          <cell r="R206" t="str">
            <v>水</v>
          </cell>
          <cell r="S206" t="str">
            <v>AM8:30</v>
          </cell>
        </row>
        <row r="207">
          <cell r="A207">
            <v>8352</v>
          </cell>
          <cell r="B207" t="str">
            <v>川瀬 有里</v>
          </cell>
          <cell r="C207" t="str">
            <v>TRADIA</v>
          </cell>
          <cell r="D207">
            <v>45409</v>
          </cell>
          <cell r="E207" t="str">
            <v>24P0407</v>
          </cell>
          <cell r="F207" t="str">
            <v>I000012801</v>
          </cell>
          <cell r="G207">
            <v>0</v>
          </cell>
          <cell r="H207" t="str">
            <v>41329009400</v>
          </cell>
          <cell r="I207">
            <v>206511.72</v>
          </cell>
          <cell r="J207">
            <v>206511.72</v>
          </cell>
          <cell r="K207">
            <v>27.15</v>
          </cell>
          <cell r="L207" t="str">
            <v>WHSU2578186</v>
          </cell>
          <cell r="N207" t="str">
            <v>20’</v>
          </cell>
          <cell r="O207">
            <v>2</v>
          </cell>
          <cell r="P207">
            <v>45419</v>
          </cell>
          <cell r="Q207">
            <v>45433</v>
          </cell>
          <cell r="R207" t="str">
            <v>火</v>
          </cell>
          <cell r="S207" t="str">
            <v>AM9:30</v>
          </cell>
        </row>
        <row r="208">
          <cell r="A208">
            <v>8353</v>
          </cell>
          <cell r="B208" t="str">
            <v>川瀬 有里</v>
          </cell>
          <cell r="C208" t="str">
            <v>KONOIKE</v>
          </cell>
          <cell r="D208">
            <v>45409</v>
          </cell>
          <cell r="E208" t="str">
            <v>24T0410</v>
          </cell>
          <cell r="F208" t="str">
            <v>I000012794</v>
          </cell>
          <cell r="G208">
            <v>0</v>
          </cell>
          <cell r="H208" t="str">
            <v>11614406630</v>
          </cell>
          <cell r="I208">
            <v>636317.96</v>
          </cell>
          <cell r="J208">
            <v>636317.96</v>
          </cell>
          <cell r="K208">
            <v>61.74</v>
          </cell>
          <cell r="L208" t="str">
            <v>WHSU6804424</v>
          </cell>
          <cell r="M208">
            <v>4</v>
          </cell>
          <cell r="N208" t="str">
            <v>40HQ</v>
          </cell>
          <cell r="O208">
            <v>5</v>
          </cell>
          <cell r="P208">
            <v>45414</v>
          </cell>
          <cell r="Q208">
            <v>45420</v>
          </cell>
          <cell r="R208" t="str">
            <v>水</v>
          </cell>
          <cell r="S208" t="str">
            <v>AM8:00</v>
          </cell>
        </row>
        <row r="209">
          <cell r="A209">
            <v>8354</v>
          </cell>
          <cell r="B209" t="str">
            <v>川瀬 有里</v>
          </cell>
          <cell r="C209" t="str">
            <v>KONOIKE</v>
          </cell>
          <cell r="D209">
            <v>45409</v>
          </cell>
          <cell r="E209" t="str">
            <v>24T0411</v>
          </cell>
          <cell r="F209" t="str">
            <v>I000012797</v>
          </cell>
          <cell r="G209">
            <v>0</v>
          </cell>
          <cell r="H209" t="str">
            <v>41325947560</v>
          </cell>
          <cell r="I209">
            <v>721168.68</v>
          </cell>
          <cell r="J209">
            <v>721168.68</v>
          </cell>
          <cell r="K209">
            <v>64.2</v>
          </cell>
          <cell r="L209" t="str">
            <v>WHSU6175189</v>
          </cell>
          <cell r="M209">
            <v>4</v>
          </cell>
          <cell r="N209" t="str">
            <v>40HQ</v>
          </cell>
          <cell r="O209">
            <v>2</v>
          </cell>
          <cell r="P209">
            <v>45419</v>
          </cell>
          <cell r="Q209">
            <v>45421</v>
          </cell>
          <cell r="R209" t="str">
            <v>木</v>
          </cell>
          <cell r="S209" t="str">
            <v>AM8:00</v>
          </cell>
        </row>
        <row r="210">
          <cell r="A210">
            <v>8355</v>
          </cell>
          <cell r="B210" t="str">
            <v>川瀬 有里</v>
          </cell>
          <cell r="C210" t="str">
            <v>KONOIKE</v>
          </cell>
          <cell r="D210">
            <v>45409</v>
          </cell>
          <cell r="E210" t="str">
            <v>24T0412</v>
          </cell>
          <cell r="F210" t="str">
            <v>I000012803</v>
          </cell>
          <cell r="G210">
            <v>0</v>
          </cell>
          <cell r="H210" t="str">
            <v>41325947560</v>
          </cell>
          <cell r="I210">
            <v>674898.8</v>
          </cell>
          <cell r="J210">
            <v>674898.8</v>
          </cell>
          <cell r="K210">
            <v>63.82</v>
          </cell>
          <cell r="L210" t="str">
            <v>WHSU6352896</v>
          </cell>
          <cell r="M210">
            <v>4</v>
          </cell>
          <cell r="N210" t="str">
            <v>40HQ</v>
          </cell>
          <cell r="O210">
            <v>2</v>
          </cell>
          <cell r="P210">
            <v>45419</v>
          </cell>
          <cell r="Q210">
            <v>45421</v>
          </cell>
          <cell r="R210" t="str">
            <v>木</v>
          </cell>
          <cell r="S210" t="str">
            <v>AM8:00</v>
          </cell>
        </row>
        <row r="211">
          <cell r="A211">
            <v>8356</v>
          </cell>
          <cell r="B211" t="str">
            <v>川瀬 有里</v>
          </cell>
          <cell r="C211" t="str">
            <v>TRADIA</v>
          </cell>
          <cell r="D211">
            <v>45409</v>
          </cell>
          <cell r="E211" t="str">
            <v>24K0416</v>
          </cell>
          <cell r="F211" t="str">
            <v>I000012805</v>
          </cell>
          <cell r="G211">
            <v>0</v>
          </cell>
          <cell r="H211" t="str">
            <v>41328314260</v>
          </cell>
          <cell r="I211">
            <v>413159.14</v>
          </cell>
          <cell r="J211">
            <v>413159.14</v>
          </cell>
          <cell r="K211">
            <v>29.95</v>
          </cell>
          <cell r="L211" t="str">
            <v>WHLU0427478</v>
          </cell>
          <cell r="M211">
            <v>3</v>
          </cell>
          <cell r="N211" t="str">
            <v>20’</v>
          </cell>
          <cell r="O211">
            <v>2</v>
          </cell>
          <cell r="P211">
            <v>45418</v>
          </cell>
          <cell r="Q211">
            <v>45421</v>
          </cell>
          <cell r="R211" t="str">
            <v>木</v>
          </cell>
          <cell r="S211" t="str">
            <v>AM8:30</v>
          </cell>
        </row>
        <row r="212">
          <cell r="A212">
            <v>8357</v>
          </cell>
          <cell r="B212" t="str">
            <v>川瀬 有里</v>
          </cell>
          <cell r="C212" t="str">
            <v>YUSEN</v>
          </cell>
          <cell r="D212">
            <v>45409</v>
          </cell>
          <cell r="E212" t="str">
            <v>24K0418</v>
          </cell>
          <cell r="F212" t="str">
            <v>I000012811</v>
          </cell>
          <cell r="G212">
            <v>0</v>
          </cell>
          <cell r="H212" t="str">
            <v>31401842720</v>
          </cell>
          <cell r="I212">
            <v>470060.3</v>
          </cell>
          <cell r="J212">
            <v>470060.3</v>
          </cell>
          <cell r="K212">
            <v>27.95</v>
          </cell>
          <cell r="L212" t="str">
            <v>OOLU0194768</v>
          </cell>
          <cell r="M212">
            <v>3</v>
          </cell>
          <cell r="N212" t="str">
            <v>20’</v>
          </cell>
          <cell r="O212">
            <v>2</v>
          </cell>
          <cell r="P212">
            <v>45421</v>
          </cell>
          <cell r="Q212">
            <v>45425</v>
          </cell>
          <cell r="R212" t="str">
            <v>月</v>
          </cell>
          <cell r="S212" t="str">
            <v>AM8:30</v>
          </cell>
        </row>
        <row r="213">
          <cell r="A213">
            <v>8358</v>
          </cell>
          <cell r="B213" t="str">
            <v>川瀬 有里</v>
          </cell>
          <cell r="C213" t="str">
            <v>KONOIKE</v>
          </cell>
          <cell r="D213">
            <v>45420</v>
          </cell>
          <cell r="E213" t="str">
            <v>24T0413</v>
          </cell>
          <cell r="F213" t="str">
            <v>I000012810</v>
          </cell>
          <cell r="G213">
            <v>0</v>
          </cell>
          <cell r="H213" t="str">
            <v>11616846720</v>
          </cell>
          <cell r="I213">
            <v>723983.96</v>
          </cell>
          <cell r="J213">
            <v>723983.96</v>
          </cell>
          <cell r="K213">
            <v>62.73</v>
          </cell>
          <cell r="L213" t="str">
            <v>WHSU6475653</v>
          </cell>
          <cell r="M213">
            <v>4</v>
          </cell>
          <cell r="N213" t="str">
            <v>40HQ</v>
          </cell>
          <cell r="O213">
            <v>5</v>
          </cell>
          <cell r="P213">
            <v>45418</v>
          </cell>
          <cell r="Q213">
            <v>45422</v>
          </cell>
          <cell r="R213" t="str">
            <v>金</v>
          </cell>
          <cell r="S213" t="str">
            <v>AM8:00</v>
          </cell>
        </row>
        <row r="214">
          <cell r="A214">
            <v>8359</v>
          </cell>
          <cell r="B214" t="str">
            <v>川瀬 有里</v>
          </cell>
          <cell r="C214" t="str">
            <v>TRADIA</v>
          </cell>
          <cell r="D214">
            <v>45420</v>
          </cell>
          <cell r="E214" t="str">
            <v>24P0406</v>
          </cell>
          <cell r="F214" t="str">
            <v>I000012813</v>
          </cell>
          <cell r="G214">
            <v>0</v>
          </cell>
          <cell r="H214" t="str">
            <v>41329001220</v>
          </cell>
          <cell r="I214">
            <v>511926.72</v>
          </cell>
          <cell r="J214">
            <v>511926.72</v>
          </cell>
          <cell r="K214">
            <v>67.81</v>
          </cell>
          <cell r="L214" t="str">
            <v>WHSU6880070</v>
          </cell>
          <cell r="N214" t="str">
            <v>40HQ</v>
          </cell>
          <cell r="O214">
            <v>5</v>
          </cell>
          <cell r="P214">
            <v>45420</v>
          </cell>
          <cell r="Q214">
            <v>45428</v>
          </cell>
          <cell r="R214" t="str">
            <v>木</v>
          </cell>
          <cell r="S214" t="str">
            <v>AM9:30</v>
          </cell>
        </row>
        <row r="215">
          <cell r="A215">
            <v>8360</v>
          </cell>
          <cell r="B215" t="str">
            <v>川瀬 有里</v>
          </cell>
          <cell r="C215" t="str">
            <v>KONOIKE</v>
          </cell>
          <cell r="D215">
            <v>45419</v>
          </cell>
          <cell r="E215" t="str">
            <v>24T0501</v>
          </cell>
          <cell r="F215" t="str">
            <v>I000012821</v>
          </cell>
          <cell r="G215">
            <v>0</v>
          </cell>
          <cell r="H215" t="str">
            <v>41329331510</v>
          </cell>
          <cell r="I215">
            <v>616960.12</v>
          </cell>
          <cell r="J215">
            <v>616960.12</v>
          </cell>
          <cell r="K215">
            <v>64.67</v>
          </cell>
          <cell r="L215" t="str">
            <v>WHSU5696942</v>
          </cell>
          <cell r="M215">
            <v>4</v>
          </cell>
          <cell r="N215" t="str">
            <v>40HQ</v>
          </cell>
          <cell r="O215">
            <v>2</v>
          </cell>
          <cell r="P215">
            <v>45427</v>
          </cell>
          <cell r="Q215">
            <v>45429</v>
          </cell>
          <cell r="R215" t="str">
            <v>金</v>
          </cell>
          <cell r="S215" t="str">
            <v>AM8:00</v>
          </cell>
        </row>
        <row r="216">
          <cell r="A216">
            <v>8361</v>
          </cell>
          <cell r="B216" t="str">
            <v>川瀬 有里</v>
          </cell>
          <cell r="C216" t="str">
            <v>TRADIA</v>
          </cell>
          <cell r="D216">
            <v>45422</v>
          </cell>
          <cell r="E216" t="str">
            <v>24K0501</v>
          </cell>
          <cell r="F216" t="str">
            <v>I000012816</v>
          </cell>
          <cell r="G216">
            <v>0</v>
          </cell>
          <cell r="H216" t="str">
            <v>31402590910</v>
          </cell>
          <cell r="I216">
            <v>308765.52</v>
          </cell>
          <cell r="J216">
            <v>308765.52</v>
          </cell>
          <cell r="K216">
            <v>28.13</v>
          </cell>
          <cell r="L216" t="str">
            <v>BSIU3055977</v>
          </cell>
          <cell r="M216">
            <v>3</v>
          </cell>
          <cell r="N216" t="str">
            <v>20’</v>
          </cell>
          <cell r="O216">
            <v>1</v>
          </cell>
          <cell r="P216">
            <v>45427</v>
          </cell>
          <cell r="Q216">
            <v>45429</v>
          </cell>
          <cell r="R216" t="str">
            <v>金</v>
          </cell>
          <cell r="S216" t="str">
            <v>AM8:30</v>
          </cell>
        </row>
        <row r="217">
          <cell r="A217">
            <v>8362</v>
          </cell>
          <cell r="B217" t="str">
            <v>川瀬 有里</v>
          </cell>
          <cell r="C217" t="str">
            <v>TRADIA</v>
          </cell>
          <cell r="D217">
            <v>45422</v>
          </cell>
          <cell r="E217" t="str">
            <v>24K0502</v>
          </cell>
          <cell r="F217" t="str">
            <v>I000012825</v>
          </cell>
          <cell r="G217">
            <v>0</v>
          </cell>
          <cell r="H217" t="str">
            <v>31402590910</v>
          </cell>
          <cell r="I217">
            <v>382250.2</v>
          </cell>
          <cell r="J217">
            <v>382250.2</v>
          </cell>
          <cell r="K217">
            <v>28.3</v>
          </cell>
          <cell r="L217" t="str">
            <v>TSSU2034299</v>
          </cell>
          <cell r="M217">
            <v>3</v>
          </cell>
          <cell r="N217" t="str">
            <v>20’</v>
          </cell>
          <cell r="O217">
            <v>1</v>
          </cell>
          <cell r="P217">
            <v>45427</v>
          </cell>
          <cell r="Q217">
            <v>45429</v>
          </cell>
          <cell r="R217" t="str">
            <v>金</v>
          </cell>
          <cell r="S217" t="str">
            <v>AM8:30</v>
          </cell>
        </row>
        <row r="218">
          <cell r="A218">
            <v>8363</v>
          </cell>
          <cell r="B218" t="str">
            <v>川瀬 有里</v>
          </cell>
          <cell r="C218" t="str">
            <v>TRADIA</v>
          </cell>
          <cell r="D218">
            <v>45422</v>
          </cell>
          <cell r="E218" t="str">
            <v>24T0502</v>
          </cell>
          <cell r="F218" t="str">
            <v>I000012828</v>
          </cell>
          <cell r="G218">
            <v>0</v>
          </cell>
          <cell r="H218" t="str">
            <v>41330901240</v>
          </cell>
          <cell r="I218">
            <v>790168.24</v>
          </cell>
          <cell r="J218">
            <v>790168.24</v>
          </cell>
          <cell r="K218">
            <v>61.08</v>
          </cell>
          <cell r="L218" t="str">
            <v>EITU1646046</v>
          </cell>
          <cell r="M218">
            <v>4</v>
          </cell>
          <cell r="N218" t="str">
            <v>40HQ</v>
          </cell>
          <cell r="O218">
            <v>2</v>
          </cell>
          <cell r="P218">
            <v>45430</v>
          </cell>
          <cell r="Q218">
            <v>45434</v>
          </cell>
          <cell r="R218" t="str">
            <v>水</v>
          </cell>
          <cell r="S218" t="str">
            <v>AM8:00</v>
          </cell>
        </row>
        <row r="219">
          <cell r="A219">
            <v>8364</v>
          </cell>
          <cell r="B219" t="str">
            <v>川瀬 有里</v>
          </cell>
          <cell r="C219" t="str">
            <v>TRADIA</v>
          </cell>
          <cell r="D219">
            <v>45422</v>
          </cell>
          <cell r="E219" t="str">
            <v>24K0503</v>
          </cell>
          <cell r="F219" t="str">
            <v>I000012834</v>
          </cell>
          <cell r="G219">
            <v>0</v>
          </cell>
          <cell r="H219" t="str">
            <v>31403094060</v>
          </cell>
          <cell r="I219">
            <v>370733</v>
          </cell>
          <cell r="J219">
            <v>370733</v>
          </cell>
          <cell r="K219">
            <v>28.65</v>
          </cell>
          <cell r="L219" t="str">
            <v>WHSU0068455</v>
          </cell>
          <cell r="M219">
            <v>3</v>
          </cell>
          <cell r="N219" t="str">
            <v>20’</v>
          </cell>
          <cell r="O219">
            <v>1</v>
          </cell>
          <cell r="P219">
            <v>45432</v>
          </cell>
          <cell r="Q219">
            <v>45434</v>
          </cell>
          <cell r="R219" t="str">
            <v>水</v>
          </cell>
          <cell r="S219" t="str">
            <v>AM8:30</v>
          </cell>
        </row>
        <row r="220">
          <cell r="A220">
            <v>8365</v>
          </cell>
          <cell r="B220" t="str">
            <v>川瀬 有里</v>
          </cell>
          <cell r="C220" t="str">
            <v>TRADIA</v>
          </cell>
          <cell r="D220">
            <v>45422</v>
          </cell>
          <cell r="E220" t="str">
            <v>24K0504</v>
          </cell>
          <cell r="F220" t="str">
            <v>I000012837</v>
          </cell>
          <cell r="G220">
            <v>0</v>
          </cell>
          <cell r="H220" t="str">
            <v>31403094060</v>
          </cell>
          <cell r="I220">
            <v>331970</v>
          </cell>
          <cell r="J220">
            <v>331970</v>
          </cell>
          <cell r="K220">
            <v>24.92</v>
          </cell>
          <cell r="L220" t="str">
            <v>WHSU0437115</v>
          </cell>
          <cell r="M220">
            <v>3</v>
          </cell>
          <cell r="N220" t="str">
            <v>20’</v>
          </cell>
          <cell r="O220">
            <v>1</v>
          </cell>
          <cell r="P220">
            <v>45432</v>
          </cell>
          <cell r="Q220">
            <v>45434</v>
          </cell>
          <cell r="R220" t="str">
            <v>水</v>
          </cell>
          <cell r="S220" t="str">
            <v>AM8:30</v>
          </cell>
        </row>
        <row r="221">
          <cell r="A221">
            <v>8366</v>
          </cell>
          <cell r="B221" t="str">
            <v>川瀬 有里</v>
          </cell>
          <cell r="C221" t="str">
            <v>TRADIA</v>
          </cell>
          <cell r="D221">
            <v>45422</v>
          </cell>
          <cell r="E221" t="str">
            <v>24K0505</v>
          </cell>
          <cell r="F221" t="str">
            <v>I000012839</v>
          </cell>
          <cell r="G221">
            <v>0</v>
          </cell>
          <cell r="H221" t="str">
            <v>31403094060</v>
          </cell>
          <cell r="I221">
            <v>395845.48</v>
          </cell>
          <cell r="J221">
            <v>395845.48</v>
          </cell>
          <cell r="K221">
            <v>26.74</v>
          </cell>
          <cell r="L221" t="str">
            <v>WHSU0221646</v>
          </cell>
          <cell r="M221">
            <v>3</v>
          </cell>
          <cell r="N221" t="str">
            <v>20’</v>
          </cell>
          <cell r="O221">
            <v>1</v>
          </cell>
          <cell r="P221">
            <v>45432</v>
          </cell>
          <cell r="Q221">
            <v>45434</v>
          </cell>
          <cell r="R221" t="str">
            <v>水</v>
          </cell>
          <cell r="S221" t="str">
            <v>AM8:30</v>
          </cell>
        </row>
        <row r="222">
          <cell r="A222">
            <v>8367</v>
          </cell>
          <cell r="B222" t="str">
            <v>川瀬 有里</v>
          </cell>
          <cell r="C222" t="str">
            <v>TRADIA</v>
          </cell>
          <cell r="D222">
            <v>45427</v>
          </cell>
          <cell r="E222" t="str">
            <v>24P0501</v>
          </cell>
          <cell r="F222" t="str">
            <v>I000012830</v>
          </cell>
          <cell r="G222">
            <v>0</v>
          </cell>
          <cell r="H222" t="str">
            <v>41332680860</v>
          </cell>
          <cell r="I222">
            <v>541708.80000000005</v>
          </cell>
          <cell r="J222">
            <v>541708.80000000005</v>
          </cell>
          <cell r="K222">
            <v>66.77</v>
          </cell>
          <cell r="L222" t="str">
            <v>WHSU5710608</v>
          </cell>
          <cell r="N222" t="str">
            <v>40HQ</v>
          </cell>
          <cell r="O222">
            <v>2</v>
          </cell>
          <cell r="P222">
            <v>45432</v>
          </cell>
          <cell r="Q222">
            <v>45436</v>
          </cell>
          <cell r="R222" t="str">
            <v>金</v>
          </cell>
          <cell r="S222" t="str">
            <v>AM8:30</v>
          </cell>
        </row>
        <row r="223">
          <cell r="A223">
            <v>8368</v>
          </cell>
          <cell r="B223" t="str">
            <v>川瀬 有里</v>
          </cell>
          <cell r="C223" t="str">
            <v>TRADIA</v>
          </cell>
          <cell r="D223">
            <v>45427</v>
          </cell>
          <cell r="E223" t="str">
            <v>24P0502</v>
          </cell>
          <cell r="F223" t="str">
            <v>I000012840</v>
          </cell>
          <cell r="G223">
            <v>0</v>
          </cell>
          <cell r="H223" t="str">
            <v>21551963520</v>
          </cell>
          <cell r="I223">
            <v>492673.2</v>
          </cell>
          <cell r="J223">
            <v>492673.2</v>
          </cell>
          <cell r="K223">
            <v>63.48</v>
          </cell>
          <cell r="L223" t="str">
            <v>GAOU6958954</v>
          </cell>
          <cell r="M223">
            <v>11</v>
          </cell>
          <cell r="N223" t="str">
            <v>40HQ</v>
          </cell>
          <cell r="O223">
            <v>4</v>
          </cell>
          <cell r="P223">
            <v>45435</v>
          </cell>
          <cell r="Q223">
            <v>45446</v>
          </cell>
          <cell r="R223" t="str">
            <v>月</v>
          </cell>
          <cell r="S223" t="str">
            <v>AM7:30</v>
          </cell>
        </row>
        <row r="224">
          <cell r="A224">
            <v>8369</v>
          </cell>
          <cell r="B224" t="str">
            <v>川瀬 有里</v>
          </cell>
          <cell r="C224" t="str">
            <v>KONOIKE</v>
          </cell>
          <cell r="D224">
            <v>45428</v>
          </cell>
          <cell r="E224" t="str">
            <v>24T0504</v>
          </cell>
          <cell r="F224" t="str">
            <v>I000012844</v>
          </cell>
          <cell r="G224">
            <v>0</v>
          </cell>
          <cell r="H224" t="str">
            <v>41333677810</v>
          </cell>
          <cell r="I224">
            <v>635546.66</v>
          </cell>
          <cell r="J224">
            <v>635546.66</v>
          </cell>
          <cell r="K224">
            <v>64.48</v>
          </cell>
          <cell r="L224" t="str">
            <v>WHSU6867910</v>
          </cell>
          <cell r="M224">
            <v>4</v>
          </cell>
          <cell r="N224" t="str">
            <v>40HQ</v>
          </cell>
          <cell r="O224">
            <v>2</v>
          </cell>
          <cell r="P224">
            <v>45437</v>
          </cell>
          <cell r="Q224">
            <v>45441</v>
          </cell>
          <cell r="R224" t="str">
            <v>水</v>
          </cell>
          <cell r="S224" t="str">
            <v>AM8:00</v>
          </cell>
        </row>
        <row r="225">
          <cell r="A225">
            <v>8370</v>
          </cell>
          <cell r="B225" t="str">
            <v>川瀬 有里</v>
          </cell>
          <cell r="C225" t="str">
            <v>KONOIKE</v>
          </cell>
          <cell r="D225">
            <v>45428</v>
          </cell>
          <cell r="E225" t="str">
            <v>24T0505</v>
          </cell>
          <cell r="F225" t="str">
            <v>I000012851</v>
          </cell>
          <cell r="G225">
            <v>0</v>
          </cell>
          <cell r="H225" t="str">
            <v>41333677810</v>
          </cell>
          <cell r="I225">
            <v>598613.22</v>
          </cell>
          <cell r="J225">
            <v>598613.22</v>
          </cell>
          <cell r="K225">
            <v>65.459999999999994</v>
          </cell>
          <cell r="L225" t="str">
            <v>WHSU5396950</v>
          </cell>
          <cell r="M225">
            <v>4</v>
          </cell>
          <cell r="N225" t="str">
            <v>40HQ</v>
          </cell>
          <cell r="O225">
            <v>2</v>
          </cell>
          <cell r="P225">
            <v>45437</v>
          </cell>
          <cell r="Q225">
            <v>45441</v>
          </cell>
          <cell r="R225" t="str">
            <v>水</v>
          </cell>
          <cell r="S225" t="str">
            <v>AM8:00</v>
          </cell>
        </row>
        <row r="226">
          <cell r="A226">
            <v>8371</v>
          </cell>
          <cell r="B226" t="str">
            <v>川瀬 有里</v>
          </cell>
          <cell r="C226" t="str">
            <v>KONOIKE</v>
          </cell>
          <cell r="D226">
            <v>45428</v>
          </cell>
          <cell r="E226" t="str">
            <v>24T0503</v>
          </cell>
          <cell r="F226" t="str">
            <v>I000012838</v>
          </cell>
          <cell r="G226">
            <v>0</v>
          </cell>
          <cell r="H226" t="str">
            <v>11622149810</v>
          </cell>
          <cell r="I226">
            <v>568813.19999999995</v>
          </cell>
          <cell r="J226">
            <v>568813.19999999995</v>
          </cell>
          <cell r="K226">
            <v>64.040000000000006</v>
          </cell>
          <cell r="L226" t="str">
            <v>WHSU6518903</v>
          </cell>
          <cell r="M226">
            <v>4</v>
          </cell>
          <cell r="N226" t="str">
            <v>40HQ</v>
          </cell>
          <cell r="O226">
            <v>5</v>
          </cell>
          <cell r="P226">
            <v>45434</v>
          </cell>
          <cell r="Q226">
            <v>45436</v>
          </cell>
          <cell r="R226" t="str">
            <v>金</v>
          </cell>
          <cell r="S226" t="str">
            <v>AM8:00</v>
          </cell>
        </row>
        <row r="227">
          <cell r="A227">
            <v>8372</v>
          </cell>
          <cell r="B227" t="str">
            <v>川瀬 有里</v>
          </cell>
          <cell r="C227" t="str">
            <v>TRADIA</v>
          </cell>
          <cell r="D227">
            <v>45429</v>
          </cell>
          <cell r="E227" t="str">
            <v>24K0508</v>
          </cell>
          <cell r="F227" t="str">
            <v>I000012858</v>
          </cell>
          <cell r="G227">
            <v>0</v>
          </cell>
          <cell r="H227" t="str">
            <v>31403459350</v>
          </cell>
          <cell r="I227">
            <v>353575.3</v>
          </cell>
          <cell r="J227">
            <v>353575.3</v>
          </cell>
          <cell r="K227">
            <v>27.66</v>
          </cell>
          <cell r="L227" t="str">
            <v>GLDU9395406</v>
          </cell>
          <cell r="M227">
            <v>3</v>
          </cell>
          <cell r="N227" t="str">
            <v>20’</v>
          </cell>
          <cell r="O227">
            <v>1</v>
          </cell>
          <cell r="P227">
            <v>45437</v>
          </cell>
          <cell r="Q227">
            <v>45441</v>
          </cell>
          <cell r="R227" t="str">
            <v>水</v>
          </cell>
          <cell r="S227" t="str">
            <v>AM8:30</v>
          </cell>
        </row>
        <row r="228">
          <cell r="A228">
            <v>8373</v>
          </cell>
          <cell r="B228" t="str">
            <v>川瀬 有里</v>
          </cell>
          <cell r="C228" t="str">
            <v>TRADIA</v>
          </cell>
          <cell r="D228">
            <v>45429</v>
          </cell>
          <cell r="E228" t="str">
            <v>24K0506</v>
          </cell>
          <cell r="F228" t="str">
            <v>I000012848</v>
          </cell>
          <cell r="G228">
            <v>0</v>
          </cell>
          <cell r="H228" t="str">
            <v>31403468340</v>
          </cell>
          <cell r="I228">
            <v>308436.65999999997</v>
          </cell>
          <cell r="J228">
            <v>308436.65999999997</v>
          </cell>
          <cell r="K228">
            <v>28.13</v>
          </cell>
          <cell r="L228" t="str">
            <v>GAOU2488343</v>
          </cell>
          <cell r="M228">
            <v>3</v>
          </cell>
          <cell r="N228" t="str">
            <v>20’</v>
          </cell>
          <cell r="O228">
            <v>1</v>
          </cell>
          <cell r="P228">
            <v>45434</v>
          </cell>
          <cell r="Q228">
            <v>45436</v>
          </cell>
          <cell r="R228" t="str">
            <v>金</v>
          </cell>
          <cell r="S228" t="str">
            <v>AM8:30</v>
          </cell>
        </row>
        <row r="229">
          <cell r="A229">
            <v>8374</v>
          </cell>
          <cell r="B229" t="str">
            <v>川瀬 有里</v>
          </cell>
          <cell r="C229" t="str">
            <v>TRADIA</v>
          </cell>
          <cell r="D229">
            <v>45429</v>
          </cell>
          <cell r="E229" t="str">
            <v>24K0507</v>
          </cell>
          <cell r="F229" t="str">
            <v>I000012853</v>
          </cell>
          <cell r="G229">
            <v>0</v>
          </cell>
          <cell r="H229" t="str">
            <v>31403468340</v>
          </cell>
          <cell r="I229">
            <v>477622.2</v>
          </cell>
          <cell r="J229">
            <v>477622.2</v>
          </cell>
          <cell r="K229">
            <v>27.1</v>
          </cell>
          <cell r="L229" t="str">
            <v>GAOU2493000</v>
          </cell>
          <cell r="M229">
            <v>3</v>
          </cell>
          <cell r="N229" t="str">
            <v>20’</v>
          </cell>
          <cell r="O229">
            <v>1</v>
          </cell>
          <cell r="P229">
            <v>45434</v>
          </cell>
          <cell r="Q229">
            <v>45436</v>
          </cell>
          <cell r="R229" t="str">
            <v>金</v>
          </cell>
          <cell r="S229" t="str">
            <v>AM8:30</v>
          </cell>
        </row>
        <row r="230">
          <cell r="A230">
            <v>8375</v>
          </cell>
          <cell r="B230" t="str">
            <v>川瀬 有里</v>
          </cell>
          <cell r="C230" t="str">
            <v>TRADIA</v>
          </cell>
          <cell r="D230">
            <v>45429</v>
          </cell>
          <cell r="E230" t="str">
            <v>24P0503</v>
          </cell>
          <cell r="F230" t="str">
            <v>I000012856</v>
          </cell>
          <cell r="G230">
            <v>0</v>
          </cell>
          <cell r="H230" t="str">
            <v>41335868660</v>
          </cell>
          <cell r="I230">
            <v>485761.5</v>
          </cell>
          <cell r="J230">
            <v>485761.5</v>
          </cell>
          <cell r="K230">
            <v>67.73</v>
          </cell>
          <cell r="L230" t="str">
            <v>TCKU7563835</v>
          </cell>
          <cell r="N230" t="str">
            <v>40HQ</v>
          </cell>
          <cell r="O230">
            <v>2</v>
          </cell>
          <cell r="P230">
            <v>45440</v>
          </cell>
          <cell r="Q230">
            <v>45454</v>
          </cell>
          <cell r="R230" t="str">
            <v>火</v>
          </cell>
          <cell r="S230" t="str">
            <v>AM9:30</v>
          </cell>
        </row>
        <row r="231">
          <cell r="A231">
            <v>8376</v>
          </cell>
          <cell r="B231" t="str">
            <v>川瀬 有里</v>
          </cell>
          <cell r="C231" t="str">
            <v>TRADIA</v>
          </cell>
          <cell r="D231">
            <v>45432</v>
          </cell>
          <cell r="E231" t="str">
            <v>24K0509</v>
          </cell>
          <cell r="F231" t="str">
            <v>I000012860</v>
          </cell>
          <cell r="G231">
            <v>0</v>
          </cell>
          <cell r="H231" t="str">
            <v>41335042920</v>
          </cell>
          <cell r="I231">
            <v>325539.21999999997</v>
          </cell>
          <cell r="J231">
            <v>325539.21999999997</v>
          </cell>
          <cell r="K231">
            <v>26.87</v>
          </cell>
          <cell r="L231" t="str">
            <v>GAOU2491706</v>
          </cell>
          <cell r="M231">
            <v>3</v>
          </cell>
          <cell r="N231" t="str">
            <v>20’</v>
          </cell>
          <cell r="O231">
            <v>1</v>
          </cell>
          <cell r="P231">
            <v>45440</v>
          </cell>
          <cell r="Q231">
            <v>45442</v>
          </cell>
          <cell r="R231" t="str">
            <v>木</v>
          </cell>
          <cell r="S231" t="str">
            <v>AM8:30</v>
          </cell>
        </row>
        <row r="232">
          <cell r="A232">
            <v>8377</v>
          </cell>
          <cell r="B232" t="str">
            <v>川瀬 有里</v>
          </cell>
          <cell r="C232" t="str">
            <v>TRADIA</v>
          </cell>
          <cell r="D232">
            <v>45432</v>
          </cell>
          <cell r="E232" t="str">
            <v>24K0510</v>
          </cell>
          <cell r="F232" t="str">
            <v>I000012862</v>
          </cell>
          <cell r="G232">
            <v>0</v>
          </cell>
          <cell r="H232" t="str">
            <v>41335042920</v>
          </cell>
          <cell r="I232">
            <v>502200.16</v>
          </cell>
          <cell r="J232">
            <v>502200.16</v>
          </cell>
          <cell r="K232">
            <v>26.45</v>
          </cell>
          <cell r="L232" t="str">
            <v>GAOU2488929</v>
          </cell>
          <cell r="M232">
            <v>3</v>
          </cell>
          <cell r="N232" t="str">
            <v>20’</v>
          </cell>
          <cell r="O232">
            <v>1</v>
          </cell>
          <cell r="P232">
            <v>45440</v>
          </cell>
          <cell r="Q232">
            <v>45442</v>
          </cell>
          <cell r="R232" t="str">
            <v>木</v>
          </cell>
          <cell r="S232" t="str">
            <v>AM8:30</v>
          </cell>
        </row>
        <row r="233">
          <cell r="A233">
            <v>8378</v>
          </cell>
          <cell r="B233" t="str">
            <v>川瀬 有里</v>
          </cell>
          <cell r="C233" t="str">
            <v>TRADIA</v>
          </cell>
          <cell r="D233">
            <v>45433</v>
          </cell>
          <cell r="E233" t="str">
            <v>24P0504</v>
          </cell>
          <cell r="F233" t="str">
            <v>I000012864</v>
          </cell>
          <cell r="G233">
            <v>0</v>
          </cell>
          <cell r="H233" t="str">
            <v>21553501640</v>
          </cell>
          <cell r="I233">
            <v>522108.66</v>
          </cell>
          <cell r="J233">
            <v>522108.66</v>
          </cell>
          <cell r="K233">
            <v>67.05</v>
          </cell>
          <cell r="L233" t="str">
            <v>TXGU7357739</v>
          </cell>
          <cell r="M233">
            <v>11</v>
          </cell>
          <cell r="N233" t="str">
            <v>40HQ</v>
          </cell>
          <cell r="O233">
            <v>4</v>
          </cell>
          <cell r="P233">
            <v>45440</v>
          </cell>
          <cell r="Q233">
            <v>45456</v>
          </cell>
          <cell r="R233" t="str">
            <v>木</v>
          </cell>
          <cell r="S233" t="str">
            <v>AM7:30</v>
          </cell>
        </row>
        <row r="234">
          <cell r="A234">
            <v>8379</v>
          </cell>
          <cell r="B234" t="str">
            <v>川瀬 有里</v>
          </cell>
          <cell r="C234" t="str">
            <v>KONOIKE</v>
          </cell>
          <cell r="D234">
            <v>45433</v>
          </cell>
          <cell r="E234" t="str">
            <v>24T0506</v>
          </cell>
          <cell r="F234" t="str">
            <v>I000012865</v>
          </cell>
          <cell r="G234">
            <v>0</v>
          </cell>
          <cell r="H234" t="str">
            <v>41334363220</v>
          </cell>
          <cell r="I234">
            <v>626782.62</v>
          </cell>
          <cell r="J234">
            <v>626782.62</v>
          </cell>
          <cell r="K234">
            <v>64.75</v>
          </cell>
          <cell r="L234" t="str">
            <v>WHSU6491654</v>
          </cell>
          <cell r="M234">
            <v>4</v>
          </cell>
          <cell r="N234" t="str">
            <v>40HQ</v>
          </cell>
          <cell r="O234">
            <v>2</v>
          </cell>
          <cell r="P234">
            <v>45440</v>
          </cell>
          <cell r="Q234">
            <v>45443</v>
          </cell>
          <cell r="R234" t="str">
            <v>金</v>
          </cell>
          <cell r="S234" t="str">
            <v>AM8:00</v>
          </cell>
        </row>
        <row r="235">
          <cell r="A235">
            <v>8380</v>
          </cell>
          <cell r="B235" t="str">
            <v>川瀬 有里</v>
          </cell>
          <cell r="C235" t="str">
            <v>KONOIKE</v>
          </cell>
          <cell r="D235">
            <v>45433</v>
          </cell>
          <cell r="E235" t="str">
            <v>24T0507</v>
          </cell>
          <cell r="F235" t="str">
            <v>I000012863</v>
          </cell>
          <cell r="G235">
            <v>0</v>
          </cell>
          <cell r="H235" t="str">
            <v>41334363220</v>
          </cell>
          <cell r="I235">
            <v>644703.16</v>
          </cell>
          <cell r="J235">
            <v>644703.16</v>
          </cell>
          <cell r="K235">
            <v>66.87</v>
          </cell>
          <cell r="L235" t="str">
            <v>WHSU6734707</v>
          </cell>
          <cell r="M235">
            <v>4</v>
          </cell>
          <cell r="N235" t="str">
            <v>40HQ</v>
          </cell>
          <cell r="O235">
            <v>2</v>
          </cell>
          <cell r="P235">
            <v>45440</v>
          </cell>
          <cell r="Q235">
            <v>45443</v>
          </cell>
          <cell r="R235" t="str">
            <v>金</v>
          </cell>
          <cell r="S235" t="str">
            <v>AM8:00</v>
          </cell>
        </row>
        <row r="236">
          <cell r="A236">
            <v>8381</v>
          </cell>
          <cell r="B236" t="str">
            <v>川瀬 有里</v>
          </cell>
          <cell r="C236" t="str">
            <v>TRADIA</v>
          </cell>
          <cell r="D236">
            <v>45422</v>
          </cell>
          <cell r="E236" t="str">
            <v>24K0504</v>
          </cell>
          <cell r="F236" t="str">
            <v>K425/24</v>
          </cell>
          <cell r="G236">
            <v>0</v>
          </cell>
          <cell r="H236" t="str">
            <v>31403094060</v>
          </cell>
          <cell r="I236">
            <v>793.98</v>
          </cell>
          <cell r="J236">
            <v>793.98</v>
          </cell>
          <cell r="K236">
            <v>24.92</v>
          </cell>
          <cell r="L236" t="str">
            <v>WHSU0437115</v>
          </cell>
          <cell r="M236">
            <v>3</v>
          </cell>
          <cell r="N236" t="str">
            <v>20’</v>
          </cell>
          <cell r="O236">
            <v>1</v>
          </cell>
          <cell r="P236">
            <v>45432</v>
          </cell>
          <cell r="Q236">
            <v>45434</v>
          </cell>
          <cell r="R236" t="str">
            <v>水</v>
          </cell>
          <cell r="S236" t="str">
            <v>AM8:30</v>
          </cell>
        </row>
        <row r="237">
          <cell r="A237">
            <v>8382</v>
          </cell>
          <cell r="B237" t="str">
            <v>川瀬 有里</v>
          </cell>
          <cell r="C237" t="str">
            <v>TRADIA</v>
          </cell>
          <cell r="D237">
            <v>45435</v>
          </cell>
          <cell r="E237" t="str">
            <v>24K0557</v>
          </cell>
          <cell r="F237" t="str">
            <v>I000012871</v>
          </cell>
          <cell r="G237">
            <v>0</v>
          </cell>
          <cell r="H237" t="str">
            <v>40749487320</v>
          </cell>
          <cell r="I237">
            <v>73653.600000000006</v>
          </cell>
          <cell r="J237">
            <v>73653.600000000006</v>
          </cell>
          <cell r="K237">
            <v>6.2</v>
          </cell>
          <cell r="M237">
            <v>3</v>
          </cell>
          <cell r="N237" t="str">
            <v>AIR</v>
          </cell>
          <cell r="O237">
            <v>2</v>
          </cell>
          <cell r="Q237">
            <v>45434</v>
          </cell>
          <cell r="R237" t="str">
            <v>水</v>
          </cell>
          <cell r="S237" t="str">
            <v>AM8:30</v>
          </cell>
        </row>
        <row r="238">
          <cell r="A238">
            <v>8383</v>
          </cell>
          <cell r="B238" t="str">
            <v>川瀬 有里</v>
          </cell>
          <cell r="C238" t="str">
            <v>TRADIA</v>
          </cell>
          <cell r="D238">
            <v>45435</v>
          </cell>
          <cell r="E238" t="str">
            <v>24K0511</v>
          </cell>
          <cell r="F238" t="str">
            <v>I000012861</v>
          </cell>
          <cell r="G238">
            <v>0</v>
          </cell>
          <cell r="H238" t="str">
            <v>31404214430</v>
          </cell>
          <cell r="I238">
            <v>233330.06</v>
          </cell>
          <cell r="J238">
            <v>233330.06</v>
          </cell>
          <cell r="K238">
            <v>27.18</v>
          </cell>
          <cell r="L238" t="str">
            <v>GAOU2489020</v>
          </cell>
          <cell r="M238">
            <v>3</v>
          </cell>
          <cell r="N238" t="str">
            <v>20’</v>
          </cell>
          <cell r="O238">
            <v>1</v>
          </cell>
          <cell r="P238">
            <v>45441</v>
          </cell>
          <cell r="Q238">
            <v>45446</v>
          </cell>
          <cell r="R238" t="str">
            <v>月</v>
          </cell>
          <cell r="S238" t="str">
            <v>AM8:30</v>
          </cell>
        </row>
        <row r="239">
          <cell r="A239">
            <v>8384</v>
          </cell>
          <cell r="B239" t="str">
            <v>川瀬 有里</v>
          </cell>
          <cell r="C239" t="str">
            <v>TRADIA</v>
          </cell>
          <cell r="D239">
            <v>45435</v>
          </cell>
          <cell r="E239" t="str">
            <v>24K0512</v>
          </cell>
          <cell r="F239" t="str">
            <v>I000012867</v>
          </cell>
          <cell r="G239">
            <v>0</v>
          </cell>
          <cell r="H239" t="str">
            <v>31404214430</v>
          </cell>
          <cell r="I239">
            <v>343279.22</v>
          </cell>
          <cell r="J239">
            <v>343279.22</v>
          </cell>
          <cell r="K239">
            <v>23.99</v>
          </cell>
          <cell r="L239" t="str">
            <v>TSSU2099427</v>
          </cell>
          <cell r="M239">
            <v>3</v>
          </cell>
          <cell r="N239" t="str">
            <v>20’</v>
          </cell>
          <cell r="O239">
            <v>1</v>
          </cell>
          <cell r="P239">
            <v>45441</v>
          </cell>
          <cell r="Q239">
            <v>45446</v>
          </cell>
          <cell r="R239" t="str">
            <v>月</v>
          </cell>
          <cell r="S239" t="str">
            <v>AM8:30</v>
          </cell>
        </row>
        <row r="240">
          <cell r="A240">
            <v>8385</v>
          </cell>
          <cell r="B240" t="str">
            <v>川瀬 有里</v>
          </cell>
          <cell r="C240" t="str">
            <v>TRADIA</v>
          </cell>
          <cell r="D240">
            <v>45435</v>
          </cell>
          <cell r="E240" t="str">
            <v>24K0558</v>
          </cell>
          <cell r="F240" t="str">
            <v>I000012877</v>
          </cell>
          <cell r="G240">
            <v>0</v>
          </cell>
          <cell r="H240" t="str">
            <v>40763008740</v>
          </cell>
          <cell r="I240">
            <v>138000.4</v>
          </cell>
          <cell r="J240">
            <v>138000.4</v>
          </cell>
          <cell r="K240">
            <v>11.94</v>
          </cell>
          <cell r="M240">
            <v>3</v>
          </cell>
          <cell r="N240" t="str">
            <v>AIR</v>
          </cell>
          <cell r="O240">
            <v>2</v>
          </cell>
          <cell r="Q240">
            <v>45436</v>
          </cell>
          <cell r="R240" t="str">
            <v>金</v>
          </cell>
          <cell r="S240" t="str">
            <v>AM8:30</v>
          </cell>
        </row>
        <row r="241">
          <cell r="A241">
            <v>8386</v>
          </cell>
          <cell r="B241" t="str">
            <v>川瀬 有里</v>
          </cell>
          <cell r="C241" t="str">
            <v>TRADIA</v>
          </cell>
          <cell r="D241">
            <v>45435</v>
          </cell>
          <cell r="E241" t="str">
            <v>24T0552</v>
          </cell>
          <cell r="F241" t="str">
            <v>I000012880</v>
          </cell>
          <cell r="G241">
            <v>0</v>
          </cell>
          <cell r="H241" t="str">
            <v>40757836550</v>
          </cell>
          <cell r="I241">
            <v>5748</v>
          </cell>
          <cell r="J241">
            <v>5748</v>
          </cell>
          <cell r="K241">
            <v>0.56000000000000005</v>
          </cell>
          <cell r="M241">
            <v>3</v>
          </cell>
          <cell r="N241" t="str">
            <v>AIR</v>
          </cell>
          <cell r="O241">
            <v>2</v>
          </cell>
          <cell r="Q241">
            <v>45436</v>
          </cell>
          <cell r="R241" t="str">
            <v>金</v>
          </cell>
          <cell r="S241" t="str">
            <v>AM8:00</v>
          </cell>
        </row>
        <row r="242">
          <cell r="A242">
            <v>8387</v>
          </cell>
          <cell r="B242" t="str">
            <v>川瀬 有里</v>
          </cell>
          <cell r="C242" t="str">
            <v>TRADIA</v>
          </cell>
          <cell r="D242">
            <v>45439</v>
          </cell>
          <cell r="E242" t="str">
            <v>24K0562</v>
          </cell>
          <cell r="F242" t="str">
            <v>I000012888</v>
          </cell>
          <cell r="G242">
            <v>0</v>
          </cell>
          <cell r="H242" t="str">
            <v>40783273630</v>
          </cell>
          <cell r="I242">
            <v>67625.08</v>
          </cell>
          <cell r="J242">
            <v>67625.08</v>
          </cell>
          <cell r="K242">
            <v>7.7</v>
          </cell>
          <cell r="M242">
            <v>3</v>
          </cell>
          <cell r="N242" t="str">
            <v>AIR</v>
          </cell>
          <cell r="O242">
            <v>2</v>
          </cell>
          <cell r="Q242">
            <v>45439</v>
          </cell>
          <cell r="R242" t="str">
            <v>月</v>
          </cell>
          <cell r="S242" t="str">
            <v>AM8:30</v>
          </cell>
        </row>
        <row r="243">
          <cell r="A243">
            <v>8388</v>
          </cell>
          <cell r="B243" t="str">
            <v>川瀬 有里</v>
          </cell>
          <cell r="C243" t="str">
            <v>KONOIKE</v>
          </cell>
          <cell r="D243">
            <v>45439</v>
          </cell>
          <cell r="E243" t="str">
            <v>24T0508</v>
          </cell>
          <cell r="F243" t="str">
            <v>I000012876</v>
          </cell>
          <cell r="G243">
            <v>0</v>
          </cell>
          <cell r="H243" t="str">
            <v>41335597100</v>
          </cell>
          <cell r="I243">
            <v>680781.34</v>
          </cell>
          <cell r="J243">
            <v>680781.34</v>
          </cell>
          <cell r="K243">
            <v>63.37</v>
          </cell>
          <cell r="L243" t="str">
            <v>WHSU6859237</v>
          </cell>
          <cell r="M243">
            <v>4</v>
          </cell>
          <cell r="N243" t="str">
            <v>40HQ</v>
          </cell>
          <cell r="O243">
            <v>2</v>
          </cell>
          <cell r="P243">
            <v>45443</v>
          </cell>
          <cell r="Q243">
            <v>45448</v>
          </cell>
          <cell r="R243" t="str">
            <v>水</v>
          </cell>
          <cell r="S243" t="str">
            <v>AM8:00</v>
          </cell>
        </row>
        <row r="244">
          <cell r="A244">
            <v>8389</v>
          </cell>
          <cell r="B244" t="str">
            <v>川瀬 有里</v>
          </cell>
          <cell r="C244" t="str">
            <v>KONOIKE</v>
          </cell>
          <cell r="D244">
            <v>45439</v>
          </cell>
          <cell r="E244" t="str">
            <v>24T0509</v>
          </cell>
          <cell r="F244" t="str">
            <v>I000012885</v>
          </cell>
          <cell r="G244">
            <v>0</v>
          </cell>
          <cell r="H244" t="str">
            <v>41335587740</v>
          </cell>
          <cell r="I244">
            <v>583924.86</v>
          </cell>
          <cell r="J244">
            <v>583924.86</v>
          </cell>
          <cell r="K244">
            <v>65.86</v>
          </cell>
          <cell r="L244" t="str">
            <v>TCNU2850210</v>
          </cell>
          <cell r="M244">
            <v>4</v>
          </cell>
          <cell r="N244" t="str">
            <v>40HQ</v>
          </cell>
          <cell r="O244">
            <v>2</v>
          </cell>
          <cell r="P244">
            <v>45444</v>
          </cell>
          <cell r="Q244">
            <v>45448</v>
          </cell>
          <cell r="R244" t="str">
            <v>水</v>
          </cell>
          <cell r="S244" t="str">
            <v>AM8:00</v>
          </cell>
        </row>
        <row r="245">
          <cell r="A245">
            <v>8390</v>
          </cell>
          <cell r="B245" t="str">
            <v>川瀬 有里</v>
          </cell>
          <cell r="C245" t="str">
            <v>TRADIA</v>
          </cell>
          <cell r="D245">
            <v>45439</v>
          </cell>
          <cell r="E245" t="str">
            <v>24K0515</v>
          </cell>
          <cell r="F245" t="str">
            <v>I000012892</v>
          </cell>
          <cell r="G245">
            <v>0</v>
          </cell>
          <cell r="H245" t="str">
            <v>31405006940</v>
          </cell>
          <cell r="I245">
            <v>329239.24</v>
          </cell>
          <cell r="J245">
            <v>329239.24</v>
          </cell>
          <cell r="K245">
            <v>25.03</v>
          </cell>
          <cell r="L245" t="str">
            <v>TSSU2283835</v>
          </cell>
          <cell r="M245">
            <v>3</v>
          </cell>
          <cell r="N245" t="str">
            <v>20’</v>
          </cell>
          <cell r="O245">
            <v>1</v>
          </cell>
          <cell r="P245">
            <v>45447</v>
          </cell>
          <cell r="Q245">
            <v>45449</v>
          </cell>
          <cell r="R245" t="str">
            <v>木</v>
          </cell>
          <cell r="S245" t="str">
            <v>AM8:30</v>
          </cell>
        </row>
        <row r="246">
          <cell r="A246">
            <v>8391</v>
          </cell>
          <cell r="B246" t="str">
            <v>川瀬 有里</v>
          </cell>
          <cell r="C246" t="str">
            <v>TRADIA</v>
          </cell>
          <cell r="D246">
            <v>45439</v>
          </cell>
          <cell r="E246" t="str">
            <v>24K0514</v>
          </cell>
          <cell r="F246" t="str">
            <v>I000012889</v>
          </cell>
          <cell r="G246">
            <v>0</v>
          </cell>
          <cell r="H246" t="str">
            <v>31405006940</v>
          </cell>
          <cell r="I246">
            <v>460620.43</v>
          </cell>
          <cell r="J246">
            <v>460620.43</v>
          </cell>
          <cell r="K246">
            <v>26.68</v>
          </cell>
          <cell r="L246" t="str">
            <v>TSSU2260296</v>
          </cell>
          <cell r="M246">
            <v>3</v>
          </cell>
          <cell r="N246" t="str">
            <v>20’</v>
          </cell>
          <cell r="O246">
            <v>1</v>
          </cell>
          <cell r="P246">
            <v>45447</v>
          </cell>
          <cell r="Q246">
            <v>45449</v>
          </cell>
          <cell r="R246" t="str">
            <v>木</v>
          </cell>
          <cell r="S246" t="str">
            <v>AM8:30</v>
          </cell>
        </row>
        <row r="247">
          <cell r="A247">
            <v>8392</v>
          </cell>
          <cell r="B247" t="str">
            <v>川瀬 有里</v>
          </cell>
          <cell r="C247" t="str">
            <v>TRADIA</v>
          </cell>
          <cell r="D247">
            <v>45440</v>
          </cell>
          <cell r="E247" t="str">
            <v>24K0556</v>
          </cell>
          <cell r="F247" t="str">
            <v>I000012894</v>
          </cell>
          <cell r="G247">
            <v>0</v>
          </cell>
          <cell r="H247" t="str">
            <v>40797021960</v>
          </cell>
          <cell r="I247">
            <v>10998</v>
          </cell>
          <cell r="J247">
            <v>10998</v>
          </cell>
          <cell r="K247">
            <v>2.1</v>
          </cell>
          <cell r="M247">
            <v>3</v>
          </cell>
          <cell r="N247" t="str">
            <v>AIR</v>
          </cell>
          <cell r="O247">
            <v>2</v>
          </cell>
          <cell r="Q247">
            <v>45439</v>
          </cell>
          <cell r="R247" t="str">
            <v>月</v>
          </cell>
          <cell r="S247" t="str">
            <v>AM8:30</v>
          </cell>
        </row>
        <row r="248">
          <cell r="A248">
            <v>8393</v>
          </cell>
          <cell r="B248" t="str">
            <v>川瀬 有里</v>
          </cell>
          <cell r="C248" t="str">
            <v>TRADIA</v>
          </cell>
          <cell r="D248">
            <v>45440</v>
          </cell>
          <cell r="E248" t="str">
            <v>24P0505</v>
          </cell>
          <cell r="F248" t="str">
            <v>I000012887</v>
          </cell>
          <cell r="G248">
            <v>0</v>
          </cell>
          <cell r="H248" t="str">
            <v>21554342010</v>
          </cell>
          <cell r="I248">
            <v>451311.84</v>
          </cell>
          <cell r="J248">
            <v>451311.84</v>
          </cell>
          <cell r="K248">
            <v>67.48</v>
          </cell>
          <cell r="L248" t="str">
            <v>WHSU6678408</v>
          </cell>
          <cell r="M248">
            <v>11</v>
          </cell>
          <cell r="N248" t="str">
            <v>40HQ</v>
          </cell>
          <cell r="O248">
            <v>4</v>
          </cell>
          <cell r="P248">
            <v>45447</v>
          </cell>
          <cell r="Q248">
            <v>45457</v>
          </cell>
          <cell r="R248" t="str">
            <v>金</v>
          </cell>
          <cell r="S248" t="str">
            <v>AM7:30</v>
          </cell>
        </row>
        <row r="249">
          <cell r="A249">
            <v>8394</v>
          </cell>
          <cell r="B249" t="str">
            <v>川瀬 有里</v>
          </cell>
          <cell r="C249" t="str">
            <v>TRADIA</v>
          </cell>
          <cell r="D249">
            <v>45440</v>
          </cell>
          <cell r="E249" t="str">
            <v>24P0506</v>
          </cell>
          <cell r="F249" t="str">
            <v>I000012897</v>
          </cell>
          <cell r="G249">
            <v>0</v>
          </cell>
          <cell r="H249" t="str">
            <v>41339366340</v>
          </cell>
          <cell r="I249">
            <v>530608</v>
          </cell>
          <cell r="J249">
            <v>530608</v>
          </cell>
          <cell r="K249">
            <v>67.27</v>
          </cell>
          <cell r="L249" t="str">
            <v>WHSU6249342</v>
          </cell>
          <cell r="N249" t="str">
            <v>40HQ</v>
          </cell>
          <cell r="O249">
            <v>2</v>
          </cell>
          <cell r="P249">
            <v>45448</v>
          </cell>
          <cell r="Q249">
            <v>45464</v>
          </cell>
          <cell r="R249" t="str">
            <v>金</v>
          </cell>
          <cell r="S249" t="str">
            <v>AM9:30</v>
          </cell>
        </row>
        <row r="250">
          <cell r="A250">
            <v>8395</v>
          </cell>
          <cell r="B250" t="str">
            <v>川瀬 有里</v>
          </cell>
          <cell r="C250" t="str">
            <v>TRADIA</v>
          </cell>
          <cell r="D250">
            <v>45435</v>
          </cell>
          <cell r="E250" t="str">
            <v>24K0513</v>
          </cell>
          <cell r="F250" t="str">
            <v>I000012882</v>
          </cell>
          <cell r="G250">
            <v>0</v>
          </cell>
          <cell r="H250" t="str">
            <v>31404214430</v>
          </cell>
          <cell r="I250">
            <v>460186.8</v>
          </cell>
          <cell r="J250">
            <v>460186.8</v>
          </cell>
          <cell r="K250">
            <v>27.11</v>
          </cell>
          <cell r="L250" t="str">
            <v>TSSU2211033</v>
          </cell>
          <cell r="M250">
            <v>3</v>
          </cell>
          <cell r="N250" t="str">
            <v>20’</v>
          </cell>
          <cell r="O250">
            <v>1</v>
          </cell>
          <cell r="P250">
            <v>45441</v>
          </cell>
          <cell r="Q250">
            <v>45446</v>
          </cell>
          <cell r="R250" t="str">
            <v>月</v>
          </cell>
          <cell r="S250" t="str">
            <v>AM8:30</v>
          </cell>
        </row>
        <row r="251">
          <cell r="A251">
            <v>8396</v>
          </cell>
          <cell r="B251" t="str">
            <v>川瀬 有里</v>
          </cell>
          <cell r="C251" t="str">
            <v>KONOIKE</v>
          </cell>
          <cell r="D251">
            <v>45441</v>
          </cell>
          <cell r="E251" t="str">
            <v>24T0510</v>
          </cell>
          <cell r="F251" t="str">
            <v>I000012890</v>
          </cell>
          <cell r="G251">
            <v>0</v>
          </cell>
          <cell r="H251" t="str">
            <v>11627248940</v>
          </cell>
          <cell r="I251">
            <v>703676.6</v>
          </cell>
          <cell r="J251">
            <v>703676.6</v>
          </cell>
          <cell r="K251">
            <v>63.31</v>
          </cell>
          <cell r="L251" t="str">
            <v>WHSU6427167</v>
          </cell>
          <cell r="M251">
            <v>4</v>
          </cell>
          <cell r="N251" t="str">
            <v>40HQ</v>
          </cell>
          <cell r="O251">
            <v>5</v>
          </cell>
          <cell r="P251">
            <v>45446</v>
          </cell>
          <cell r="Q251">
            <v>45448</v>
          </cell>
          <cell r="R251" t="str">
            <v>水</v>
          </cell>
          <cell r="S251" t="str">
            <v>AM8:00</v>
          </cell>
        </row>
        <row r="252">
          <cell r="A252">
            <v>8397</v>
          </cell>
          <cell r="B252" t="str">
            <v>川瀬 有里</v>
          </cell>
          <cell r="C252" t="str">
            <v>KONOIKE</v>
          </cell>
          <cell r="D252">
            <v>45441</v>
          </cell>
          <cell r="E252" t="str">
            <v>24Ｔ0511</v>
          </cell>
          <cell r="F252" t="str">
            <v>I000012893</v>
          </cell>
          <cell r="G252">
            <v>0</v>
          </cell>
          <cell r="H252" t="str">
            <v>41336720010</v>
          </cell>
          <cell r="I252">
            <v>699197.66</v>
          </cell>
          <cell r="J252">
            <v>699197.66</v>
          </cell>
          <cell r="K252">
            <v>62.94</v>
          </cell>
          <cell r="L252" t="str">
            <v>WHSU6861851</v>
          </cell>
          <cell r="M252">
            <v>4</v>
          </cell>
          <cell r="N252" t="str">
            <v>40HQ</v>
          </cell>
          <cell r="O252">
            <v>2</v>
          </cell>
          <cell r="P252">
            <v>45448</v>
          </cell>
          <cell r="Q252">
            <v>45450</v>
          </cell>
          <cell r="R252" t="str">
            <v>金</v>
          </cell>
          <cell r="S252" t="str">
            <v>AM8:00</v>
          </cell>
        </row>
        <row r="253">
          <cell r="A253">
            <v>8398</v>
          </cell>
          <cell r="B253" t="str">
            <v>川瀬 有里</v>
          </cell>
          <cell r="C253" t="str">
            <v>YUSEN</v>
          </cell>
          <cell r="D253">
            <v>45441</v>
          </cell>
          <cell r="E253" t="str">
            <v>24K0519</v>
          </cell>
          <cell r="F253" t="str">
            <v>I000012903</v>
          </cell>
          <cell r="G253">
            <v>0</v>
          </cell>
          <cell r="H253" t="str">
            <v>31406076210</v>
          </cell>
          <cell r="I253">
            <v>319162.09999999998</v>
          </cell>
          <cell r="J253">
            <v>319162.09999999998</v>
          </cell>
          <cell r="K253">
            <v>26.13</v>
          </cell>
          <cell r="L253" t="str">
            <v>EISU2271510</v>
          </cell>
          <cell r="M253">
            <v>3</v>
          </cell>
          <cell r="N253" t="str">
            <v>20’</v>
          </cell>
          <cell r="O253">
            <v>1</v>
          </cell>
          <cell r="P253">
            <v>45452</v>
          </cell>
          <cell r="Q253">
            <v>45455</v>
          </cell>
          <cell r="R253" t="str">
            <v>水</v>
          </cell>
          <cell r="S253" t="str">
            <v>AM8:30</v>
          </cell>
        </row>
        <row r="254">
          <cell r="A254">
            <v>8399</v>
          </cell>
          <cell r="B254" t="str">
            <v>川瀬 有里</v>
          </cell>
          <cell r="C254" t="str">
            <v>TRADIA</v>
          </cell>
          <cell r="D254">
            <v>45443</v>
          </cell>
          <cell r="E254" t="str">
            <v>24K0516</v>
          </cell>
          <cell r="F254" t="str">
            <v>I000012904</v>
          </cell>
          <cell r="G254">
            <v>0</v>
          </cell>
          <cell r="H254" t="str">
            <v>41338046620</v>
          </cell>
          <cell r="I254">
            <v>444791.6</v>
          </cell>
          <cell r="J254">
            <v>444791.6</v>
          </cell>
          <cell r="K254">
            <v>25.8</v>
          </cell>
          <cell r="L254" t="str">
            <v>HMCU3067651</v>
          </cell>
          <cell r="M254">
            <v>3</v>
          </cell>
          <cell r="N254" t="str">
            <v>20’</v>
          </cell>
          <cell r="O254">
            <v>1</v>
          </cell>
          <cell r="P254">
            <v>45450</v>
          </cell>
          <cell r="Q254">
            <v>45454</v>
          </cell>
          <cell r="R254" t="str">
            <v>月</v>
          </cell>
          <cell r="S254" t="str">
            <v>AM8:30</v>
          </cell>
        </row>
        <row r="255">
          <cell r="A255">
            <v>8400</v>
          </cell>
          <cell r="B255" t="str">
            <v>川瀬 有里</v>
          </cell>
          <cell r="C255" t="str">
            <v>TRADIA</v>
          </cell>
          <cell r="D255">
            <v>45443</v>
          </cell>
          <cell r="E255" t="str">
            <v>24K0517</v>
          </cell>
          <cell r="F255" t="str">
            <v>I000012909</v>
          </cell>
          <cell r="G255">
            <v>0</v>
          </cell>
          <cell r="H255" t="str">
            <v>41338046620</v>
          </cell>
          <cell r="I255">
            <v>308647.3</v>
          </cell>
          <cell r="J255">
            <v>308647.3</v>
          </cell>
          <cell r="K255">
            <v>26.91</v>
          </cell>
          <cell r="L255" t="str">
            <v>EGHU3472174</v>
          </cell>
          <cell r="M255">
            <v>3</v>
          </cell>
          <cell r="N255" t="str">
            <v>20’</v>
          </cell>
          <cell r="O255">
            <v>1</v>
          </cell>
          <cell r="P255">
            <v>45450</v>
          </cell>
          <cell r="Q255">
            <v>45454</v>
          </cell>
          <cell r="R255" t="str">
            <v>月</v>
          </cell>
          <cell r="S255" t="str">
            <v>AM8:30</v>
          </cell>
        </row>
        <row r="256">
          <cell r="A256">
            <v>8401</v>
          </cell>
          <cell r="B256" t="str">
            <v>川瀬 有里</v>
          </cell>
          <cell r="C256" t="str">
            <v>KONOIKE</v>
          </cell>
          <cell r="D256">
            <v>45447</v>
          </cell>
          <cell r="E256" t="str">
            <v>24T0512</v>
          </cell>
          <cell r="F256" t="str">
            <v>I000012908</v>
          </cell>
          <cell r="G256">
            <v>0</v>
          </cell>
          <cell r="H256" t="str">
            <v>41337334940</v>
          </cell>
          <cell r="I256">
            <v>686080</v>
          </cell>
          <cell r="J256">
            <v>686080</v>
          </cell>
          <cell r="K256">
            <v>65.08</v>
          </cell>
          <cell r="L256" t="str">
            <v>WHSU6318274</v>
          </cell>
          <cell r="M256">
            <v>4</v>
          </cell>
          <cell r="N256" t="str">
            <v>40HQ</v>
          </cell>
          <cell r="O256">
            <v>2</v>
          </cell>
          <cell r="P256">
            <v>45449</v>
          </cell>
          <cell r="Q256">
            <v>45453</v>
          </cell>
          <cell r="R256" t="str">
            <v>月</v>
          </cell>
          <cell r="S256" t="str">
            <v>AM8:00</v>
          </cell>
        </row>
        <row r="257">
          <cell r="A257">
            <v>8402</v>
          </cell>
          <cell r="B257" t="str">
            <v>川瀬 有里</v>
          </cell>
          <cell r="C257" t="str">
            <v>KONOIKE</v>
          </cell>
          <cell r="D257">
            <v>45447</v>
          </cell>
          <cell r="E257" t="str">
            <v>24T0513</v>
          </cell>
          <cell r="F257" t="str">
            <v>I000012916</v>
          </cell>
          <cell r="G257">
            <v>0</v>
          </cell>
          <cell r="H257" t="str">
            <v>11631886920</v>
          </cell>
          <cell r="I257">
            <v>609367.14</v>
          </cell>
          <cell r="J257">
            <v>609367.14</v>
          </cell>
          <cell r="K257">
            <v>64.239999999999995</v>
          </cell>
          <cell r="L257" t="str">
            <v>WHSU5923901</v>
          </cell>
          <cell r="M257">
            <v>4</v>
          </cell>
          <cell r="N257" t="str">
            <v>40HQ</v>
          </cell>
          <cell r="O257">
            <v>5</v>
          </cell>
          <cell r="P257">
            <v>45456</v>
          </cell>
          <cell r="Q257">
            <v>45460</v>
          </cell>
          <cell r="R257" t="str">
            <v>月</v>
          </cell>
          <cell r="S257" t="str">
            <v>AM8:00</v>
          </cell>
        </row>
        <row r="258">
          <cell r="A258">
            <v>8403</v>
          </cell>
          <cell r="B258" t="str">
            <v>川瀬 有里</v>
          </cell>
          <cell r="C258" t="str">
            <v>TRADIA</v>
          </cell>
          <cell r="D258">
            <v>45449</v>
          </cell>
          <cell r="E258" t="str">
            <v>24K0603</v>
          </cell>
          <cell r="F258" t="str">
            <v>I000012936</v>
          </cell>
          <cell r="G258">
            <v>0</v>
          </cell>
          <cell r="H258" t="str">
            <v>31406211750</v>
          </cell>
          <cell r="I258">
            <v>414371.66</v>
          </cell>
          <cell r="J258">
            <v>414371.66</v>
          </cell>
          <cell r="K258">
            <v>25.4</v>
          </cell>
          <cell r="L258" t="str">
            <v>WHSU0278955</v>
          </cell>
          <cell r="M258">
            <v>3</v>
          </cell>
          <cell r="N258" t="str">
            <v>20’</v>
          </cell>
          <cell r="O258">
            <v>1</v>
          </cell>
          <cell r="P258">
            <v>45454</v>
          </cell>
          <cell r="Q258">
            <v>45456</v>
          </cell>
          <cell r="R258" t="str">
            <v>木</v>
          </cell>
          <cell r="S258" t="str">
            <v>AM8:30</v>
          </cell>
        </row>
        <row r="259">
          <cell r="A259">
            <v>8404</v>
          </cell>
          <cell r="B259" t="str">
            <v>川瀬 有里</v>
          </cell>
          <cell r="C259" t="str">
            <v>TRADIA</v>
          </cell>
          <cell r="D259">
            <v>45449</v>
          </cell>
          <cell r="E259" t="str">
            <v>24K0602</v>
          </cell>
          <cell r="F259" t="str">
            <v>I000012926</v>
          </cell>
          <cell r="G259">
            <v>0</v>
          </cell>
          <cell r="H259" t="str">
            <v>31406237430</v>
          </cell>
          <cell r="I259">
            <v>386984.7</v>
          </cell>
          <cell r="J259">
            <v>386984.7</v>
          </cell>
          <cell r="K259">
            <v>27.43</v>
          </cell>
          <cell r="L259" t="str">
            <v>WHSU2401077</v>
          </cell>
          <cell r="M259">
            <v>3</v>
          </cell>
          <cell r="N259" t="str">
            <v>20’</v>
          </cell>
          <cell r="O259">
            <v>1</v>
          </cell>
          <cell r="P259">
            <v>45456</v>
          </cell>
          <cell r="Q259">
            <v>45460</v>
          </cell>
          <cell r="R259" t="str">
            <v>月</v>
          </cell>
          <cell r="S259" t="str">
            <v>AM8:30</v>
          </cell>
        </row>
        <row r="260">
          <cell r="A260">
            <v>8405</v>
          </cell>
          <cell r="B260" t="str">
            <v>川瀬 有里</v>
          </cell>
          <cell r="C260" t="str">
            <v>TRADIA</v>
          </cell>
          <cell r="D260">
            <v>45449</v>
          </cell>
          <cell r="E260" t="str">
            <v>24K0604</v>
          </cell>
          <cell r="F260" t="str">
            <v>I000012933</v>
          </cell>
          <cell r="G260">
            <v>0</v>
          </cell>
          <cell r="H260" t="str">
            <v>31406237430</v>
          </cell>
          <cell r="I260">
            <v>240849.94</v>
          </cell>
          <cell r="J260">
            <v>240849.94</v>
          </cell>
          <cell r="K260">
            <v>24.17</v>
          </cell>
          <cell r="L260" t="str">
            <v>TEMU5601627</v>
          </cell>
          <cell r="M260">
            <v>3</v>
          </cell>
          <cell r="N260" t="str">
            <v>20’</v>
          </cell>
          <cell r="O260">
            <v>1</v>
          </cell>
          <cell r="P260">
            <v>45456</v>
          </cell>
          <cell r="Q260">
            <v>45460</v>
          </cell>
          <cell r="R260" t="str">
            <v>月</v>
          </cell>
          <cell r="S260" t="str">
            <v>AM8:30</v>
          </cell>
        </row>
        <row r="261">
          <cell r="A261">
            <v>8406</v>
          </cell>
          <cell r="B261" t="str">
            <v>川瀬 有里</v>
          </cell>
          <cell r="C261" t="str">
            <v>TRADIA</v>
          </cell>
          <cell r="D261">
            <v>45450</v>
          </cell>
          <cell r="E261" t="str">
            <v>24K0655</v>
          </cell>
          <cell r="F261" t="str">
            <v>I000012939</v>
          </cell>
          <cell r="G261">
            <v>0</v>
          </cell>
          <cell r="H261" t="str">
            <v>40860949240</v>
          </cell>
          <cell r="I261">
            <v>21432</v>
          </cell>
          <cell r="J261">
            <v>21432</v>
          </cell>
          <cell r="K261">
            <v>1.19</v>
          </cell>
          <cell r="M261">
            <v>3</v>
          </cell>
          <cell r="N261" t="str">
            <v>AIR</v>
          </cell>
          <cell r="O261">
            <v>2</v>
          </cell>
          <cell r="Q261">
            <v>45453</v>
          </cell>
          <cell r="R261" t="str">
            <v>月</v>
          </cell>
          <cell r="S261" t="str">
            <v>AM8:30</v>
          </cell>
        </row>
        <row r="262">
          <cell r="A262">
            <v>8407</v>
          </cell>
          <cell r="B262" t="str">
            <v>川瀬 有里</v>
          </cell>
          <cell r="C262" t="str">
            <v>TRADIA</v>
          </cell>
          <cell r="D262">
            <v>45450</v>
          </cell>
          <cell r="E262" t="str">
            <v>24K0652</v>
          </cell>
          <cell r="F262" t="str">
            <v>I000012940</v>
          </cell>
          <cell r="G262">
            <v>0</v>
          </cell>
          <cell r="H262" t="str">
            <v>40860980040</v>
          </cell>
          <cell r="I262">
            <v>190029.98</v>
          </cell>
          <cell r="J262">
            <v>190029.98</v>
          </cell>
          <cell r="K262">
            <v>2.0499999999999998</v>
          </cell>
          <cell r="M262">
            <v>3</v>
          </cell>
          <cell r="N262" t="str">
            <v>AIR</v>
          </cell>
          <cell r="O262">
            <v>2</v>
          </cell>
          <cell r="Q262">
            <v>45453</v>
          </cell>
          <cell r="R262" t="str">
            <v>月</v>
          </cell>
          <cell r="S262" t="str">
            <v>AM8:30</v>
          </cell>
        </row>
        <row r="263">
          <cell r="A263">
            <v>8408</v>
          </cell>
          <cell r="B263" t="str">
            <v>川瀬 有里</v>
          </cell>
          <cell r="C263" t="str">
            <v>TRADIA</v>
          </cell>
          <cell r="D263">
            <v>45450</v>
          </cell>
          <cell r="E263" t="str">
            <v>24K0518</v>
          </cell>
          <cell r="F263" t="str">
            <v>I000012917</v>
          </cell>
          <cell r="G263">
            <v>0</v>
          </cell>
          <cell r="H263" t="str">
            <v>31406059260</v>
          </cell>
          <cell r="I263">
            <v>481923.84000000003</v>
          </cell>
          <cell r="J263">
            <v>481923.84000000003</v>
          </cell>
          <cell r="K263">
            <v>27.71</v>
          </cell>
          <cell r="L263" t="str">
            <v>UETU2812263</v>
          </cell>
          <cell r="M263">
            <v>3</v>
          </cell>
          <cell r="N263" t="str">
            <v>20’</v>
          </cell>
          <cell r="O263">
            <v>1</v>
          </cell>
          <cell r="P263">
            <v>45454</v>
          </cell>
          <cell r="Q263">
            <v>45456</v>
          </cell>
          <cell r="R263" t="str">
            <v>木</v>
          </cell>
          <cell r="S263" t="str">
            <v>AM8:30</v>
          </cell>
        </row>
        <row r="264">
          <cell r="A264">
            <v>8409</v>
          </cell>
          <cell r="B264" t="str">
            <v>川瀬 有里</v>
          </cell>
          <cell r="C264" t="str">
            <v>TRADIA</v>
          </cell>
          <cell r="D264">
            <v>45450</v>
          </cell>
          <cell r="E264" t="str">
            <v>24K0601</v>
          </cell>
          <cell r="F264" t="str">
            <v>I000012921</v>
          </cell>
          <cell r="G264">
            <v>0</v>
          </cell>
          <cell r="H264" t="str">
            <v>31406059260</v>
          </cell>
          <cell r="I264">
            <v>280000.42</v>
          </cell>
          <cell r="J264">
            <v>280000.42</v>
          </cell>
          <cell r="K264">
            <v>25.89</v>
          </cell>
          <cell r="L264" t="str">
            <v>TGBU3670892</v>
          </cell>
          <cell r="M264">
            <v>3</v>
          </cell>
          <cell r="N264" t="str">
            <v>20’</v>
          </cell>
          <cell r="O264">
            <v>1</v>
          </cell>
          <cell r="P264">
            <v>45454</v>
          </cell>
          <cell r="Q264">
            <v>45456</v>
          </cell>
          <cell r="R264" t="str">
            <v>木</v>
          </cell>
          <cell r="S264" t="str">
            <v>MA8:30</v>
          </cell>
        </row>
        <row r="265">
          <cell r="A265">
            <v>8410</v>
          </cell>
          <cell r="B265" t="str">
            <v>川瀬 有里</v>
          </cell>
          <cell r="C265" t="str">
            <v>KONOIKE</v>
          </cell>
          <cell r="D265">
            <v>45454</v>
          </cell>
          <cell r="E265" t="str">
            <v>24T0601</v>
          </cell>
          <cell r="F265" t="str">
            <v>I000012923</v>
          </cell>
          <cell r="G265">
            <v>0</v>
          </cell>
          <cell r="H265" t="str">
            <v>41339166030</v>
          </cell>
          <cell r="I265">
            <v>655165.94999999995</v>
          </cell>
          <cell r="J265">
            <v>655165.94999999995</v>
          </cell>
          <cell r="K265">
            <v>65.569999999999993</v>
          </cell>
          <cell r="L265" t="str">
            <v>WHSU6618760</v>
          </cell>
          <cell r="M265">
            <v>4</v>
          </cell>
          <cell r="N265" t="str">
            <v>40HQ</v>
          </cell>
          <cell r="O265">
            <v>2</v>
          </cell>
          <cell r="P265">
            <v>45455</v>
          </cell>
          <cell r="Q265">
            <v>45457</v>
          </cell>
          <cell r="R265" t="str">
            <v>金</v>
          </cell>
          <cell r="S265" t="str">
            <v>AM8:00</v>
          </cell>
        </row>
        <row r="266">
          <cell r="A266">
            <v>8411</v>
          </cell>
          <cell r="B266" t="str">
            <v>川瀬 有里</v>
          </cell>
          <cell r="C266" t="str">
            <v>KONOIKE</v>
          </cell>
          <cell r="D266">
            <v>45454</v>
          </cell>
          <cell r="E266" t="str">
            <v>24T0602</v>
          </cell>
          <cell r="F266" t="str">
            <v>I000012935</v>
          </cell>
          <cell r="G266">
            <v>0</v>
          </cell>
          <cell r="H266" t="str">
            <v>11631023560</v>
          </cell>
          <cell r="I266">
            <v>572170.46</v>
          </cell>
          <cell r="J266">
            <v>572170.46</v>
          </cell>
          <cell r="K266">
            <v>64.66</v>
          </cell>
          <cell r="L266" t="str">
            <v>WHSU6681320</v>
          </cell>
          <cell r="M266">
            <v>4</v>
          </cell>
          <cell r="N266" t="str">
            <v>40HQ</v>
          </cell>
          <cell r="O266">
            <v>5</v>
          </cell>
          <cell r="P266">
            <v>45457</v>
          </cell>
          <cell r="Q266">
            <v>45462</v>
          </cell>
          <cell r="R266" t="str">
            <v>水</v>
          </cell>
          <cell r="S266" t="str">
            <v>AM8:00</v>
          </cell>
        </row>
        <row r="267">
          <cell r="A267">
            <v>8412</v>
          </cell>
          <cell r="B267" t="str">
            <v>川瀬 有里</v>
          </cell>
          <cell r="C267" t="str">
            <v>TRADIA</v>
          </cell>
          <cell r="D267">
            <v>45454</v>
          </cell>
          <cell r="E267" t="str">
            <v>24K0605</v>
          </cell>
          <cell r="F267" t="str">
            <v>I000012942</v>
          </cell>
          <cell r="G267">
            <v>0</v>
          </cell>
          <cell r="H267" t="str">
            <v>31406610530</v>
          </cell>
          <cell r="I267">
            <v>317545.65999999997</v>
          </cell>
          <cell r="J267">
            <v>317545.65999999997</v>
          </cell>
          <cell r="K267">
            <v>24.3</v>
          </cell>
          <cell r="L267" t="str">
            <v>EITU3125242</v>
          </cell>
          <cell r="M267">
            <v>3</v>
          </cell>
          <cell r="N267" t="str">
            <v>20’</v>
          </cell>
          <cell r="O267">
            <v>1</v>
          </cell>
          <cell r="P267">
            <v>45458</v>
          </cell>
          <cell r="Q267">
            <v>45462</v>
          </cell>
          <cell r="R267" t="str">
            <v>水</v>
          </cell>
          <cell r="S267" t="str">
            <v>AM8:00</v>
          </cell>
        </row>
        <row r="268">
          <cell r="A268">
            <v>8413</v>
          </cell>
          <cell r="B268" t="str">
            <v>川瀬 有里</v>
          </cell>
          <cell r="C268" t="str">
            <v>TRADIA</v>
          </cell>
          <cell r="D268">
            <v>45455</v>
          </cell>
          <cell r="E268" t="str">
            <v>24K0656</v>
          </cell>
          <cell r="F268" t="str">
            <v>I000012948</v>
          </cell>
          <cell r="G268">
            <v>0</v>
          </cell>
          <cell r="H268" t="str">
            <v>40880553660</v>
          </cell>
          <cell r="I268">
            <v>194172.84</v>
          </cell>
          <cell r="J268">
            <v>194172.84</v>
          </cell>
          <cell r="K268">
            <v>0.54</v>
          </cell>
          <cell r="M268">
            <v>3</v>
          </cell>
          <cell r="N268" t="str">
            <v>AIR</v>
          </cell>
          <cell r="O268">
            <v>2</v>
          </cell>
          <cell r="Q268">
            <v>45453</v>
          </cell>
          <cell r="R268" t="str">
            <v>月</v>
          </cell>
          <cell r="S268" t="str">
            <v>AM8:30</v>
          </cell>
        </row>
        <row r="269">
          <cell r="A269">
            <v>8414</v>
          </cell>
          <cell r="B269" t="str">
            <v>川瀬 有里</v>
          </cell>
          <cell r="C269" t="str">
            <v>TRADIA</v>
          </cell>
          <cell r="D269">
            <v>45455</v>
          </cell>
          <cell r="E269" t="str">
            <v>24K0653</v>
          </cell>
          <cell r="F269" t="str">
            <v>K524/24</v>
          </cell>
          <cell r="G269">
            <v>0</v>
          </cell>
          <cell r="H269" t="str">
            <v>31406982340</v>
          </cell>
          <cell r="I269">
            <v>198450</v>
          </cell>
          <cell r="J269">
            <v>198450</v>
          </cell>
          <cell r="K269">
            <v>5.09</v>
          </cell>
          <cell r="M269">
            <v>3</v>
          </cell>
          <cell r="N269" t="str">
            <v>CFS</v>
          </cell>
          <cell r="O269">
            <v>1</v>
          </cell>
          <cell r="P269">
            <v>45456</v>
          </cell>
          <cell r="Q269">
            <v>45460</v>
          </cell>
          <cell r="R269" t="str">
            <v>月</v>
          </cell>
          <cell r="S269" t="str">
            <v>AM8:30</v>
          </cell>
        </row>
        <row r="270">
          <cell r="A270">
            <v>8415</v>
          </cell>
          <cell r="B270" t="str">
            <v>川瀬 有里</v>
          </cell>
          <cell r="C270" t="str">
            <v>TRADIA</v>
          </cell>
          <cell r="D270">
            <v>45455</v>
          </cell>
          <cell r="E270" t="str">
            <v>24K0607</v>
          </cell>
          <cell r="F270" t="str">
            <v>I000012954</v>
          </cell>
          <cell r="G270">
            <v>0</v>
          </cell>
          <cell r="H270" t="str">
            <v>41341378140</v>
          </cell>
          <cell r="I270">
            <v>347024.5</v>
          </cell>
          <cell r="J270">
            <v>347024.5</v>
          </cell>
          <cell r="K270">
            <v>26.52</v>
          </cell>
          <cell r="L270" t="str">
            <v>CSLU1522363</v>
          </cell>
          <cell r="M270">
            <v>3</v>
          </cell>
          <cell r="N270" t="str">
            <v>20’</v>
          </cell>
          <cell r="O270">
            <v>1</v>
          </cell>
          <cell r="P270">
            <v>45463</v>
          </cell>
          <cell r="Q270">
            <v>45467</v>
          </cell>
          <cell r="R270" t="str">
            <v>月</v>
          </cell>
          <cell r="S270" t="str">
            <v>AM8:30</v>
          </cell>
        </row>
        <row r="271">
          <cell r="A271">
            <v>8416</v>
          </cell>
          <cell r="B271" t="str">
            <v>川瀬 有里</v>
          </cell>
          <cell r="C271" t="str">
            <v>KONOIKE</v>
          </cell>
          <cell r="D271">
            <v>45456</v>
          </cell>
          <cell r="E271" t="str">
            <v>24T0603</v>
          </cell>
          <cell r="F271" t="str">
            <v>I000012952</v>
          </cell>
          <cell r="G271">
            <v>0</v>
          </cell>
          <cell r="H271" t="str">
            <v>41341118661</v>
          </cell>
          <cell r="I271">
            <v>831245.1</v>
          </cell>
          <cell r="J271">
            <v>831245.1</v>
          </cell>
          <cell r="K271">
            <v>64.3</v>
          </cell>
          <cell r="L271" t="str">
            <v>WHSU6552169</v>
          </cell>
          <cell r="M271">
            <v>4</v>
          </cell>
          <cell r="N271" t="str">
            <v>40HQ</v>
          </cell>
          <cell r="O271">
            <v>2</v>
          </cell>
          <cell r="P271">
            <v>45464</v>
          </cell>
          <cell r="Q271">
            <v>45468</v>
          </cell>
          <cell r="R271" t="str">
            <v>火</v>
          </cell>
          <cell r="S271" t="str">
            <v>AM8:00</v>
          </cell>
        </row>
        <row r="272">
          <cell r="A272">
            <v>8417</v>
          </cell>
          <cell r="B272" t="str">
            <v>川瀬 有里</v>
          </cell>
          <cell r="C272" t="str">
            <v>KONOIKE</v>
          </cell>
          <cell r="D272">
            <v>45456</v>
          </cell>
          <cell r="E272" t="str">
            <v>24T0604</v>
          </cell>
          <cell r="F272" t="str">
            <v>I000012946</v>
          </cell>
          <cell r="G272">
            <v>0</v>
          </cell>
          <cell r="H272" t="str">
            <v>11632509110</v>
          </cell>
          <cell r="I272">
            <v>653512.6</v>
          </cell>
          <cell r="J272">
            <v>653512.6</v>
          </cell>
          <cell r="K272">
            <v>63.2</v>
          </cell>
          <cell r="L272" t="str">
            <v>WHSU6168997</v>
          </cell>
          <cell r="M272">
            <v>4</v>
          </cell>
          <cell r="N272" t="str">
            <v>40HQ</v>
          </cell>
          <cell r="O272">
            <v>5</v>
          </cell>
          <cell r="P272">
            <v>45460</v>
          </cell>
          <cell r="Q272">
            <v>45462</v>
          </cell>
          <cell r="R272" t="str">
            <v>水</v>
          </cell>
          <cell r="S272" t="str">
            <v>AM8:00</v>
          </cell>
        </row>
        <row r="273">
          <cell r="A273">
            <v>8418</v>
          </cell>
          <cell r="B273" t="str">
            <v>川瀬 有里</v>
          </cell>
          <cell r="C273" t="str">
            <v>TRADIA</v>
          </cell>
          <cell r="D273">
            <v>45456</v>
          </cell>
          <cell r="E273" t="str">
            <v>24T0652</v>
          </cell>
          <cell r="F273" t="str">
            <v>I000013028</v>
          </cell>
          <cell r="G273">
            <v>0</v>
          </cell>
          <cell r="H273" t="str">
            <v>40938707340</v>
          </cell>
          <cell r="I273">
            <v>3828.3</v>
          </cell>
          <cell r="J273">
            <v>3828.3</v>
          </cell>
          <cell r="K273">
            <v>0.22</v>
          </cell>
          <cell r="M273">
            <v>4</v>
          </cell>
          <cell r="N273" t="str">
            <v>AIR</v>
          </cell>
          <cell r="O273">
            <v>2</v>
          </cell>
          <cell r="Q273">
            <v>45461</v>
          </cell>
          <cell r="R273" t="str">
            <v>火</v>
          </cell>
          <cell r="S273" t="str">
            <v>AM8:00</v>
          </cell>
        </row>
        <row r="274">
          <cell r="A274">
            <v>8419</v>
          </cell>
          <cell r="B274" t="str">
            <v>川瀬 有里</v>
          </cell>
          <cell r="C274" t="str">
            <v>TRADIA</v>
          </cell>
          <cell r="D274">
            <v>45456</v>
          </cell>
          <cell r="E274" t="str">
            <v>24K0608</v>
          </cell>
          <cell r="F274" t="str">
            <v>I000012961</v>
          </cell>
          <cell r="G274">
            <v>0</v>
          </cell>
          <cell r="H274" t="str">
            <v>31407220120</v>
          </cell>
          <cell r="I274">
            <v>416100.36</v>
          </cell>
          <cell r="J274">
            <v>416100.36</v>
          </cell>
          <cell r="K274">
            <v>26.3</v>
          </cell>
          <cell r="L274" t="str">
            <v>WHSU2987327</v>
          </cell>
          <cell r="M274">
            <v>3</v>
          </cell>
          <cell r="N274" t="str">
            <v>20’</v>
          </cell>
          <cell r="O274">
            <v>1</v>
          </cell>
          <cell r="P274">
            <v>45463</v>
          </cell>
          <cell r="Q274">
            <v>45467</v>
          </cell>
          <cell r="R274" t="str">
            <v>月</v>
          </cell>
          <cell r="S274" t="str">
            <v>AM8:30</v>
          </cell>
        </row>
        <row r="275">
          <cell r="A275">
            <v>8420</v>
          </cell>
          <cell r="B275" t="str">
            <v>川瀬 有里</v>
          </cell>
          <cell r="C275" t="str">
            <v>TRADIA</v>
          </cell>
          <cell r="D275">
            <v>45456</v>
          </cell>
          <cell r="E275" t="str">
            <v>24K0608</v>
          </cell>
          <cell r="F275" t="str">
            <v>K548/24</v>
          </cell>
          <cell r="G275">
            <v>0</v>
          </cell>
          <cell r="H275" t="str">
            <v>31407220120</v>
          </cell>
          <cell r="I275">
            <v>542.01</v>
          </cell>
          <cell r="J275">
            <v>542.01</v>
          </cell>
          <cell r="K275">
            <v>0.22</v>
          </cell>
          <cell r="M275">
            <v>3</v>
          </cell>
          <cell r="N275" t="str">
            <v>20’</v>
          </cell>
          <cell r="O275">
            <v>1</v>
          </cell>
          <cell r="P275">
            <v>45463</v>
          </cell>
          <cell r="Q275">
            <v>45467</v>
          </cell>
          <cell r="R275" t="str">
            <v>月</v>
          </cell>
          <cell r="S275" t="str">
            <v>AM8:30</v>
          </cell>
        </row>
        <row r="276">
          <cell r="A276">
            <v>8421</v>
          </cell>
          <cell r="B276" t="str">
            <v>川瀬 有里</v>
          </cell>
          <cell r="C276" t="str">
            <v>TRADIA</v>
          </cell>
          <cell r="D276">
            <v>45457</v>
          </cell>
          <cell r="E276" t="str">
            <v>24K0609</v>
          </cell>
          <cell r="F276" t="str">
            <v>I000013012</v>
          </cell>
          <cell r="G276">
            <v>0</v>
          </cell>
          <cell r="H276" t="str">
            <v>41341770361</v>
          </cell>
          <cell r="I276">
            <v>430769.44</v>
          </cell>
          <cell r="J276">
            <v>430769.44</v>
          </cell>
          <cell r="K276">
            <v>26.08</v>
          </cell>
          <cell r="L276" t="str">
            <v>EGHU3948770</v>
          </cell>
          <cell r="M276">
            <v>3</v>
          </cell>
          <cell r="N276" t="str">
            <v>20’</v>
          </cell>
          <cell r="O276">
            <v>2</v>
          </cell>
          <cell r="P276">
            <v>45465</v>
          </cell>
          <cell r="Q276">
            <v>45469</v>
          </cell>
          <cell r="R276" t="str">
            <v>水</v>
          </cell>
          <cell r="S276" t="str">
            <v>AM8:30</v>
          </cell>
        </row>
        <row r="277">
          <cell r="A277">
            <v>8422</v>
          </cell>
          <cell r="B277" t="str">
            <v>川瀬 有里</v>
          </cell>
          <cell r="C277" t="str">
            <v>TRADIA</v>
          </cell>
          <cell r="D277">
            <v>45457</v>
          </cell>
          <cell r="E277" t="str">
            <v>24K0610</v>
          </cell>
          <cell r="F277" t="str">
            <v>I000013017</v>
          </cell>
          <cell r="G277">
            <v>0</v>
          </cell>
          <cell r="H277" t="str">
            <v>41341770361</v>
          </cell>
          <cell r="I277">
            <v>348647.5</v>
          </cell>
          <cell r="J277">
            <v>348647.5</v>
          </cell>
          <cell r="K277">
            <v>25.72</v>
          </cell>
          <cell r="L277" t="str">
            <v>DFSU1436414</v>
          </cell>
          <cell r="M277">
            <v>3</v>
          </cell>
          <cell r="N277" t="str">
            <v>20’</v>
          </cell>
          <cell r="O277">
            <v>2</v>
          </cell>
          <cell r="P277">
            <v>45465</v>
          </cell>
          <cell r="Q277">
            <v>45469</v>
          </cell>
          <cell r="R277" t="str">
            <v>水</v>
          </cell>
          <cell r="S277" t="str">
            <v>AM8:30</v>
          </cell>
        </row>
        <row r="278">
          <cell r="A278">
            <v>8423</v>
          </cell>
          <cell r="B278" t="str">
            <v>川瀬 有里</v>
          </cell>
          <cell r="C278" t="str">
            <v>TRADIA</v>
          </cell>
          <cell r="D278">
            <v>45457</v>
          </cell>
          <cell r="E278" t="str">
            <v>24K0611</v>
          </cell>
          <cell r="F278" t="str">
            <v>I000013019</v>
          </cell>
          <cell r="G278">
            <v>0</v>
          </cell>
          <cell r="H278" t="str">
            <v>41343270940</v>
          </cell>
          <cell r="I278">
            <v>368993.32</v>
          </cell>
          <cell r="J278">
            <v>368993.32</v>
          </cell>
          <cell r="K278">
            <v>27.32</v>
          </cell>
          <cell r="L278" t="str">
            <v>TSSU2280538</v>
          </cell>
          <cell r="M278">
            <v>3</v>
          </cell>
          <cell r="N278" t="str">
            <v>20’</v>
          </cell>
          <cell r="O278">
            <v>2</v>
          </cell>
          <cell r="P278">
            <v>45467</v>
          </cell>
          <cell r="Q278">
            <v>45469</v>
          </cell>
          <cell r="R278" t="str">
            <v>水</v>
          </cell>
          <cell r="S278" t="str">
            <v>AM8:30</v>
          </cell>
        </row>
        <row r="279">
          <cell r="A279">
            <v>8424</v>
          </cell>
          <cell r="B279" t="str">
            <v>川瀬 有里</v>
          </cell>
          <cell r="C279" t="str">
            <v>KONOIKE</v>
          </cell>
          <cell r="D279">
            <v>45460</v>
          </cell>
          <cell r="E279" t="str">
            <v>24T0605</v>
          </cell>
          <cell r="F279" t="str">
            <v>I000013008</v>
          </cell>
          <cell r="G279">
            <v>0</v>
          </cell>
          <cell r="H279" t="str">
            <v>41341409420</v>
          </cell>
          <cell r="I279">
            <v>781375.18</v>
          </cell>
          <cell r="J279">
            <v>781375.18</v>
          </cell>
          <cell r="K279">
            <v>65.33</v>
          </cell>
          <cell r="L279" t="str">
            <v>WHSU6736314</v>
          </cell>
          <cell r="M279">
            <v>4</v>
          </cell>
          <cell r="N279" t="str">
            <v>40HQ</v>
          </cell>
          <cell r="O279">
            <v>2</v>
          </cell>
          <cell r="P279">
            <v>45464</v>
          </cell>
          <cell r="Q279">
            <v>45468</v>
          </cell>
          <cell r="R279" t="str">
            <v>火</v>
          </cell>
          <cell r="S279" t="str">
            <v>AM8:00</v>
          </cell>
        </row>
        <row r="280">
          <cell r="A280">
            <v>8425</v>
          </cell>
          <cell r="B280" t="str">
            <v>川瀬 有里</v>
          </cell>
          <cell r="C280" t="str">
            <v>KONOIKE</v>
          </cell>
          <cell r="D280">
            <v>45460</v>
          </cell>
          <cell r="E280" t="str">
            <v>24T0606</v>
          </cell>
          <cell r="F280" t="str">
            <v>I000013018</v>
          </cell>
          <cell r="G280">
            <v>0</v>
          </cell>
          <cell r="H280" t="str">
            <v>11635531600</v>
          </cell>
          <cell r="I280">
            <v>589999.5</v>
          </cell>
          <cell r="J280">
            <v>589999.5</v>
          </cell>
          <cell r="K280">
            <v>64.47</v>
          </cell>
          <cell r="L280" t="str">
            <v>WHSU6848905</v>
          </cell>
          <cell r="M280">
            <v>4</v>
          </cell>
          <cell r="N280" t="str">
            <v>40HQ</v>
          </cell>
          <cell r="O280">
            <v>5</v>
          </cell>
          <cell r="P280">
            <v>45464</v>
          </cell>
          <cell r="Q280">
            <v>45468</v>
          </cell>
          <cell r="R280" t="str">
            <v>火</v>
          </cell>
          <cell r="S280" t="str">
            <v>AM8:00</v>
          </cell>
        </row>
        <row r="281">
          <cell r="A281">
            <v>8426</v>
          </cell>
          <cell r="B281" t="str">
            <v>川瀬 有里</v>
          </cell>
          <cell r="C281" t="str">
            <v>KONOIKE</v>
          </cell>
          <cell r="D281">
            <v>45461</v>
          </cell>
          <cell r="E281" t="str">
            <v>24T0607</v>
          </cell>
          <cell r="F281" t="str">
            <v>I000013022</v>
          </cell>
          <cell r="G281">
            <v>0</v>
          </cell>
          <cell r="H281" t="str">
            <v>41342565820</v>
          </cell>
          <cell r="I281">
            <v>674599.44</v>
          </cell>
          <cell r="J281">
            <v>674599.44</v>
          </cell>
          <cell r="K281">
            <v>65.510000000000005</v>
          </cell>
          <cell r="L281" t="str">
            <v>WHSU6347035</v>
          </cell>
          <cell r="M281">
            <v>4</v>
          </cell>
          <cell r="N281" t="str">
            <v>40HQ</v>
          </cell>
          <cell r="O281">
            <v>2</v>
          </cell>
          <cell r="P281">
            <v>45469</v>
          </cell>
          <cell r="Q281">
            <v>45471</v>
          </cell>
          <cell r="R281" t="str">
            <v>金</v>
          </cell>
          <cell r="S281" t="str">
            <v>AM8:00</v>
          </cell>
        </row>
        <row r="282">
          <cell r="A282">
            <v>8427</v>
          </cell>
          <cell r="B282" t="str">
            <v>川瀬 有里</v>
          </cell>
          <cell r="C282" t="str">
            <v>TRADIA</v>
          </cell>
          <cell r="D282">
            <v>45461</v>
          </cell>
          <cell r="E282" t="str">
            <v>24K0661</v>
          </cell>
          <cell r="F282" t="str">
            <v>I000013021</v>
          </cell>
          <cell r="G282">
            <v>0</v>
          </cell>
          <cell r="H282" t="str">
            <v>40933778200</v>
          </cell>
          <cell r="I282">
            <v>156816.64000000001</v>
          </cell>
          <cell r="J282">
            <v>156816.64000000001</v>
          </cell>
          <cell r="K282">
            <v>1.62</v>
          </cell>
          <cell r="M282">
            <v>3</v>
          </cell>
          <cell r="N282" t="str">
            <v>20’</v>
          </cell>
          <cell r="O282">
            <v>2</v>
          </cell>
          <cell r="Q282">
            <v>45462</v>
          </cell>
          <cell r="R282" t="str">
            <v>水</v>
          </cell>
          <cell r="S282" t="str">
            <v>AM8:30</v>
          </cell>
        </row>
        <row r="283">
          <cell r="A283">
            <v>8428</v>
          </cell>
          <cell r="B283" t="str">
            <v>川瀬 有里</v>
          </cell>
          <cell r="C283" t="str">
            <v>TRADIA</v>
          </cell>
          <cell r="D283">
            <v>45447</v>
          </cell>
          <cell r="E283" t="str">
            <v>24P0507</v>
          </cell>
          <cell r="F283" t="str">
            <v>I000012913</v>
          </cell>
          <cell r="G283">
            <v>0</v>
          </cell>
          <cell r="H283" t="str">
            <v>21555281040</v>
          </cell>
          <cell r="I283">
            <v>509134.8</v>
          </cell>
          <cell r="J283">
            <v>509134.8</v>
          </cell>
          <cell r="K283">
            <v>63.57</v>
          </cell>
          <cell r="L283" t="str">
            <v>WHSU6699714</v>
          </cell>
          <cell r="M283">
            <v>11</v>
          </cell>
          <cell r="N283" t="str">
            <v>40HQ</v>
          </cell>
          <cell r="O283">
            <v>4</v>
          </cell>
          <cell r="P283">
            <v>45454</v>
          </cell>
          <cell r="Q283">
            <v>45464</v>
          </cell>
          <cell r="R283" t="str">
            <v>金</v>
          </cell>
          <cell r="S283" t="str">
            <v>AM7:30</v>
          </cell>
        </row>
        <row r="284">
          <cell r="A284">
            <v>8429</v>
          </cell>
          <cell r="B284" t="str">
            <v>川瀬 有里</v>
          </cell>
          <cell r="C284" t="str">
            <v>TRADIA</v>
          </cell>
          <cell r="D284">
            <v>45463</v>
          </cell>
          <cell r="E284" t="str">
            <v>24K0663</v>
          </cell>
          <cell r="F284" t="str">
            <v>I000013029</v>
          </cell>
          <cell r="G284">
            <v>0</v>
          </cell>
          <cell r="H284" t="str">
            <v>40938711210</v>
          </cell>
          <cell r="I284">
            <v>161219.98000000001</v>
          </cell>
          <cell r="J284">
            <v>161219.98000000001</v>
          </cell>
          <cell r="K284">
            <v>1.63</v>
          </cell>
          <cell r="M284">
            <v>3</v>
          </cell>
          <cell r="N284" t="str">
            <v>AIR</v>
          </cell>
          <cell r="O284">
            <v>2</v>
          </cell>
          <cell r="Q284">
            <v>45463</v>
          </cell>
          <cell r="R284" t="str">
            <v>木</v>
          </cell>
          <cell r="S284" t="str">
            <v>AM8:30</v>
          </cell>
        </row>
        <row r="285">
          <cell r="A285">
            <v>8430</v>
          </cell>
          <cell r="B285" t="str">
            <v>川瀬 有里</v>
          </cell>
          <cell r="C285" t="str">
            <v>TRADIA</v>
          </cell>
          <cell r="D285">
            <v>45463</v>
          </cell>
          <cell r="E285" t="str">
            <v>24K0613</v>
          </cell>
          <cell r="F285" t="str">
            <v>I000013025</v>
          </cell>
          <cell r="G285">
            <v>0</v>
          </cell>
          <cell r="H285" t="str">
            <v>41342690420</v>
          </cell>
          <cell r="I285">
            <v>344740.09</v>
          </cell>
          <cell r="J285">
            <v>344740.09</v>
          </cell>
          <cell r="K285">
            <v>26.69</v>
          </cell>
          <cell r="L285" t="str">
            <v>WHSU005415</v>
          </cell>
          <cell r="M285">
            <v>3</v>
          </cell>
          <cell r="N285" t="str">
            <v>20’</v>
          </cell>
          <cell r="O285">
            <v>2</v>
          </cell>
          <cell r="P285">
            <v>45469</v>
          </cell>
          <cell r="Q285">
            <v>45471</v>
          </cell>
          <cell r="R285" t="str">
            <v>金</v>
          </cell>
          <cell r="S285" t="str">
            <v>AM8:30</v>
          </cell>
        </row>
        <row r="286">
          <cell r="A286">
            <v>8431</v>
          </cell>
          <cell r="B286" t="str">
            <v>川瀬 有里</v>
          </cell>
          <cell r="C286" t="str">
            <v>TRADIA</v>
          </cell>
          <cell r="D286">
            <v>45464</v>
          </cell>
          <cell r="E286" t="str">
            <v>24K0666</v>
          </cell>
          <cell r="F286" t="str">
            <v>K576/24</v>
          </cell>
          <cell r="G286">
            <v>0</v>
          </cell>
          <cell r="H286" t="str">
            <v>31407979140</v>
          </cell>
          <cell r="I286">
            <v>374.94</v>
          </cell>
          <cell r="J286">
            <v>374.94</v>
          </cell>
          <cell r="K286">
            <v>13.79</v>
          </cell>
          <cell r="M286">
            <v>3</v>
          </cell>
          <cell r="N286" t="str">
            <v>AIR</v>
          </cell>
          <cell r="O286">
            <v>2</v>
          </cell>
          <cell r="Q286">
            <v>45467</v>
          </cell>
          <cell r="R286" t="str">
            <v>月</v>
          </cell>
          <cell r="S286" t="str">
            <v>AM8:30</v>
          </cell>
        </row>
        <row r="287">
          <cell r="A287">
            <v>8432</v>
          </cell>
          <cell r="B287" t="str">
            <v>川瀬 有里</v>
          </cell>
          <cell r="C287" t="str">
            <v>TRADIA</v>
          </cell>
          <cell r="D287">
            <v>45464</v>
          </cell>
          <cell r="E287" t="str">
            <v>24K0614</v>
          </cell>
          <cell r="F287" t="str">
            <v>I000013043</v>
          </cell>
          <cell r="G287">
            <v>0</v>
          </cell>
          <cell r="H287" t="str">
            <v>41343865610</v>
          </cell>
          <cell r="I287">
            <v>41646.639999999999</v>
          </cell>
          <cell r="J287">
            <v>41646.639999999999</v>
          </cell>
          <cell r="K287">
            <v>25.1</v>
          </cell>
          <cell r="L287" t="str">
            <v>FYCU7042308</v>
          </cell>
          <cell r="M287">
            <v>3</v>
          </cell>
          <cell r="N287" t="str">
            <v>20’</v>
          </cell>
          <cell r="O287">
            <v>2</v>
          </cell>
          <cell r="P287">
            <v>45472</v>
          </cell>
          <cell r="Q287">
            <v>45475</v>
          </cell>
          <cell r="R287" t="str">
            <v>火</v>
          </cell>
          <cell r="S287" t="str">
            <v>AM8:30</v>
          </cell>
        </row>
        <row r="288">
          <cell r="A288">
            <v>8433</v>
          </cell>
          <cell r="B288" t="str">
            <v>川瀬 有里</v>
          </cell>
          <cell r="C288" t="str">
            <v>TRADIA</v>
          </cell>
          <cell r="D288">
            <v>45464</v>
          </cell>
          <cell r="E288" t="str">
            <v>24K0606</v>
          </cell>
          <cell r="F288" t="str">
            <v>I000012947</v>
          </cell>
          <cell r="G288">
            <v>0</v>
          </cell>
          <cell r="H288" t="str">
            <v>31406792050</v>
          </cell>
          <cell r="I288">
            <v>434937.07</v>
          </cell>
          <cell r="J288">
            <v>434937.07</v>
          </cell>
          <cell r="K288">
            <v>27.45</v>
          </cell>
          <cell r="L288" t="str">
            <v>TIIU2030673</v>
          </cell>
          <cell r="M288">
            <v>3</v>
          </cell>
          <cell r="N288" t="str">
            <v>20’</v>
          </cell>
          <cell r="O288">
            <v>1</v>
          </cell>
          <cell r="P288">
            <v>45461</v>
          </cell>
          <cell r="Q288">
            <v>45463</v>
          </cell>
          <cell r="R288" t="str">
            <v>木</v>
          </cell>
          <cell r="S288" t="str">
            <v>AM8:30</v>
          </cell>
        </row>
        <row r="289">
          <cell r="A289">
            <v>8434</v>
          </cell>
          <cell r="B289" t="str">
            <v>川瀬 有里</v>
          </cell>
          <cell r="C289" t="str">
            <v>KONOIKE</v>
          </cell>
          <cell r="D289">
            <v>45464</v>
          </cell>
          <cell r="E289" t="str">
            <v>24T0608</v>
          </cell>
          <cell r="F289" t="str">
            <v>I000013042</v>
          </cell>
          <cell r="G289">
            <v>0</v>
          </cell>
          <cell r="H289" t="str">
            <v>11637019760</v>
          </cell>
          <cell r="I289">
            <v>698607.32</v>
          </cell>
          <cell r="J289">
            <v>698607.32</v>
          </cell>
          <cell r="K289">
            <v>63.61</v>
          </cell>
          <cell r="L289" t="str">
            <v>WHSU6250810</v>
          </cell>
          <cell r="M289">
            <v>4</v>
          </cell>
          <cell r="N289" t="str">
            <v>40HQ</v>
          </cell>
          <cell r="O289">
            <v>5</v>
          </cell>
          <cell r="P289">
            <v>45472</v>
          </cell>
          <cell r="Q289">
            <v>45475</v>
          </cell>
          <cell r="R289" t="str">
            <v>火</v>
          </cell>
          <cell r="S289" t="str">
            <v>AM8:00</v>
          </cell>
        </row>
        <row r="290">
          <cell r="A290">
            <v>8435</v>
          </cell>
          <cell r="B290" t="str">
            <v>川瀬 有里</v>
          </cell>
          <cell r="C290" t="str">
            <v>KONOIKE</v>
          </cell>
          <cell r="D290">
            <v>45464</v>
          </cell>
          <cell r="E290" t="str">
            <v>24T0609</v>
          </cell>
          <cell r="F290" t="str">
            <v>I000013034</v>
          </cell>
          <cell r="G290">
            <v>0</v>
          </cell>
          <cell r="H290" t="str">
            <v>41342641640</v>
          </cell>
          <cell r="I290">
            <v>662231.75</v>
          </cell>
          <cell r="J290">
            <v>662231.75</v>
          </cell>
          <cell r="K290">
            <v>59.52</v>
          </cell>
          <cell r="L290" t="str">
            <v>WHSU6133877</v>
          </cell>
          <cell r="M290">
            <v>4</v>
          </cell>
          <cell r="N290" t="str">
            <v>40HQ</v>
          </cell>
          <cell r="O290">
            <v>2</v>
          </cell>
          <cell r="P290">
            <v>45469</v>
          </cell>
          <cell r="Q290">
            <v>45471</v>
          </cell>
          <cell r="R290" t="str">
            <v>金</v>
          </cell>
          <cell r="S290" t="str">
            <v>AM8:00</v>
          </cell>
        </row>
        <row r="291">
          <cell r="A291">
            <v>8436</v>
          </cell>
          <cell r="B291" t="str">
            <v>川瀬 有里</v>
          </cell>
          <cell r="C291" t="str">
            <v>KONOIKE</v>
          </cell>
          <cell r="D291">
            <v>45464</v>
          </cell>
          <cell r="E291" t="str">
            <v>24T0610</v>
          </cell>
          <cell r="F291" t="str">
            <v>I000013038</v>
          </cell>
          <cell r="G291">
            <v>0</v>
          </cell>
          <cell r="H291" t="str">
            <v>41342641640</v>
          </cell>
          <cell r="I291">
            <v>644562.26</v>
          </cell>
          <cell r="J291">
            <v>644562.26</v>
          </cell>
          <cell r="K291">
            <v>61.32</v>
          </cell>
          <cell r="L291" t="str">
            <v>WHSU5061730</v>
          </cell>
          <cell r="M291">
            <v>4</v>
          </cell>
          <cell r="N291" t="str">
            <v>40HQ</v>
          </cell>
          <cell r="O291">
            <v>2</v>
          </cell>
          <cell r="P291">
            <v>45469</v>
          </cell>
          <cell r="Q291">
            <v>45471</v>
          </cell>
          <cell r="R291" t="str">
            <v>金</v>
          </cell>
          <cell r="S291" t="str">
            <v>AM8:00</v>
          </cell>
        </row>
        <row r="292">
          <cell r="A292">
            <v>8437</v>
          </cell>
          <cell r="B292" t="str">
            <v>川瀬 有里</v>
          </cell>
          <cell r="C292" t="str">
            <v>TRADIA</v>
          </cell>
          <cell r="D292">
            <v>45464</v>
          </cell>
          <cell r="E292" t="str">
            <v>24P0601</v>
          </cell>
          <cell r="F292" t="str">
            <v>I000012934</v>
          </cell>
          <cell r="G292">
            <v>0</v>
          </cell>
          <cell r="H292" t="str">
            <v>41340996050</v>
          </cell>
          <cell r="I292">
            <v>515931.71</v>
          </cell>
          <cell r="J292">
            <v>515931.71</v>
          </cell>
          <cell r="K292">
            <v>65.290000000000006</v>
          </cell>
          <cell r="L292" t="str">
            <v>WHSU6284847</v>
          </cell>
          <cell r="N292" t="str">
            <v>40HQ</v>
          </cell>
          <cell r="O292">
            <v>2</v>
          </cell>
          <cell r="P292">
            <v>45453</v>
          </cell>
          <cell r="Q292">
            <v>45469</v>
          </cell>
          <cell r="R292" t="str">
            <v>水</v>
          </cell>
          <cell r="S292" t="str">
            <v>AM9:30</v>
          </cell>
        </row>
        <row r="293">
          <cell r="A293">
            <v>8438</v>
          </cell>
          <cell r="B293" t="str">
            <v>川瀬 有里</v>
          </cell>
          <cell r="C293" t="str">
            <v>TRADIA</v>
          </cell>
          <cell r="D293">
            <v>45464</v>
          </cell>
          <cell r="E293" t="str">
            <v>24P0602</v>
          </cell>
          <cell r="F293" t="str">
            <v>I000012951</v>
          </cell>
          <cell r="G293">
            <v>0</v>
          </cell>
          <cell r="H293" t="str">
            <v>41343378260</v>
          </cell>
          <cell r="I293">
            <v>502398.3</v>
          </cell>
          <cell r="J293">
            <v>502398.3</v>
          </cell>
          <cell r="K293">
            <v>63.98</v>
          </cell>
          <cell r="L293" t="str">
            <v>TLLU8708630</v>
          </cell>
          <cell r="N293" t="str">
            <v>40HQ</v>
          </cell>
          <cell r="O293">
            <v>2</v>
          </cell>
          <cell r="P293">
            <v>45461</v>
          </cell>
          <cell r="Q293">
            <v>45475</v>
          </cell>
          <cell r="R293" t="str">
            <v>火</v>
          </cell>
          <cell r="S293" t="str">
            <v>AM9:30</v>
          </cell>
        </row>
        <row r="294">
          <cell r="A294">
            <v>8439</v>
          </cell>
          <cell r="B294" t="str">
            <v>川瀬 有里</v>
          </cell>
          <cell r="C294" t="str">
            <v>TRADIA</v>
          </cell>
          <cell r="D294">
            <v>45464</v>
          </cell>
          <cell r="E294" t="str">
            <v>24P0603</v>
          </cell>
          <cell r="F294" t="str">
            <v>I000013023</v>
          </cell>
          <cell r="G294">
            <v>0</v>
          </cell>
          <cell r="H294" t="str">
            <v>21557549850</v>
          </cell>
          <cell r="I294">
            <v>488288.28</v>
          </cell>
          <cell r="J294">
            <v>488288.28</v>
          </cell>
          <cell r="K294">
            <v>64.61</v>
          </cell>
          <cell r="L294" t="str">
            <v>WHSU6934238</v>
          </cell>
          <cell r="M294">
            <v>11</v>
          </cell>
          <cell r="N294" t="str">
            <v>40HQ</v>
          </cell>
          <cell r="O294">
            <v>4</v>
          </cell>
          <cell r="P294">
            <v>45471</v>
          </cell>
          <cell r="Q294">
            <v>45481</v>
          </cell>
          <cell r="R294" t="str">
            <v>月</v>
          </cell>
          <cell r="S294" t="str">
            <v>AM7:30</v>
          </cell>
        </row>
        <row r="295">
          <cell r="A295">
            <v>8440</v>
          </cell>
          <cell r="B295" t="str">
            <v>川瀬 有里</v>
          </cell>
          <cell r="C295" t="str">
            <v>TRADIA</v>
          </cell>
          <cell r="D295">
            <v>45467</v>
          </cell>
          <cell r="E295" t="str">
            <v>24K0612</v>
          </cell>
          <cell r="F295" t="str">
            <v>I000013037</v>
          </cell>
          <cell r="G295">
            <v>0</v>
          </cell>
          <cell r="H295" t="str">
            <v>41342690420</v>
          </cell>
          <cell r="I295">
            <v>430197.22</v>
          </cell>
          <cell r="J295">
            <v>430197.22</v>
          </cell>
          <cell r="K295">
            <v>25.39</v>
          </cell>
          <cell r="L295" t="str">
            <v>WHLU0644093</v>
          </cell>
          <cell r="M295">
            <v>3</v>
          </cell>
          <cell r="N295" t="str">
            <v>20’</v>
          </cell>
          <cell r="O295">
            <v>2</v>
          </cell>
          <cell r="P295">
            <v>45469</v>
          </cell>
          <cell r="Q295">
            <v>45471</v>
          </cell>
          <cell r="R295" t="str">
            <v>金</v>
          </cell>
          <cell r="S295" t="str">
            <v>AM8:30</v>
          </cell>
        </row>
        <row r="296">
          <cell r="A296">
            <v>8441</v>
          </cell>
          <cell r="B296" t="str">
            <v>川瀬 有里</v>
          </cell>
          <cell r="C296" t="str">
            <v>TRADIA</v>
          </cell>
          <cell r="D296">
            <v>45468</v>
          </cell>
          <cell r="E296" t="str">
            <v>24P0604</v>
          </cell>
          <cell r="F296" t="str">
            <v>I000013048</v>
          </cell>
          <cell r="G296">
            <v>0</v>
          </cell>
          <cell r="H296" t="str">
            <v>21557589420</v>
          </cell>
          <cell r="I296">
            <v>501387.84</v>
          </cell>
          <cell r="J296">
            <v>501387.84</v>
          </cell>
          <cell r="K296">
            <v>63.71</v>
          </cell>
          <cell r="L296" t="str">
            <v>WHSU6710140</v>
          </cell>
          <cell r="M296">
            <v>11</v>
          </cell>
          <cell r="N296" t="str">
            <v>40HQ</v>
          </cell>
          <cell r="O296">
            <v>4</v>
          </cell>
          <cell r="P296">
            <v>45469</v>
          </cell>
          <cell r="Q296">
            <v>45489</v>
          </cell>
          <cell r="R296" t="str">
            <v>火</v>
          </cell>
          <cell r="S296" t="str">
            <v>AM7:30</v>
          </cell>
        </row>
        <row r="297">
          <cell r="A297">
            <v>8442</v>
          </cell>
          <cell r="B297" t="str">
            <v>川瀬 有里</v>
          </cell>
          <cell r="C297" t="str">
            <v>TRADIA</v>
          </cell>
          <cell r="D297">
            <v>45468</v>
          </cell>
          <cell r="E297" t="str">
            <v>24K0615</v>
          </cell>
          <cell r="F297" t="str">
            <v>I000013047</v>
          </cell>
          <cell r="G297">
            <v>0</v>
          </cell>
          <cell r="H297" t="str">
            <v>41345175050</v>
          </cell>
          <cell r="I297">
            <v>503877.57</v>
          </cell>
          <cell r="J297">
            <v>503877.57</v>
          </cell>
          <cell r="K297">
            <v>27.36</v>
          </cell>
          <cell r="L297" t="str">
            <v>TSSU2194492</v>
          </cell>
          <cell r="M297">
            <v>3</v>
          </cell>
          <cell r="N297" t="str">
            <v>20’</v>
          </cell>
          <cell r="O297">
            <v>2</v>
          </cell>
          <cell r="P297">
            <v>45475</v>
          </cell>
          <cell r="Q297">
            <v>45477</v>
          </cell>
          <cell r="R297" t="str">
            <v>木</v>
          </cell>
          <cell r="S297" t="str">
            <v>AM8:30</v>
          </cell>
        </row>
        <row r="298">
          <cell r="A298">
            <v>8443</v>
          </cell>
          <cell r="B298" t="str">
            <v>川瀬 有里</v>
          </cell>
          <cell r="C298" t="str">
            <v>TRADIA</v>
          </cell>
          <cell r="D298">
            <v>45468</v>
          </cell>
          <cell r="E298" t="str">
            <v>24K0668</v>
          </cell>
          <cell r="F298" t="str">
            <v>I000013052</v>
          </cell>
          <cell r="G298">
            <v>0</v>
          </cell>
          <cell r="H298" t="str">
            <v>40983468620</v>
          </cell>
          <cell r="I298">
            <v>164900.70000000001</v>
          </cell>
          <cell r="J298">
            <v>164900.70000000001</v>
          </cell>
          <cell r="K298">
            <v>0.96</v>
          </cell>
          <cell r="M298">
            <v>3</v>
          </cell>
          <cell r="N298" t="str">
            <v>AIR</v>
          </cell>
          <cell r="O298">
            <v>2</v>
          </cell>
          <cell r="Q298">
            <v>45470</v>
          </cell>
          <cell r="R298" t="str">
            <v>木</v>
          </cell>
          <cell r="S298" t="str">
            <v>AM8:30</v>
          </cell>
        </row>
        <row r="299">
          <cell r="A299">
            <v>8444</v>
          </cell>
          <cell r="B299" t="str">
            <v>川瀬 有里</v>
          </cell>
          <cell r="C299" t="str">
            <v>TRADIA</v>
          </cell>
          <cell r="D299">
            <v>45470</v>
          </cell>
          <cell r="E299" t="str">
            <v>24K0671</v>
          </cell>
          <cell r="F299" t="str">
            <v>I000013054</v>
          </cell>
          <cell r="G299">
            <v>0</v>
          </cell>
          <cell r="H299" t="str">
            <v>40999607930</v>
          </cell>
          <cell r="I299">
            <v>140928</v>
          </cell>
          <cell r="J299">
            <v>140928</v>
          </cell>
          <cell r="K299">
            <v>12.29</v>
          </cell>
          <cell r="M299">
            <v>3</v>
          </cell>
          <cell r="N299" t="str">
            <v>AIR</v>
          </cell>
          <cell r="O299">
            <v>2</v>
          </cell>
          <cell r="Q299">
            <v>45471</v>
          </cell>
          <cell r="R299" t="str">
            <v>金</v>
          </cell>
          <cell r="S299" t="str">
            <v>AM8:30</v>
          </cell>
        </row>
        <row r="300">
          <cell r="A300">
            <v>8445</v>
          </cell>
          <cell r="B300" t="str">
            <v>川瀬 有里</v>
          </cell>
          <cell r="C300" t="str">
            <v>TRADIA</v>
          </cell>
          <cell r="D300">
            <v>45470</v>
          </cell>
          <cell r="E300" t="str">
            <v>24K0673</v>
          </cell>
          <cell r="F300" t="str">
            <v>I000013060</v>
          </cell>
          <cell r="G300">
            <v>0</v>
          </cell>
          <cell r="H300" t="str">
            <v>40016511940</v>
          </cell>
          <cell r="I300">
            <v>115972</v>
          </cell>
          <cell r="J300">
            <v>115972</v>
          </cell>
          <cell r="K300">
            <v>10.23</v>
          </cell>
          <cell r="M300">
            <v>3</v>
          </cell>
          <cell r="N300" t="str">
            <v>AIR</v>
          </cell>
          <cell r="O300">
            <v>2</v>
          </cell>
          <cell r="Q300">
            <v>45471</v>
          </cell>
          <cell r="R300" t="str">
            <v>金</v>
          </cell>
          <cell r="S300" t="str">
            <v>AM8:30</v>
          </cell>
        </row>
        <row r="301">
          <cell r="A301">
            <v>8446</v>
          </cell>
          <cell r="B301" t="str">
            <v>川瀬 有里</v>
          </cell>
          <cell r="C301" t="str">
            <v>TRADIA</v>
          </cell>
          <cell r="D301">
            <v>45470</v>
          </cell>
          <cell r="E301" t="str">
            <v>24K0617</v>
          </cell>
          <cell r="F301" t="str">
            <v>I000013058</v>
          </cell>
          <cell r="G301">
            <v>0</v>
          </cell>
          <cell r="H301" t="str">
            <v>41345795030</v>
          </cell>
          <cell r="I301">
            <v>871560</v>
          </cell>
          <cell r="J301">
            <v>871560</v>
          </cell>
          <cell r="K301">
            <v>55.73</v>
          </cell>
          <cell r="L301" t="str">
            <v>WHSU6086055</v>
          </cell>
          <cell r="M301">
            <v>3</v>
          </cell>
          <cell r="N301" t="str">
            <v>40’</v>
          </cell>
          <cell r="O301">
            <v>2</v>
          </cell>
          <cell r="P301">
            <v>45478</v>
          </cell>
          <cell r="Q301">
            <v>45481</v>
          </cell>
          <cell r="R301" t="str">
            <v>月</v>
          </cell>
          <cell r="S301" t="str">
            <v>AM8:30</v>
          </cell>
        </row>
        <row r="302">
          <cell r="A302">
            <v>8447</v>
          </cell>
          <cell r="B302" t="str">
            <v>川瀬 有里</v>
          </cell>
          <cell r="C302" t="str">
            <v>TRADIA</v>
          </cell>
          <cell r="D302">
            <v>45470</v>
          </cell>
          <cell r="E302" t="str">
            <v>24K0616</v>
          </cell>
          <cell r="F302" t="str">
            <v>I000013053</v>
          </cell>
          <cell r="G302">
            <v>0</v>
          </cell>
          <cell r="H302" t="str">
            <v>41345795030</v>
          </cell>
          <cell r="I302">
            <v>355328.72</v>
          </cell>
          <cell r="J302">
            <v>355328.72</v>
          </cell>
          <cell r="K302">
            <v>24.49</v>
          </cell>
          <cell r="L302" t="str">
            <v>WHSU0237853</v>
          </cell>
          <cell r="M302">
            <v>3</v>
          </cell>
          <cell r="N302" t="str">
            <v>20’</v>
          </cell>
          <cell r="O302">
            <v>2</v>
          </cell>
          <cell r="P302">
            <v>45478</v>
          </cell>
          <cell r="Q302">
            <v>45481</v>
          </cell>
          <cell r="R302" t="str">
            <v>月</v>
          </cell>
          <cell r="S302" t="str">
            <v>AM8:30</v>
          </cell>
        </row>
        <row r="303">
          <cell r="A303">
            <v>8448</v>
          </cell>
          <cell r="B303" t="str">
            <v>川瀬 有里</v>
          </cell>
          <cell r="C303" t="str">
            <v>KONOIKE</v>
          </cell>
          <cell r="D303">
            <v>45471</v>
          </cell>
          <cell r="E303" t="str">
            <v>24T0611</v>
          </cell>
          <cell r="F303" t="str">
            <v>I000013045</v>
          </cell>
          <cell r="G303">
            <v>0</v>
          </cell>
          <cell r="H303" t="str">
            <v>41345844400</v>
          </cell>
          <cell r="I303">
            <v>667138.34</v>
          </cell>
          <cell r="J303">
            <v>667138.34</v>
          </cell>
          <cell r="K303">
            <v>62.57</v>
          </cell>
          <cell r="L303" t="str">
            <v>WHSU5536230</v>
          </cell>
          <cell r="M303">
            <v>4</v>
          </cell>
          <cell r="N303" t="str">
            <v>40HQ</v>
          </cell>
          <cell r="O303">
            <v>2</v>
          </cell>
          <cell r="P303">
            <v>45478</v>
          </cell>
          <cell r="Q303">
            <v>45482</v>
          </cell>
          <cell r="R303" t="str">
            <v>火</v>
          </cell>
          <cell r="S303" t="str">
            <v>AM8:00</v>
          </cell>
        </row>
        <row r="304">
          <cell r="A304">
            <v>8449</v>
          </cell>
          <cell r="B304" t="str">
            <v>川瀬 有里</v>
          </cell>
          <cell r="C304" t="str">
            <v>KONOIKE</v>
          </cell>
          <cell r="D304">
            <v>45471</v>
          </cell>
          <cell r="E304" t="str">
            <v>24T0612</v>
          </cell>
          <cell r="F304" t="str">
            <v>I000013055</v>
          </cell>
          <cell r="G304">
            <v>0</v>
          </cell>
          <cell r="H304" t="str">
            <v>11640266510</v>
          </cell>
          <cell r="I304">
            <v>640196.1</v>
          </cell>
          <cell r="J304">
            <v>640196.1</v>
          </cell>
          <cell r="K304">
            <v>61.74</v>
          </cell>
          <cell r="L304" t="str">
            <v>WHSU6895954</v>
          </cell>
          <cell r="M304">
            <v>4</v>
          </cell>
          <cell r="N304" t="str">
            <v>40HQ</v>
          </cell>
          <cell r="O304">
            <v>5</v>
          </cell>
          <cell r="P304">
            <v>45481</v>
          </cell>
          <cell r="Q304">
            <v>45483</v>
          </cell>
          <cell r="R304" t="str">
            <v>水</v>
          </cell>
          <cell r="S304" t="str">
            <v>AM8:00</v>
          </cell>
        </row>
        <row r="305">
          <cell r="A305">
            <v>8450</v>
          </cell>
          <cell r="B305" t="str">
            <v>川瀬 有里</v>
          </cell>
          <cell r="C305" t="str">
            <v>YUSEN</v>
          </cell>
          <cell r="D305">
            <v>45476</v>
          </cell>
          <cell r="E305" t="str">
            <v>24K0619</v>
          </cell>
          <cell r="F305" t="str">
            <v>I000013065</v>
          </cell>
          <cell r="G305">
            <v>0</v>
          </cell>
          <cell r="H305" t="str">
            <v>31410260440</v>
          </cell>
          <cell r="I305">
            <v>356412.9</v>
          </cell>
          <cell r="J305">
            <v>356412.9</v>
          </cell>
          <cell r="K305">
            <v>28.96</v>
          </cell>
          <cell r="L305" t="str">
            <v>TLLU3396226</v>
          </cell>
          <cell r="M305">
            <v>3</v>
          </cell>
          <cell r="N305" t="str">
            <v>20’</v>
          </cell>
          <cell r="O305">
            <v>2</v>
          </cell>
          <cell r="P305">
            <v>45482</v>
          </cell>
          <cell r="Q305">
            <v>45484</v>
          </cell>
          <cell r="R305" t="str">
            <v>木</v>
          </cell>
          <cell r="S305" t="str">
            <v>AM8:30</v>
          </cell>
        </row>
        <row r="306">
          <cell r="A306">
            <v>8451</v>
          </cell>
          <cell r="B306" t="str">
            <v>川瀬 有里</v>
          </cell>
          <cell r="C306" t="str">
            <v>YUSEN</v>
          </cell>
          <cell r="D306">
            <v>45476</v>
          </cell>
          <cell r="E306" t="str">
            <v>24K0620</v>
          </cell>
          <cell r="F306" t="str">
            <v>I000013069</v>
          </cell>
          <cell r="G306">
            <v>0</v>
          </cell>
          <cell r="H306" t="str">
            <v>31410260440</v>
          </cell>
          <cell r="I306">
            <v>355212.32</v>
          </cell>
          <cell r="J306">
            <v>355212.32</v>
          </cell>
          <cell r="K306">
            <v>26.13</v>
          </cell>
          <cell r="L306" t="str">
            <v>TSSU2077916</v>
          </cell>
          <cell r="M306">
            <v>3</v>
          </cell>
          <cell r="N306" t="str">
            <v>20’</v>
          </cell>
          <cell r="O306">
            <v>2</v>
          </cell>
          <cell r="P306">
            <v>45482</v>
          </cell>
          <cell r="Q306">
            <v>45484</v>
          </cell>
          <cell r="R306" t="str">
            <v>木</v>
          </cell>
          <cell r="S306" t="str">
            <v>AM8:30</v>
          </cell>
        </row>
        <row r="307">
          <cell r="A307">
            <v>8452</v>
          </cell>
          <cell r="B307" t="str">
            <v>川瀬 有里</v>
          </cell>
          <cell r="C307" t="str">
            <v>KONOIKE</v>
          </cell>
          <cell r="D307">
            <v>45476</v>
          </cell>
          <cell r="E307" t="str">
            <v>24T0613</v>
          </cell>
          <cell r="F307" t="str">
            <v>I000013063</v>
          </cell>
          <cell r="G307">
            <v>0</v>
          </cell>
          <cell r="H307" t="str">
            <v>41346257860</v>
          </cell>
          <cell r="I307">
            <v>824727.24</v>
          </cell>
          <cell r="J307">
            <v>824727.24</v>
          </cell>
          <cell r="K307">
            <v>61.86</v>
          </cell>
          <cell r="L307" t="str">
            <v>WHSU6497354</v>
          </cell>
          <cell r="M307">
            <v>4</v>
          </cell>
          <cell r="N307" t="str">
            <v>40HQ</v>
          </cell>
          <cell r="O307">
            <v>2</v>
          </cell>
          <cell r="P307">
            <v>45480</v>
          </cell>
          <cell r="Q307">
            <v>45483</v>
          </cell>
          <cell r="R307" t="str">
            <v>水</v>
          </cell>
          <cell r="S307" t="str">
            <v>AM8:00</v>
          </cell>
        </row>
        <row r="308">
          <cell r="A308">
            <v>8453</v>
          </cell>
          <cell r="B308" t="str">
            <v>川瀬 有里</v>
          </cell>
          <cell r="C308" t="str">
            <v>KONOIKE</v>
          </cell>
          <cell r="D308">
            <v>45476</v>
          </cell>
          <cell r="E308" t="str">
            <v>24T0614</v>
          </cell>
          <cell r="F308" t="str">
            <v>I000013068</v>
          </cell>
          <cell r="G308">
            <v>0</v>
          </cell>
          <cell r="H308" t="str">
            <v>41346257860</v>
          </cell>
          <cell r="I308">
            <v>520436.04</v>
          </cell>
          <cell r="J308">
            <v>520436.04</v>
          </cell>
          <cell r="K308">
            <v>64.430000000000007</v>
          </cell>
          <cell r="L308" t="str">
            <v>WHSU6813508</v>
          </cell>
          <cell r="M308">
            <v>4</v>
          </cell>
          <cell r="N308" t="str">
            <v>40HQ</v>
          </cell>
          <cell r="O308">
            <v>2</v>
          </cell>
          <cell r="P308">
            <v>45480</v>
          </cell>
          <cell r="Q308">
            <v>45483</v>
          </cell>
          <cell r="R308" t="str">
            <v>水</v>
          </cell>
          <cell r="S308" t="str">
            <v>AM8:00</v>
          </cell>
        </row>
        <row r="309">
          <cell r="A309">
            <v>8454</v>
          </cell>
          <cell r="B309" t="str">
            <v>川瀬 有里</v>
          </cell>
          <cell r="C309" t="str">
            <v>TRADIA</v>
          </cell>
          <cell r="D309">
            <v>45476</v>
          </cell>
          <cell r="E309" t="str">
            <v>24K0618</v>
          </cell>
          <cell r="F309" t="str">
            <v>I000013066</v>
          </cell>
          <cell r="G309">
            <v>0</v>
          </cell>
          <cell r="H309" t="str">
            <v>41347226200</v>
          </cell>
          <cell r="I309">
            <v>365195.28</v>
          </cell>
          <cell r="J309">
            <v>365195.28</v>
          </cell>
          <cell r="K309">
            <v>24.7</v>
          </cell>
          <cell r="L309" t="str">
            <v>WHSU0055503</v>
          </cell>
          <cell r="M309">
            <v>3</v>
          </cell>
          <cell r="N309" t="str">
            <v>20’</v>
          </cell>
          <cell r="O309">
            <v>2</v>
          </cell>
          <cell r="P309">
            <v>45480</v>
          </cell>
          <cell r="Q309">
            <v>45483</v>
          </cell>
          <cell r="R309" t="str">
            <v>水</v>
          </cell>
          <cell r="S309" t="str">
            <v>AM8:30</v>
          </cell>
        </row>
        <row r="310">
          <cell r="A310">
            <v>8455</v>
          </cell>
          <cell r="B310" t="str">
            <v>川瀬 有里</v>
          </cell>
          <cell r="C310" t="str">
            <v>KONOIKE</v>
          </cell>
          <cell r="D310">
            <v>45478</v>
          </cell>
          <cell r="E310" t="str">
            <v>24T0701</v>
          </cell>
          <cell r="F310" t="str">
            <v>I000013078</v>
          </cell>
          <cell r="G310">
            <v>0</v>
          </cell>
          <cell r="H310" t="str">
            <v>11642384710</v>
          </cell>
          <cell r="I310">
            <v>518150.58</v>
          </cell>
          <cell r="J310">
            <v>518150.58</v>
          </cell>
          <cell r="K310">
            <v>64.989999999999995</v>
          </cell>
          <cell r="L310" t="str">
            <v>WHSU2926717</v>
          </cell>
          <cell r="M310">
            <v>4</v>
          </cell>
          <cell r="N310" t="str">
            <v>40HQ</v>
          </cell>
          <cell r="O310">
            <v>5</v>
          </cell>
          <cell r="P310">
            <v>45485</v>
          </cell>
          <cell r="Q310">
            <v>45490</v>
          </cell>
          <cell r="R310" t="str">
            <v>水</v>
          </cell>
          <cell r="S310" t="str">
            <v>AM8:00</v>
          </cell>
        </row>
        <row r="311">
          <cell r="A311">
            <v>8456</v>
          </cell>
          <cell r="B311" t="str">
            <v>川瀬 有里</v>
          </cell>
          <cell r="C311" t="str">
            <v>TRADIA</v>
          </cell>
          <cell r="D311">
            <v>45476</v>
          </cell>
          <cell r="E311" t="str">
            <v>24P0605</v>
          </cell>
          <cell r="F311" t="str">
            <v>I000013067</v>
          </cell>
          <cell r="G311">
            <v>0</v>
          </cell>
          <cell r="H311" t="str">
            <v>41347470500</v>
          </cell>
          <cell r="I311">
            <v>498529.1</v>
          </cell>
          <cell r="J311">
            <v>498529.1</v>
          </cell>
          <cell r="K311">
            <v>62.54</v>
          </cell>
          <cell r="L311" t="str">
            <v>WHSU6926989</v>
          </cell>
          <cell r="N311" t="str">
            <v>40HQ</v>
          </cell>
          <cell r="O311">
            <v>2</v>
          </cell>
          <cell r="P311">
            <v>45481</v>
          </cell>
          <cell r="Q311">
            <v>45495</v>
          </cell>
          <cell r="R311" t="str">
            <v>月</v>
          </cell>
          <cell r="S311" t="str">
            <v>AM9:30</v>
          </cell>
        </row>
        <row r="312">
          <cell r="A312">
            <v>8457</v>
          </cell>
          <cell r="B312" t="str">
            <v>川瀬 有里</v>
          </cell>
          <cell r="C312" t="str">
            <v>TRADIA</v>
          </cell>
          <cell r="D312">
            <v>45477</v>
          </cell>
          <cell r="E312" t="str">
            <v>24T0651</v>
          </cell>
          <cell r="F312" t="str">
            <v>I000013014</v>
          </cell>
          <cell r="G312">
            <v>0</v>
          </cell>
          <cell r="H312" t="str">
            <v>40918335830</v>
          </cell>
          <cell r="I312">
            <v>26067.64</v>
          </cell>
          <cell r="J312">
            <v>26067.64</v>
          </cell>
          <cell r="K312">
            <v>1.98</v>
          </cell>
          <cell r="M312">
            <v>4</v>
          </cell>
          <cell r="N312" t="str">
            <v>AIR</v>
          </cell>
          <cell r="O312">
            <v>2</v>
          </cell>
          <cell r="Q312">
            <v>45457</v>
          </cell>
          <cell r="R312" t="str">
            <v>金</v>
          </cell>
          <cell r="S312" t="str">
            <v>AM8:30</v>
          </cell>
        </row>
        <row r="313">
          <cell r="A313">
            <v>8458</v>
          </cell>
          <cell r="B313" t="str">
            <v>川瀬 有里</v>
          </cell>
          <cell r="C313" t="str">
            <v>TRADIA</v>
          </cell>
          <cell r="D313">
            <v>45476</v>
          </cell>
          <cell r="E313" t="str">
            <v>24P0605-1</v>
          </cell>
          <cell r="F313" t="str">
            <v>K610/24</v>
          </cell>
          <cell r="G313">
            <v>0</v>
          </cell>
          <cell r="H313" t="str">
            <v>41347470500</v>
          </cell>
          <cell r="I313">
            <v>4010.1</v>
          </cell>
          <cell r="J313">
            <v>4010.1</v>
          </cell>
          <cell r="K313">
            <v>2.23</v>
          </cell>
          <cell r="N313" t="str">
            <v>40HQ</v>
          </cell>
          <cell r="O313">
            <v>2</v>
          </cell>
          <cell r="P313">
            <v>45481</v>
          </cell>
          <cell r="Q313">
            <v>45495</v>
          </cell>
          <cell r="R313" t="str">
            <v>月</v>
          </cell>
          <cell r="S313" t="str">
            <v>AM9:30</v>
          </cell>
        </row>
        <row r="314">
          <cell r="A314">
            <v>8459</v>
          </cell>
          <cell r="B314" t="str">
            <v>川瀬 有里</v>
          </cell>
          <cell r="C314" t="str">
            <v>TRADIA</v>
          </cell>
          <cell r="D314">
            <v>45476</v>
          </cell>
          <cell r="E314" t="str">
            <v>24K0702</v>
          </cell>
          <cell r="F314" t="str">
            <v>I000013081</v>
          </cell>
          <cell r="G314">
            <v>0</v>
          </cell>
          <cell r="H314" t="str">
            <v>41347890720</v>
          </cell>
          <cell r="I314">
            <v>658512.78</v>
          </cell>
          <cell r="J314">
            <v>658512.78</v>
          </cell>
          <cell r="K314">
            <v>29.03</v>
          </cell>
          <cell r="L314" t="str">
            <v>WHSU0088600</v>
          </cell>
          <cell r="M314">
            <v>3</v>
          </cell>
          <cell r="N314" t="str">
            <v>20’</v>
          </cell>
          <cell r="O314">
            <v>2</v>
          </cell>
          <cell r="P314">
            <v>45483</v>
          </cell>
          <cell r="Q314">
            <v>45485</v>
          </cell>
          <cell r="R314" t="str">
            <v>金</v>
          </cell>
          <cell r="S314" t="str">
            <v>AM8:30</v>
          </cell>
        </row>
        <row r="315">
          <cell r="A315">
            <v>8460</v>
          </cell>
          <cell r="B315" t="str">
            <v>川瀬 有里</v>
          </cell>
          <cell r="C315" t="str">
            <v>TRADIA</v>
          </cell>
          <cell r="D315">
            <v>45476</v>
          </cell>
          <cell r="E315" t="str">
            <v>24K0703</v>
          </cell>
          <cell r="F315" t="str">
            <v>I000013082</v>
          </cell>
          <cell r="G315">
            <v>0</v>
          </cell>
          <cell r="H315" t="str">
            <v>41347890720</v>
          </cell>
          <cell r="I315">
            <v>270109.27</v>
          </cell>
          <cell r="J315">
            <v>270109.27</v>
          </cell>
          <cell r="K315">
            <v>29.48</v>
          </cell>
          <cell r="L315" t="str">
            <v>WHSU2961636</v>
          </cell>
          <cell r="M315">
            <v>3</v>
          </cell>
          <cell r="N315" t="str">
            <v>20’</v>
          </cell>
          <cell r="O315">
            <v>2</v>
          </cell>
          <cell r="P315">
            <v>45483</v>
          </cell>
          <cell r="Q315">
            <v>45485</v>
          </cell>
          <cell r="R315" t="str">
            <v>金</v>
          </cell>
          <cell r="S315" t="str">
            <v>AM8:30</v>
          </cell>
        </row>
        <row r="316">
          <cell r="A316">
            <v>8461</v>
          </cell>
          <cell r="B316" t="str">
            <v>川瀬 有里</v>
          </cell>
          <cell r="C316" t="str">
            <v>TRADIA</v>
          </cell>
          <cell r="D316">
            <v>45476</v>
          </cell>
          <cell r="E316" t="str">
            <v>24K0701</v>
          </cell>
          <cell r="F316" t="str">
            <v>I000013074</v>
          </cell>
          <cell r="G316">
            <v>0</v>
          </cell>
          <cell r="H316" t="str">
            <v>41347226200</v>
          </cell>
          <cell r="I316">
            <v>338348.5</v>
          </cell>
          <cell r="J316">
            <v>338348.5</v>
          </cell>
          <cell r="K316">
            <v>28.32</v>
          </cell>
          <cell r="L316" t="str">
            <v>WHSU2926717</v>
          </cell>
          <cell r="M316">
            <v>3</v>
          </cell>
          <cell r="N316" t="str">
            <v>20’</v>
          </cell>
          <cell r="O316">
            <v>2</v>
          </cell>
          <cell r="P316">
            <v>45481</v>
          </cell>
          <cell r="Q316">
            <v>45483</v>
          </cell>
          <cell r="R316" t="str">
            <v>水</v>
          </cell>
          <cell r="S316" t="str">
            <v>AM8:30</v>
          </cell>
        </row>
        <row r="317">
          <cell r="A317">
            <v>8462</v>
          </cell>
          <cell r="B317" t="str">
            <v>川瀬 有里</v>
          </cell>
          <cell r="C317" t="str">
            <v>KONOIKE</v>
          </cell>
          <cell r="D317">
            <v>45478</v>
          </cell>
          <cell r="E317" t="str">
            <v>24T0702</v>
          </cell>
          <cell r="F317" t="str">
            <v>I000013086</v>
          </cell>
          <cell r="G317">
            <v>0</v>
          </cell>
          <cell r="H317" t="str">
            <v>41346641110</v>
          </cell>
          <cell r="I317">
            <v>695945.6</v>
          </cell>
          <cell r="J317">
            <v>695945.6</v>
          </cell>
          <cell r="K317">
            <v>57.12</v>
          </cell>
          <cell r="L317" t="str">
            <v>WHSU6701880</v>
          </cell>
          <cell r="M317">
            <v>4</v>
          </cell>
          <cell r="N317" t="str">
            <v>40HQ</v>
          </cell>
          <cell r="O317">
            <v>2</v>
          </cell>
          <cell r="P317">
            <v>45484</v>
          </cell>
          <cell r="Q317">
            <v>45489</v>
          </cell>
          <cell r="R317" t="str">
            <v>火</v>
          </cell>
          <cell r="S317" t="str">
            <v>AM8:00</v>
          </cell>
        </row>
        <row r="318">
          <cell r="A318">
            <v>8463</v>
          </cell>
          <cell r="B318" t="str">
            <v>川瀬 有里</v>
          </cell>
          <cell r="C318" t="str">
            <v>TRADIA</v>
          </cell>
          <cell r="D318">
            <v>45481</v>
          </cell>
          <cell r="E318" t="str">
            <v>24K0704</v>
          </cell>
          <cell r="F318" t="str">
            <v>I000013087</v>
          </cell>
          <cell r="G318">
            <v>0</v>
          </cell>
          <cell r="H318" t="str">
            <v>41347936810</v>
          </cell>
          <cell r="I318">
            <v>344943.56</v>
          </cell>
          <cell r="J318">
            <v>344943.56</v>
          </cell>
          <cell r="K318">
            <v>26.28</v>
          </cell>
          <cell r="L318" t="str">
            <v>EITU0251036</v>
          </cell>
          <cell r="M318">
            <v>3</v>
          </cell>
          <cell r="N318" t="str">
            <v>20’</v>
          </cell>
          <cell r="O318">
            <v>2</v>
          </cell>
          <cell r="P318">
            <v>45486</v>
          </cell>
          <cell r="Q318">
            <v>45489</v>
          </cell>
          <cell r="R318" t="str">
            <v>火</v>
          </cell>
          <cell r="S318" t="str">
            <v>AM8:30</v>
          </cell>
        </row>
        <row r="319">
          <cell r="A319">
            <v>8464</v>
          </cell>
          <cell r="B319" t="str">
            <v>川瀬 有里</v>
          </cell>
          <cell r="C319" t="str">
            <v>TRADIA</v>
          </cell>
          <cell r="D319">
            <v>45483</v>
          </cell>
          <cell r="E319" t="str">
            <v>24P0701</v>
          </cell>
          <cell r="F319" t="str">
            <v>I000013079</v>
          </cell>
          <cell r="G319">
            <v>0</v>
          </cell>
          <cell r="H319" t="str">
            <v>21559619900</v>
          </cell>
          <cell r="I319">
            <v>397640.82</v>
          </cell>
          <cell r="J319">
            <v>397640.82</v>
          </cell>
          <cell r="K319">
            <v>66.010000000000005</v>
          </cell>
          <cell r="L319" t="str">
            <v>TXGU7108459</v>
          </cell>
          <cell r="M319">
            <v>11</v>
          </cell>
          <cell r="N319" t="str">
            <v>40HQ</v>
          </cell>
          <cell r="O319">
            <v>4</v>
          </cell>
          <cell r="P319">
            <v>45484</v>
          </cell>
          <cell r="Q319">
            <v>45496</v>
          </cell>
          <cell r="R319" t="str">
            <v>火</v>
          </cell>
          <cell r="S319" t="str">
            <v>AM7:30</v>
          </cell>
        </row>
        <row r="320">
          <cell r="A320">
            <v>8465</v>
          </cell>
          <cell r="B320" t="str">
            <v>川瀬 有里</v>
          </cell>
          <cell r="C320" t="str">
            <v>KONOIKE</v>
          </cell>
          <cell r="D320">
            <v>45483</v>
          </cell>
          <cell r="E320" t="str">
            <v>24T0703</v>
          </cell>
          <cell r="F320" t="str">
            <v>I000013089</v>
          </cell>
          <cell r="G320">
            <v>0</v>
          </cell>
          <cell r="H320" t="str">
            <v>41348742510</v>
          </cell>
          <cell r="I320">
            <v>584165.68000000005</v>
          </cell>
          <cell r="J320">
            <v>584165.68000000005</v>
          </cell>
          <cell r="K320">
            <v>64.44</v>
          </cell>
          <cell r="L320" t="str">
            <v>WHSU6008031</v>
          </cell>
          <cell r="M320">
            <v>4</v>
          </cell>
          <cell r="N320" t="str">
            <v>40HQ</v>
          </cell>
          <cell r="O320">
            <v>2</v>
          </cell>
          <cell r="P320">
            <v>45491</v>
          </cell>
          <cell r="Q320">
            <v>45495</v>
          </cell>
          <cell r="R320" t="str">
            <v>月</v>
          </cell>
          <cell r="S320" t="str">
            <v>AM8:00</v>
          </cell>
        </row>
        <row r="321">
          <cell r="A321">
            <v>8466</v>
          </cell>
          <cell r="B321" t="str">
            <v>川瀬 有里</v>
          </cell>
          <cell r="C321" t="str">
            <v>KONOIKE</v>
          </cell>
          <cell r="D321">
            <v>45483</v>
          </cell>
          <cell r="E321" t="str">
            <v>24T0704</v>
          </cell>
          <cell r="F321" t="str">
            <v>I000013095</v>
          </cell>
          <cell r="G321">
            <v>0</v>
          </cell>
          <cell r="H321" t="str">
            <v>41348742510</v>
          </cell>
          <cell r="I321">
            <v>745167.94</v>
          </cell>
          <cell r="J321">
            <v>745167.94</v>
          </cell>
          <cell r="K321">
            <v>61.57</v>
          </cell>
          <cell r="L321" t="str">
            <v>WHSU6899522</v>
          </cell>
          <cell r="M321">
            <v>4</v>
          </cell>
          <cell r="N321" t="str">
            <v>40HQ</v>
          </cell>
          <cell r="O321">
            <v>2</v>
          </cell>
          <cell r="P321">
            <v>45491</v>
          </cell>
          <cell r="Q321">
            <v>45495</v>
          </cell>
          <cell r="R321" t="str">
            <v>月</v>
          </cell>
          <cell r="S321" t="str">
            <v>AM8:00</v>
          </cell>
        </row>
        <row r="322">
          <cell r="A322">
            <v>8467</v>
          </cell>
          <cell r="B322" t="str">
            <v>川瀬 有里</v>
          </cell>
          <cell r="C322" t="str">
            <v>KONOIKE</v>
          </cell>
          <cell r="D322">
            <v>45483</v>
          </cell>
          <cell r="E322" t="str">
            <v>24T0705</v>
          </cell>
          <cell r="F322" t="str">
            <v>I000013090</v>
          </cell>
          <cell r="G322">
            <v>0</v>
          </cell>
          <cell r="H322" t="str">
            <v>11642397050</v>
          </cell>
          <cell r="I322">
            <v>712590.34</v>
          </cell>
          <cell r="J322">
            <v>712590.34</v>
          </cell>
          <cell r="K322">
            <v>60.48</v>
          </cell>
          <cell r="L322" t="str">
            <v>WHSU6830125</v>
          </cell>
          <cell r="M322">
            <v>4</v>
          </cell>
          <cell r="N322" t="str">
            <v>40HQ</v>
          </cell>
          <cell r="O322">
            <v>5</v>
          </cell>
          <cell r="P322">
            <v>45488</v>
          </cell>
          <cell r="Q322">
            <v>45491</v>
          </cell>
          <cell r="R322" t="str">
            <v>木</v>
          </cell>
          <cell r="S322" t="str">
            <v>AM8:00</v>
          </cell>
        </row>
        <row r="323">
          <cell r="A323">
            <v>8468</v>
          </cell>
          <cell r="B323" t="str">
            <v>川瀬 有里</v>
          </cell>
          <cell r="C323" t="str">
            <v>TRADIA</v>
          </cell>
          <cell r="D323">
            <v>45483</v>
          </cell>
          <cell r="E323" t="str">
            <v>24K0705</v>
          </cell>
          <cell r="F323" t="str">
            <v>I000013091</v>
          </cell>
          <cell r="G323">
            <v>0</v>
          </cell>
          <cell r="H323" t="str">
            <v>41349324100</v>
          </cell>
          <cell r="I323">
            <v>378590.68</v>
          </cell>
          <cell r="J323">
            <v>378590.68</v>
          </cell>
          <cell r="K323">
            <v>25.14</v>
          </cell>
          <cell r="L323" t="str">
            <v>WHSU0048459</v>
          </cell>
          <cell r="M323">
            <v>3</v>
          </cell>
          <cell r="N323" t="str">
            <v>20’</v>
          </cell>
          <cell r="O323">
            <v>2</v>
          </cell>
          <cell r="P323">
            <v>45489</v>
          </cell>
          <cell r="Q323">
            <v>45491</v>
          </cell>
          <cell r="R323" t="str">
            <v>木</v>
          </cell>
          <cell r="S323" t="str">
            <v>AM8:30</v>
          </cell>
        </row>
        <row r="324">
          <cell r="A324">
            <v>8469</v>
          </cell>
          <cell r="B324" t="str">
            <v>川瀬 有里</v>
          </cell>
          <cell r="C324" t="str">
            <v>TRADIA</v>
          </cell>
          <cell r="D324">
            <v>45483</v>
          </cell>
          <cell r="E324" t="str">
            <v>24K0706</v>
          </cell>
          <cell r="F324" t="str">
            <v>I000013100</v>
          </cell>
          <cell r="G324">
            <v>0</v>
          </cell>
          <cell r="H324" t="str">
            <v>41349324100</v>
          </cell>
          <cell r="I324">
            <v>557176.88</v>
          </cell>
          <cell r="J324">
            <v>557176.88</v>
          </cell>
          <cell r="K324">
            <v>28.01</v>
          </cell>
          <cell r="L324" t="str">
            <v>WHSU0054317</v>
          </cell>
          <cell r="M324">
            <v>3</v>
          </cell>
          <cell r="N324" t="str">
            <v>20’</v>
          </cell>
          <cell r="O324">
            <v>2</v>
          </cell>
          <cell r="P324">
            <v>45489</v>
          </cell>
          <cell r="Q324">
            <v>45491</v>
          </cell>
          <cell r="R324" t="str">
            <v>木</v>
          </cell>
          <cell r="S324" t="str">
            <v>AM8:30</v>
          </cell>
        </row>
        <row r="325">
          <cell r="A325">
            <v>8470</v>
          </cell>
          <cell r="B325" t="str">
            <v>川瀬 有里</v>
          </cell>
          <cell r="C325" t="str">
            <v>TRADIA</v>
          </cell>
          <cell r="D325">
            <v>45484</v>
          </cell>
          <cell r="E325" t="str">
            <v>24P0702</v>
          </cell>
          <cell r="F325" t="str">
            <v>I000013110</v>
          </cell>
          <cell r="G325">
            <v>0</v>
          </cell>
          <cell r="H325" t="str">
            <v>41351993860</v>
          </cell>
          <cell r="I325">
            <v>415182.96</v>
          </cell>
          <cell r="J325">
            <v>415182.96</v>
          </cell>
          <cell r="K325">
            <v>66.23</v>
          </cell>
          <cell r="L325" t="str">
            <v>EGHU9449525</v>
          </cell>
          <cell r="N325" t="str">
            <v>40HQ</v>
          </cell>
          <cell r="O325">
            <v>2</v>
          </cell>
          <cell r="P325">
            <v>45493</v>
          </cell>
          <cell r="Q325">
            <v>45505</v>
          </cell>
          <cell r="R325" t="str">
            <v>木</v>
          </cell>
          <cell r="S325" t="str">
            <v>AM9:30</v>
          </cell>
        </row>
        <row r="326">
          <cell r="A326">
            <v>8471</v>
          </cell>
          <cell r="B326" t="str">
            <v>川瀬 有里</v>
          </cell>
          <cell r="C326" t="str">
            <v>TRADIA</v>
          </cell>
          <cell r="D326">
            <v>45489</v>
          </cell>
          <cell r="E326" t="str">
            <v>24P0703</v>
          </cell>
          <cell r="F326" t="str">
            <v>I000013119</v>
          </cell>
          <cell r="G326">
            <v>0</v>
          </cell>
          <cell r="H326" t="str">
            <v>21561503120</v>
          </cell>
          <cell r="I326">
            <v>409709.52</v>
          </cell>
          <cell r="J326">
            <v>409709.52</v>
          </cell>
          <cell r="K326">
            <v>64.650000000000006</v>
          </cell>
          <cell r="L326" t="str">
            <v>WHSU6873195</v>
          </cell>
          <cell r="M326">
            <v>11</v>
          </cell>
          <cell r="N326" t="str">
            <v>40HQ</v>
          </cell>
          <cell r="O326">
            <v>4</v>
          </cell>
          <cell r="P326">
            <v>45496</v>
          </cell>
          <cell r="Q326">
            <v>45511</v>
          </cell>
          <cell r="R326" t="str">
            <v>水</v>
          </cell>
          <cell r="S326" t="str">
            <v>AM7:30</v>
          </cell>
        </row>
        <row r="327">
          <cell r="A327">
            <v>8472</v>
          </cell>
          <cell r="B327" t="str">
            <v>川瀬 有里</v>
          </cell>
          <cell r="C327" t="str">
            <v>KONOIKE</v>
          </cell>
          <cell r="D327">
            <v>45489</v>
          </cell>
          <cell r="E327" t="str">
            <v>24T0706</v>
          </cell>
          <cell r="F327" t="str">
            <v>I000013098</v>
          </cell>
          <cell r="G327">
            <v>0</v>
          </cell>
          <cell r="H327" t="str">
            <v>41348905130</v>
          </cell>
          <cell r="I327">
            <v>622356.57999999996</v>
          </cell>
          <cell r="J327">
            <v>622356.57999999996</v>
          </cell>
          <cell r="K327">
            <v>62.64</v>
          </cell>
          <cell r="L327" t="str">
            <v>WHSU5855900</v>
          </cell>
          <cell r="M327">
            <v>4</v>
          </cell>
          <cell r="N327" t="str">
            <v>40HQ</v>
          </cell>
          <cell r="O327">
            <v>2</v>
          </cell>
          <cell r="P327">
            <v>45493</v>
          </cell>
          <cell r="Q327">
            <v>45496</v>
          </cell>
          <cell r="R327" t="str">
            <v>火</v>
          </cell>
          <cell r="S327" t="str">
            <v>AM8:00</v>
          </cell>
        </row>
        <row r="328">
          <cell r="A328">
            <v>8473</v>
          </cell>
          <cell r="B328" t="str">
            <v>川瀬 有里</v>
          </cell>
          <cell r="C328" t="str">
            <v>KONOIKE</v>
          </cell>
          <cell r="D328">
            <v>45489</v>
          </cell>
          <cell r="E328" t="str">
            <v>24T0707</v>
          </cell>
          <cell r="F328" t="str">
            <v>I000013109</v>
          </cell>
          <cell r="G328">
            <v>0</v>
          </cell>
          <cell r="H328" t="str">
            <v>11647457130</v>
          </cell>
          <cell r="I328">
            <v>559946.64</v>
          </cell>
          <cell r="J328">
            <v>559946.64</v>
          </cell>
          <cell r="K328">
            <v>64.819999999999993</v>
          </cell>
          <cell r="L328" t="str">
            <v>WHSU6458070</v>
          </cell>
          <cell r="M328">
            <v>4</v>
          </cell>
          <cell r="N328" t="str">
            <v>40HQ</v>
          </cell>
          <cell r="O328">
            <v>2</v>
          </cell>
          <cell r="P328">
            <v>45493</v>
          </cell>
          <cell r="Q328">
            <v>45496</v>
          </cell>
          <cell r="R328" t="str">
            <v>火</v>
          </cell>
          <cell r="S328" t="str">
            <v>AM8:00</v>
          </cell>
        </row>
        <row r="329">
          <cell r="A329">
            <v>8475</v>
          </cell>
          <cell r="B329" t="str">
            <v>川瀬 有里</v>
          </cell>
          <cell r="C329" t="str">
            <v>TRADIA</v>
          </cell>
          <cell r="D329">
            <v>45483</v>
          </cell>
          <cell r="E329" t="str">
            <v>24K0707</v>
          </cell>
          <cell r="F329" t="str">
            <v>I000013108</v>
          </cell>
          <cell r="G329">
            <v>0</v>
          </cell>
          <cell r="H329" t="str">
            <v>41349617360</v>
          </cell>
          <cell r="I329">
            <v>341948.02</v>
          </cell>
          <cell r="J329">
            <v>341948.02</v>
          </cell>
          <cell r="K329">
            <v>26.34</v>
          </cell>
          <cell r="L329" t="str">
            <v>WHSU0044113</v>
          </cell>
          <cell r="M329">
            <v>3</v>
          </cell>
          <cell r="N329" t="str">
            <v>20’</v>
          </cell>
          <cell r="O329">
            <v>2</v>
          </cell>
          <cell r="P329">
            <v>45490</v>
          </cell>
          <cell r="Q329">
            <v>45492</v>
          </cell>
          <cell r="R329" t="str">
            <v>金</v>
          </cell>
          <cell r="S329" t="str">
            <v>AM8:30</v>
          </cell>
        </row>
        <row r="330">
          <cell r="A330">
            <v>8476</v>
          </cell>
          <cell r="B330" t="str">
            <v>川瀬 有里</v>
          </cell>
          <cell r="C330" t="str">
            <v>TRADIA</v>
          </cell>
          <cell r="D330">
            <v>45485</v>
          </cell>
          <cell r="E330" t="str">
            <v>24K0708</v>
          </cell>
          <cell r="F330" t="str">
            <v>I000013114</v>
          </cell>
          <cell r="G330">
            <v>0</v>
          </cell>
          <cell r="H330" t="str">
            <v>41350471510</v>
          </cell>
          <cell r="I330">
            <v>355921.91999999998</v>
          </cell>
          <cell r="J330">
            <v>355921.91999999998</v>
          </cell>
          <cell r="K330">
            <v>24.86</v>
          </cell>
          <cell r="L330" t="str">
            <v>EMCU6359567</v>
          </cell>
          <cell r="M330">
            <v>3</v>
          </cell>
          <cell r="N330" t="str">
            <v>20’</v>
          </cell>
          <cell r="O330">
            <v>2</v>
          </cell>
          <cell r="P330">
            <v>45493</v>
          </cell>
          <cell r="Q330">
            <v>45496</v>
          </cell>
          <cell r="R330" t="str">
            <v>火</v>
          </cell>
          <cell r="S330" t="str">
            <v>AM8:30</v>
          </cell>
        </row>
        <row r="331">
          <cell r="A331">
            <v>8477</v>
          </cell>
          <cell r="B331" t="str">
            <v>川瀬 有里</v>
          </cell>
          <cell r="C331" t="str">
            <v>TRADIA</v>
          </cell>
          <cell r="D331">
            <v>45485</v>
          </cell>
          <cell r="E331" t="str">
            <v>24K0757</v>
          </cell>
          <cell r="F331" t="str">
            <v>I000013115</v>
          </cell>
          <cell r="G331">
            <v>0</v>
          </cell>
          <cell r="H331" t="str">
            <v>40141172400</v>
          </cell>
          <cell r="I331">
            <v>405327</v>
          </cell>
          <cell r="J331">
            <v>405327</v>
          </cell>
          <cell r="K331">
            <v>1.83</v>
          </cell>
          <cell r="M331">
            <v>3</v>
          </cell>
          <cell r="N331" t="str">
            <v>AIR</v>
          </cell>
          <cell r="O331">
            <v>2</v>
          </cell>
          <cell r="Q331">
            <v>45485</v>
          </cell>
          <cell r="R331" t="str">
            <v>金</v>
          </cell>
          <cell r="S331" t="str">
            <v>AM8:30</v>
          </cell>
        </row>
        <row r="332">
          <cell r="A332">
            <v>8478</v>
          </cell>
          <cell r="B332" t="str">
            <v>川瀬 有里</v>
          </cell>
          <cell r="C332" t="str">
            <v>TRADIA</v>
          </cell>
          <cell r="D332">
            <v>45485</v>
          </cell>
          <cell r="E332" t="str">
            <v>24K0709</v>
          </cell>
          <cell r="F332" t="str">
            <v>I000013118</v>
          </cell>
          <cell r="G332">
            <v>0</v>
          </cell>
          <cell r="H332" t="str">
            <v>41353184710</v>
          </cell>
          <cell r="I332">
            <v>390038.48</v>
          </cell>
          <cell r="J332">
            <v>390038.48</v>
          </cell>
          <cell r="K332">
            <v>24.93</v>
          </cell>
          <cell r="L332" t="str">
            <v>TSSU2265997</v>
          </cell>
          <cell r="M332">
            <v>3</v>
          </cell>
          <cell r="N332" t="str">
            <v>20’</v>
          </cell>
          <cell r="O332">
            <v>2</v>
          </cell>
          <cell r="P332">
            <v>45493</v>
          </cell>
          <cell r="Q332">
            <v>45496</v>
          </cell>
          <cell r="R332" t="str">
            <v>火</v>
          </cell>
          <cell r="S332" t="str">
            <v>AM8:30</v>
          </cell>
        </row>
        <row r="333">
          <cell r="A333">
            <v>8479</v>
          </cell>
          <cell r="B333" t="str">
            <v>川瀬 有里</v>
          </cell>
          <cell r="C333" t="str">
            <v>TRADIA</v>
          </cell>
          <cell r="D333">
            <v>45485</v>
          </cell>
          <cell r="E333" t="str">
            <v>24K0710</v>
          </cell>
          <cell r="F333" t="str">
            <v>I000013121</v>
          </cell>
          <cell r="G333">
            <v>0</v>
          </cell>
          <cell r="H333" t="str">
            <v>41353184710</v>
          </cell>
          <cell r="I333">
            <v>299980.02</v>
          </cell>
          <cell r="J333">
            <v>299980.02</v>
          </cell>
          <cell r="K333">
            <v>28.2</v>
          </cell>
          <cell r="L333" t="str">
            <v>TSSU2269082</v>
          </cell>
          <cell r="M333">
            <v>3</v>
          </cell>
          <cell r="N333" t="str">
            <v>20’</v>
          </cell>
          <cell r="O333">
            <v>2</v>
          </cell>
          <cell r="P333">
            <v>45493</v>
          </cell>
          <cell r="Q333">
            <v>45496</v>
          </cell>
          <cell r="R333" t="str">
            <v>火</v>
          </cell>
          <cell r="S333" t="str">
            <v>AM8:30</v>
          </cell>
        </row>
        <row r="334">
          <cell r="A334">
            <v>8480</v>
          </cell>
          <cell r="B334" t="str">
            <v>川瀬 有里</v>
          </cell>
          <cell r="C334" t="str">
            <v>TRADIA</v>
          </cell>
          <cell r="D334">
            <v>45485</v>
          </cell>
          <cell r="E334" t="str">
            <v>24K0711</v>
          </cell>
          <cell r="F334" t="str">
            <v>I000013123</v>
          </cell>
          <cell r="G334">
            <v>0</v>
          </cell>
          <cell r="H334" t="str">
            <v>41351898000</v>
          </cell>
          <cell r="I334">
            <v>535138.81999999995</v>
          </cell>
          <cell r="J334">
            <v>535138.81999999995</v>
          </cell>
          <cell r="K334">
            <v>25.44</v>
          </cell>
          <cell r="L334" t="str">
            <v>WHSU0704037</v>
          </cell>
          <cell r="M334">
            <v>3</v>
          </cell>
          <cell r="N334" t="str">
            <v>20’</v>
          </cell>
          <cell r="O334">
            <v>2</v>
          </cell>
          <cell r="P334">
            <v>45497</v>
          </cell>
          <cell r="Q334">
            <v>45499</v>
          </cell>
          <cell r="R334" t="str">
            <v>金</v>
          </cell>
          <cell r="S334" t="str">
            <v>AM8:30</v>
          </cell>
        </row>
        <row r="335">
          <cell r="A335">
            <v>8481</v>
          </cell>
          <cell r="B335" t="str">
            <v>川瀬 有里</v>
          </cell>
          <cell r="C335" t="str">
            <v>TRADIA</v>
          </cell>
          <cell r="D335">
            <v>45485</v>
          </cell>
          <cell r="E335" t="str">
            <v>24K0712</v>
          </cell>
          <cell r="F335" t="str">
            <v>I000013132</v>
          </cell>
          <cell r="G335">
            <v>0</v>
          </cell>
          <cell r="H335" t="str">
            <v>41351898000</v>
          </cell>
          <cell r="I335">
            <v>366531.38</v>
          </cell>
          <cell r="J335">
            <v>366531.38</v>
          </cell>
          <cell r="K335">
            <v>24.68</v>
          </cell>
          <cell r="L335" t="str">
            <v>WHLU0315760</v>
          </cell>
          <cell r="M335">
            <v>3</v>
          </cell>
          <cell r="N335" t="str">
            <v>20’</v>
          </cell>
          <cell r="O335">
            <v>2</v>
          </cell>
          <cell r="P335">
            <v>45497</v>
          </cell>
          <cell r="Q335">
            <v>45499</v>
          </cell>
          <cell r="R335" t="str">
            <v>金</v>
          </cell>
          <cell r="S335" t="str">
            <v>AM8:30</v>
          </cell>
        </row>
        <row r="336">
          <cell r="A336">
            <v>8483</v>
          </cell>
          <cell r="B336" t="str">
            <v>川瀬 有里</v>
          </cell>
          <cell r="C336" t="str">
            <v>KONOIKE</v>
          </cell>
          <cell r="D336">
            <v>45492</v>
          </cell>
          <cell r="E336" t="str">
            <v>24T0708</v>
          </cell>
          <cell r="F336" t="str">
            <v>I000013117</v>
          </cell>
          <cell r="G336">
            <v>0</v>
          </cell>
          <cell r="H336" t="str">
            <v>41351252930</v>
          </cell>
          <cell r="I336">
            <v>645168.87</v>
          </cell>
          <cell r="J336">
            <v>645168.87</v>
          </cell>
          <cell r="K336">
            <v>63.56</v>
          </cell>
          <cell r="L336" t="str">
            <v>WHSU6663521</v>
          </cell>
          <cell r="M336">
            <v>4</v>
          </cell>
          <cell r="N336" t="str">
            <v>40HQ</v>
          </cell>
          <cell r="O336">
            <v>2</v>
          </cell>
          <cell r="P336">
            <v>45498</v>
          </cell>
          <cell r="Q336">
            <v>45502</v>
          </cell>
          <cell r="R336" t="str">
            <v>月</v>
          </cell>
          <cell r="S336" t="str">
            <v>AM8:00</v>
          </cell>
        </row>
        <row r="337">
          <cell r="A337">
            <v>8484</v>
          </cell>
          <cell r="B337" t="str">
            <v>川瀬 有里</v>
          </cell>
          <cell r="C337" t="str">
            <v>KONOIKE</v>
          </cell>
          <cell r="D337">
            <v>45492</v>
          </cell>
          <cell r="E337" t="str">
            <v>24T0709</v>
          </cell>
          <cell r="F337" t="str">
            <v>I000013122</v>
          </cell>
          <cell r="G337">
            <v>0</v>
          </cell>
          <cell r="H337" t="str">
            <v>41351252930</v>
          </cell>
          <cell r="I337">
            <v>702170.78</v>
          </cell>
          <cell r="J337">
            <v>702170.78</v>
          </cell>
          <cell r="K337">
            <v>65.56</v>
          </cell>
          <cell r="L337" t="str">
            <v>WHSU6353510</v>
          </cell>
          <cell r="M337">
            <v>4</v>
          </cell>
          <cell r="N337" t="str">
            <v>40HQ</v>
          </cell>
          <cell r="O337">
            <v>2</v>
          </cell>
          <cell r="P337">
            <v>45498</v>
          </cell>
          <cell r="Q337">
            <v>45502</v>
          </cell>
          <cell r="R337" t="str">
            <v>月</v>
          </cell>
          <cell r="S337" t="str">
            <v>AM8:00</v>
          </cell>
        </row>
        <row r="338">
          <cell r="A338">
            <v>8485</v>
          </cell>
          <cell r="B338" t="str">
            <v>川瀬 有里</v>
          </cell>
          <cell r="C338" t="str">
            <v>KONOIKE</v>
          </cell>
          <cell r="D338">
            <v>45492</v>
          </cell>
          <cell r="E338" t="str">
            <v>24T0710</v>
          </cell>
          <cell r="F338" t="str">
            <v>I000013129</v>
          </cell>
          <cell r="G338">
            <v>0</v>
          </cell>
          <cell r="H338" t="str">
            <v>41351252930</v>
          </cell>
          <cell r="I338">
            <v>681334.26</v>
          </cell>
          <cell r="J338">
            <v>681334.26</v>
          </cell>
          <cell r="K338">
            <v>63.98</v>
          </cell>
          <cell r="L338" t="str">
            <v>WHSU6611533</v>
          </cell>
          <cell r="M338">
            <v>4</v>
          </cell>
          <cell r="N338" t="str">
            <v>40HQ</v>
          </cell>
          <cell r="O338">
            <v>2</v>
          </cell>
          <cell r="P338">
            <v>45498</v>
          </cell>
          <cell r="Q338">
            <v>45502</v>
          </cell>
          <cell r="R338" t="str">
            <v>月</v>
          </cell>
          <cell r="S338" t="str">
            <v>AM8:00</v>
          </cell>
        </row>
        <row r="339">
          <cell r="A339">
            <v>8486</v>
          </cell>
          <cell r="B339" t="str">
            <v>川瀬 有里</v>
          </cell>
          <cell r="C339" t="str">
            <v>TRADIA</v>
          </cell>
          <cell r="D339">
            <v>45495</v>
          </cell>
          <cell r="E339" t="str">
            <v>24P0704</v>
          </cell>
          <cell r="F339" t="str">
            <v>I000013126</v>
          </cell>
          <cell r="G339">
            <v>0</v>
          </cell>
          <cell r="H339" t="str">
            <v>41353311410</v>
          </cell>
          <cell r="I339">
            <v>470039.03999999998</v>
          </cell>
          <cell r="J339">
            <v>470039.03999999998</v>
          </cell>
          <cell r="K339">
            <v>64.680000000000007</v>
          </cell>
          <cell r="L339" t="str">
            <v>WHSU6830146</v>
          </cell>
          <cell r="N339" t="str">
            <v>40HQ</v>
          </cell>
          <cell r="O339">
            <v>2</v>
          </cell>
          <cell r="P339">
            <v>45497</v>
          </cell>
          <cell r="Q339">
            <v>45511</v>
          </cell>
          <cell r="R339" t="str">
            <v>水</v>
          </cell>
          <cell r="S339" t="str">
            <v>AM9:30</v>
          </cell>
        </row>
        <row r="340">
          <cell r="A340">
            <v>8487</v>
          </cell>
          <cell r="B340" t="str">
            <v>川瀬 有里</v>
          </cell>
          <cell r="C340" t="str">
            <v>TRADIA</v>
          </cell>
          <cell r="D340">
            <v>45496</v>
          </cell>
          <cell r="E340" t="str">
            <v>24K0764</v>
          </cell>
          <cell r="F340" t="str">
            <v>I000013148</v>
          </cell>
          <cell r="G340">
            <v>0</v>
          </cell>
          <cell r="H340" t="str">
            <v>40193765130</v>
          </cell>
          <cell r="I340">
            <v>180197.5</v>
          </cell>
          <cell r="J340">
            <v>180197.5</v>
          </cell>
          <cell r="K340">
            <v>1.1000000000000001</v>
          </cell>
          <cell r="M340">
            <v>3</v>
          </cell>
          <cell r="N340" t="str">
            <v>AIR</v>
          </cell>
          <cell r="O340">
            <v>2</v>
          </cell>
          <cell r="Q340">
            <v>45496</v>
          </cell>
          <cell r="R340" t="str">
            <v>火</v>
          </cell>
          <cell r="S340" t="str">
            <v>AM8:30</v>
          </cell>
        </row>
        <row r="341">
          <cell r="A341">
            <v>8488</v>
          </cell>
          <cell r="B341" t="str">
            <v>川瀬 有里</v>
          </cell>
          <cell r="C341" t="str">
            <v>KONOIKE</v>
          </cell>
          <cell r="D341">
            <v>45496</v>
          </cell>
          <cell r="E341" t="str">
            <v>24T0711</v>
          </cell>
          <cell r="F341" t="str">
            <v>I000013135</v>
          </cell>
          <cell r="G341">
            <v>0</v>
          </cell>
          <cell r="H341" t="str">
            <v>11648411820</v>
          </cell>
          <cell r="I341">
            <v>678322.38</v>
          </cell>
          <cell r="J341">
            <v>678322.38</v>
          </cell>
          <cell r="K341">
            <v>63.45</v>
          </cell>
          <cell r="L341" t="str">
            <v>WHSU6939327</v>
          </cell>
          <cell r="M341">
            <v>4</v>
          </cell>
          <cell r="N341" t="str">
            <v>40HQ</v>
          </cell>
          <cell r="O341">
            <v>5</v>
          </cell>
          <cell r="P341">
            <v>45502</v>
          </cell>
          <cell r="Q341">
            <v>45504</v>
          </cell>
          <cell r="R341" t="str">
            <v>水</v>
          </cell>
          <cell r="S341" t="str">
            <v>AM8:00</v>
          </cell>
        </row>
        <row r="342">
          <cell r="A342">
            <v>8489</v>
          </cell>
          <cell r="B342" t="str">
            <v>川瀬 有里</v>
          </cell>
          <cell r="C342" t="str">
            <v>KONOIKE</v>
          </cell>
          <cell r="D342">
            <v>45496</v>
          </cell>
          <cell r="E342" t="str">
            <v>24T0713</v>
          </cell>
          <cell r="F342" t="str">
            <v>I000013143</v>
          </cell>
          <cell r="G342">
            <v>0</v>
          </cell>
          <cell r="H342" t="str">
            <v>11648411820</v>
          </cell>
          <cell r="I342">
            <v>550895.06000000006</v>
          </cell>
          <cell r="J342">
            <v>550895.06000000006</v>
          </cell>
          <cell r="K342">
            <v>64.52</v>
          </cell>
          <cell r="L342" t="str">
            <v>WHSU5315178</v>
          </cell>
          <cell r="M342">
            <v>4</v>
          </cell>
          <cell r="N342" t="str">
            <v>40HQ</v>
          </cell>
          <cell r="O342">
            <v>5</v>
          </cell>
          <cell r="P342">
            <v>45502</v>
          </cell>
          <cell r="Q342">
            <v>45504</v>
          </cell>
          <cell r="R342" t="str">
            <v>水</v>
          </cell>
          <cell r="S342" t="str">
            <v>AM8:00</v>
          </cell>
        </row>
        <row r="343">
          <cell r="A343">
            <v>8490</v>
          </cell>
          <cell r="B343" t="str">
            <v>川瀬 有里</v>
          </cell>
          <cell r="C343" t="str">
            <v>TRADIA</v>
          </cell>
          <cell r="D343">
            <v>45498</v>
          </cell>
          <cell r="E343" t="str">
            <v>24K0715</v>
          </cell>
          <cell r="F343" t="str">
            <v>I000013155</v>
          </cell>
          <cell r="G343">
            <v>0</v>
          </cell>
          <cell r="H343" t="str">
            <v>41354279250</v>
          </cell>
          <cell r="I343">
            <v>354834.32</v>
          </cell>
          <cell r="J343">
            <v>354834.32</v>
          </cell>
          <cell r="K343">
            <v>25.4</v>
          </cell>
          <cell r="L343" t="str">
            <v>WHSU0051832</v>
          </cell>
          <cell r="M343">
            <v>3</v>
          </cell>
          <cell r="N343" t="str">
            <v>40HQ</v>
          </cell>
          <cell r="O343">
            <v>2</v>
          </cell>
          <cell r="P343">
            <v>45498</v>
          </cell>
          <cell r="Q343">
            <v>45502</v>
          </cell>
          <cell r="R343" t="str">
            <v>月</v>
          </cell>
          <cell r="S343" t="str">
            <v>AM8:30</v>
          </cell>
        </row>
        <row r="344">
          <cell r="A344">
            <v>8491</v>
          </cell>
          <cell r="B344" t="str">
            <v>川瀬 有里</v>
          </cell>
          <cell r="C344" t="str">
            <v>TRADIA</v>
          </cell>
          <cell r="D344">
            <v>45498</v>
          </cell>
          <cell r="E344" t="str">
            <v>24K0716</v>
          </cell>
          <cell r="F344" t="str">
            <v>I000013159</v>
          </cell>
          <cell r="G344">
            <v>0</v>
          </cell>
          <cell r="H344" t="str">
            <v>41354279250</v>
          </cell>
          <cell r="I344">
            <v>555109.4</v>
          </cell>
          <cell r="J344">
            <v>555109.4</v>
          </cell>
          <cell r="K344">
            <v>28.99</v>
          </cell>
          <cell r="L344" t="str">
            <v>WHSU2868164</v>
          </cell>
          <cell r="M344">
            <v>3</v>
          </cell>
          <cell r="N344" t="str">
            <v>40HQ</v>
          </cell>
          <cell r="O344">
            <v>2</v>
          </cell>
          <cell r="P344">
            <v>45498</v>
          </cell>
          <cell r="Q344">
            <v>45502</v>
          </cell>
          <cell r="R344" t="str">
            <v>月</v>
          </cell>
          <cell r="S344" t="str">
            <v>AM8:30</v>
          </cell>
        </row>
        <row r="345">
          <cell r="A345">
            <v>8492</v>
          </cell>
          <cell r="B345" t="str">
            <v>川瀬 有里</v>
          </cell>
          <cell r="C345" t="str">
            <v>KONOIKE</v>
          </cell>
          <cell r="D345">
            <v>45498</v>
          </cell>
          <cell r="E345" t="str">
            <v>24Ｔ0712</v>
          </cell>
          <cell r="F345" t="str">
            <v>I000013145</v>
          </cell>
          <cell r="G345">
            <v>0</v>
          </cell>
          <cell r="H345" t="str">
            <v>41354429420</v>
          </cell>
          <cell r="I345">
            <v>672122.26</v>
          </cell>
          <cell r="J345">
            <v>672122.26</v>
          </cell>
          <cell r="K345">
            <v>68.599999999999994</v>
          </cell>
          <cell r="L345" t="str">
            <v>WHSU6104101</v>
          </cell>
          <cell r="M345">
            <v>4</v>
          </cell>
          <cell r="N345" t="str">
            <v>40HQ</v>
          </cell>
          <cell r="O345">
            <v>2</v>
          </cell>
          <cell r="P345">
            <v>45506</v>
          </cell>
          <cell r="Q345">
            <v>45510</v>
          </cell>
          <cell r="R345" t="str">
            <v>火</v>
          </cell>
          <cell r="S345" t="str">
            <v>AM8:00</v>
          </cell>
        </row>
        <row r="346">
          <cell r="A346">
            <v>8493</v>
          </cell>
          <cell r="B346" t="str">
            <v>川瀬 有里</v>
          </cell>
          <cell r="C346" t="str">
            <v>KONOIKE</v>
          </cell>
          <cell r="D346">
            <v>45498</v>
          </cell>
          <cell r="E346" t="str">
            <v>24Ｔ0714-1</v>
          </cell>
          <cell r="F346" t="str">
            <v>I000013150</v>
          </cell>
          <cell r="G346">
            <v>0</v>
          </cell>
          <cell r="H346" t="str">
            <v>41354429420</v>
          </cell>
          <cell r="I346">
            <v>673119.42</v>
          </cell>
          <cell r="J346">
            <v>673119.42</v>
          </cell>
          <cell r="K346">
            <v>61.08</v>
          </cell>
          <cell r="L346" t="str">
            <v>WHSU6839441</v>
          </cell>
          <cell r="M346">
            <v>4</v>
          </cell>
          <cell r="N346" t="str">
            <v>40HQ</v>
          </cell>
          <cell r="O346">
            <v>2</v>
          </cell>
          <cell r="P346">
            <v>45506</v>
          </cell>
          <cell r="Q346">
            <v>45510</v>
          </cell>
          <cell r="R346" t="str">
            <v>火</v>
          </cell>
          <cell r="S346" t="str">
            <v>AM8:00</v>
          </cell>
        </row>
        <row r="347">
          <cell r="A347">
            <v>8494</v>
          </cell>
          <cell r="B347" t="str">
            <v>川瀬 有里</v>
          </cell>
          <cell r="C347" t="str">
            <v>KONOIKE</v>
          </cell>
          <cell r="D347">
            <v>45498</v>
          </cell>
          <cell r="E347" t="str">
            <v>24Ｔ0714-2</v>
          </cell>
          <cell r="F347" t="str">
            <v>K689/24</v>
          </cell>
          <cell r="G347">
            <v>0</v>
          </cell>
          <cell r="H347" t="str">
            <v>41354429420</v>
          </cell>
          <cell r="I347">
            <v>10613.2</v>
          </cell>
          <cell r="J347">
            <v>10613.2</v>
          </cell>
          <cell r="K347">
            <v>2.92</v>
          </cell>
          <cell r="M347">
            <v>4</v>
          </cell>
          <cell r="N347" t="str">
            <v>40HQ</v>
          </cell>
          <cell r="O347">
            <v>2</v>
          </cell>
          <cell r="P347">
            <v>45506</v>
          </cell>
          <cell r="Q347">
            <v>45510</v>
          </cell>
          <cell r="R347" t="str">
            <v>火</v>
          </cell>
          <cell r="S347" t="str">
            <v>AM8:00</v>
          </cell>
        </row>
        <row r="348">
          <cell r="A348">
            <v>8495</v>
          </cell>
          <cell r="B348" t="str">
            <v>川瀬 有里</v>
          </cell>
          <cell r="C348" t="str">
            <v>KONOIKE</v>
          </cell>
          <cell r="D348">
            <v>45498</v>
          </cell>
          <cell r="E348" t="str">
            <v>24T0715</v>
          </cell>
          <cell r="F348" t="str">
            <v>I000013161</v>
          </cell>
          <cell r="G348">
            <v>0</v>
          </cell>
          <cell r="H348" t="str">
            <v>41354429420</v>
          </cell>
          <cell r="I348">
            <v>591183.28</v>
          </cell>
          <cell r="J348">
            <v>591183.28</v>
          </cell>
          <cell r="K348">
            <v>63.08</v>
          </cell>
          <cell r="L348" t="str">
            <v>WHSU6718898</v>
          </cell>
          <cell r="M348">
            <v>4</v>
          </cell>
          <cell r="N348" t="str">
            <v>40HQ</v>
          </cell>
          <cell r="O348">
            <v>2</v>
          </cell>
          <cell r="P348">
            <v>45506</v>
          </cell>
          <cell r="Q348">
            <v>45510</v>
          </cell>
          <cell r="R348" t="str">
            <v>火</v>
          </cell>
          <cell r="S348" t="str">
            <v>AM8:00</v>
          </cell>
        </row>
        <row r="349">
          <cell r="A349">
            <v>8496</v>
          </cell>
          <cell r="B349" t="str">
            <v>川瀬 有里</v>
          </cell>
          <cell r="C349" t="str">
            <v>KONOIKE</v>
          </cell>
          <cell r="D349">
            <v>45498</v>
          </cell>
          <cell r="E349" t="str">
            <v>24T0716</v>
          </cell>
          <cell r="F349" t="str">
            <v>I000013151</v>
          </cell>
          <cell r="G349">
            <v>0</v>
          </cell>
          <cell r="H349" t="str">
            <v>11649294041</v>
          </cell>
          <cell r="I349">
            <v>631821.46</v>
          </cell>
          <cell r="J349">
            <v>631821.46</v>
          </cell>
          <cell r="K349">
            <v>61.7</v>
          </cell>
          <cell r="L349" t="str">
            <v>WHSU5328880</v>
          </cell>
          <cell r="M349">
            <v>4</v>
          </cell>
          <cell r="N349" t="str">
            <v>40HQ</v>
          </cell>
          <cell r="O349">
            <v>5</v>
          </cell>
          <cell r="P349">
            <v>45505</v>
          </cell>
          <cell r="Q349">
            <v>45509</v>
          </cell>
          <cell r="R349" t="str">
            <v>月</v>
          </cell>
          <cell r="S349" t="str">
            <v>AM8:00</v>
          </cell>
        </row>
        <row r="350">
          <cell r="A350">
            <v>8497</v>
          </cell>
          <cell r="B350" t="str">
            <v>川瀬 有里</v>
          </cell>
          <cell r="C350" t="str">
            <v>TRADIA</v>
          </cell>
          <cell r="D350">
            <v>45499</v>
          </cell>
          <cell r="E350" t="str">
            <v>24P0706</v>
          </cell>
          <cell r="F350" t="str">
            <v>I000013164</v>
          </cell>
          <cell r="G350">
            <v>0</v>
          </cell>
          <cell r="H350" t="str">
            <v>41356512400</v>
          </cell>
          <cell r="I350">
            <v>428915.64</v>
          </cell>
          <cell r="J350">
            <v>428915.64</v>
          </cell>
          <cell r="K350">
            <v>65.02</v>
          </cell>
          <cell r="L350" t="str">
            <v>WHSU6316590</v>
          </cell>
          <cell r="N350" t="str">
            <v>40HQ</v>
          </cell>
          <cell r="O350">
            <v>2</v>
          </cell>
          <cell r="P350">
            <v>45506</v>
          </cell>
          <cell r="Q350">
            <v>45525</v>
          </cell>
          <cell r="R350" t="str">
            <v>水</v>
          </cell>
          <cell r="S350" t="str">
            <v>AM9:30</v>
          </cell>
        </row>
        <row r="351">
          <cell r="A351">
            <v>8498</v>
          </cell>
          <cell r="B351" t="str">
            <v>川瀬 有里</v>
          </cell>
          <cell r="C351" t="str">
            <v>KONOIKE</v>
          </cell>
          <cell r="D351">
            <v>45502</v>
          </cell>
          <cell r="E351" t="str">
            <v>24T0717</v>
          </cell>
          <cell r="F351" t="str">
            <v>I000013166</v>
          </cell>
          <cell r="G351">
            <v>0</v>
          </cell>
          <cell r="H351" t="str">
            <v>41353878410</v>
          </cell>
          <cell r="I351">
            <v>770376.82</v>
          </cell>
          <cell r="J351">
            <v>770376.82</v>
          </cell>
          <cell r="K351">
            <v>61.69</v>
          </cell>
          <cell r="L351" t="str">
            <v>WHSU6097785</v>
          </cell>
          <cell r="M351">
            <v>4</v>
          </cell>
          <cell r="N351" t="str">
            <v>40HQ</v>
          </cell>
          <cell r="O351">
            <v>2</v>
          </cell>
          <cell r="P351">
            <v>45510</v>
          </cell>
          <cell r="Q351">
            <v>45512</v>
          </cell>
          <cell r="R351" t="str">
            <v>木</v>
          </cell>
          <cell r="S351" t="str">
            <v>AM8:00</v>
          </cell>
        </row>
        <row r="352">
          <cell r="A352">
            <v>8499</v>
          </cell>
          <cell r="B352" t="str">
            <v>川瀬 有里</v>
          </cell>
          <cell r="C352" t="str">
            <v>KONOIKE</v>
          </cell>
          <cell r="D352">
            <v>45502</v>
          </cell>
          <cell r="E352" t="str">
            <v>24T0719</v>
          </cell>
          <cell r="F352" t="str">
            <v>I000013168</v>
          </cell>
          <cell r="G352">
            <v>0</v>
          </cell>
          <cell r="H352" t="str">
            <v>41353878410</v>
          </cell>
          <cell r="I352">
            <v>1125293.72</v>
          </cell>
          <cell r="J352">
            <v>1125293.72</v>
          </cell>
          <cell r="K352">
            <v>62.62</v>
          </cell>
          <cell r="L352" t="str">
            <v>WHSU6241402</v>
          </cell>
          <cell r="M352">
            <v>4</v>
          </cell>
          <cell r="N352" t="str">
            <v>40HQ</v>
          </cell>
          <cell r="O352">
            <v>2</v>
          </cell>
          <cell r="P352">
            <v>45510</v>
          </cell>
          <cell r="Q352">
            <v>45512</v>
          </cell>
          <cell r="R352" t="str">
            <v>木</v>
          </cell>
          <cell r="S352" t="str">
            <v>AM8:00</v>
          </cell>
        </row>
        <row r="353">
          <cell r="A353">
            <v>8500</v>
          </cell>
          <cell r="B353" t="str">
            <v>川瀬 有里</v>
          </cell>
          <cell r="C353" t="str">
            <v>KONOIKE</v>
          </cell>
          <cell r="D353">
            <v>45502</v>
          </cell>
          <cell r="E353" t="str">
            <v>24T0718</v>
          </cell>
          <cell r="F353" t="str">
            <v>I000013171</v>
          </cell>
          <cell r="G353">
            <v>0</v>
          </cell>
          <cell r="H353" t="str">
            <v>11650403760</v>
          </cell>
          <cell r="I353">
            <v>645229.28</v>
          </cell>
          <cell r="J353">
            <v>645229.28</v>
          </cell>
          <cell r="K353">
            <v>59.88</v>
          </cell>
          <cell r="L353" t="str">
            <v>WHSU6575478</v>
          </cell>
          <cell r="M353">
            <v>4</v>
          </cell>
          <cell r="N353" t="str">
            <v>40HQ</v>
          </cell>
          <cell r="O353">
            <v>5</v>
          </cell>
          <cell r="P353">
            <v>45509</v>
          </cell>
          <cell r="Q353">
            <v>45511</v>
          </cell>
          <cell r="R353" t="str">
            <v>水</v>
          </cell>
          <cell r="S353" t="str">
            <v>AM8:00</v>
          </cell>
        </row>
        <row r="354">
          <cell r="A354">
            <v>8501</v>
          </cell>
          <cell r="B354" t="str">
            <v>川瀬 有里</v>
          </cell>
          <cell r="C354" t="str">
            <v>TRADIA</v>
          </cell>
          <cell r="D354">
            <v>45503</v>
          </cell>
          <cell r="E354" t="str">
            <v>24K0766</v>
          </cell>
          <cell r="F354" t="str">
            <v>I000013158</v>
          </cell>
          <cell r="G354">
            <v>0</v>
          </cell>
          <cell r="H354" t="str">
            <v>40213174510</v>
          </cell>
          <cell r="I354">
            <v>116087.45</v>
          </cell>
          <cell r="J354">
            <v>116087.45</v>
          </cell>
          <cell r="K354">
            <v>0.38</v>
          </cell>
          <cell r="M354">
            <v>3</v>
          </cell>
          <cell r="N354" t="str">
            <v>AIR</v>
          </cell>
          <cell r="O354">
            <v>2</v>
          </cell>
          <cell r="Q354">
            <v>45497</v>
          </cell>
          <cell r="R354" t="str">
            <v>水</v>
          </cell>
          <cell r="S354" t="str">
            <v>AM8:30</v>
          </cell>
        </row>
        <row r="355">
          <cell r="A355">
            <v>8502</v>
          </cell>
          <cell r="B355" t="str">
            <v>川瀬 有里</v>
          </cell>
          <cell r="C355" t="str">
            <v>TRADIA</v>
          </cell>
          <cell r="D355">
            <v>45500</v>
          </cell>
          <cell r="E355" t="str">
            <v>24K0717</v>
          </cell>
          <cell r="F355" t="str">
            <v>I000013169</v>
          </cell>
          <cell r="G355">
            <v>0</v>
          </cell>
          <cell r="H355" t="str">
            <v>41354378800</v>
          </cell>
          <cell r="I355">
            <v>666283.6</v>
          </cell>
          <cell r="J355">
            <v>666283.6</v>
          </cell>
          <cell r="K355">
            <v>27.01</v>
          </cell>
          <cell r="L355" t="str">
            <v>WHSU0170153</v>
          </cell>
          <cell r="M355">
            <v>3</v>
          </cell>
          <cell r="N355" t="str">
            <v>20’</v>
          </cell>
          <cell r="O355">
            <v>2</v>
          </cell>
          <cell r="P355">
            <v>45509</v>
          </cell>
          <cell r="Q355">
            <v>45511</v>
          </cell>
          <cell r="R355" t="str">
            <v>水</v>
          </cell>
          <cell r="S355" t="str">
            <v>AM8:30</v>
          </cell>
        </row>
        <row r="356">
          <cell r="A356">
            <v>8503</v>
          </cell>
          <cell r="B356" t="str">
            <v>川瀬 有里</v>
          </cell>
          <cell r="C356" t="str">
            <v>TRADIA</v>
          </cell>
          <cell r="D356">
            <v>45500</v>
          </cell>
          <cell r="E356" t="str">
            <v>24K0718</v>
          </cell>
          <cell r="F356" t="str">
            <v>I000013172</v>
          </cell>
          <cell r="G356">
            <v>0</v>
          </cell>
          <cell r="H356" t="str">
            <v>41354378800</v>
          </cell>
          <cell r="I356">
            <v>499110.3</v>
          </cell>
          <cell r="J356">
            <v>499110.3</v>
          </cell>
          <cell r="K356">
            <v>25.83</v>
          </cell>
          <cell r="L356" t="str">
            <v>WHSU0107274</v>
          </cell>
          <cell r="M356">
            <v>3</v>
          </cell>
          <cell r="N356" t="str">
            <v>20’</v>
          </cell>
          <cell r="O356">
            <v>2</v>
          </cell>
          <cell r="P356">
            <v>45509</v>
          </cell>
          <cell r="Q356">
            <v>45511</v>
          </cell>
          <cell r="R356" t="str">
            <v>水</v>
          </cell>
          <cell r="S356" t="str">
            <v>AM8:30</v>
          </cell>
        </row>
        <row r="357">
          <cell r="A357">
            <v>8505</v>
          </cell>
          <cell r="B357" t="str">
            <v>川瀬 有里</v>
          </cell>
          <cell r="C357" t="str">
            <v>KONOIKE</v>
          </cell>
          <cell r="D357">
            <v>45504</v>
          </cell>
          <cell r="E357" t="str">
            <v>24T0720</v>
          </cell>
          <cell r="F357" t="str">
            <v>I000013179</v>
          </cell>
          <cell r="G357">
            <v>0</v>
          </cell>
          <cell r="H357" t="str">
            <v>41355274540</v>
          </cell>
          <cell r="I357">
            <v>785043.7</v>
          </cell>
          <cell r="J357">
            <v>785043.7</v>
          </cell>
          <cell r="K357">
            <v>63.72</v>
          </cell>
          <cell r="L357" t="str">
            <v>WHSU6265600</v>
          </cell>
          <cell r="M357">
            <v>4</v>
          </cell>
          <cell r="N357" t="str">
            <v>40HQ</v>
          </cell>
          <cell r="O357">
            <v>2</v>
          </cell>
          <cell r="P357">
            <v>45512</v>
          </cell>
          <cell r="Q357">
            <v>45523</v>
          </cell>
          <cell r="R357" t="str">
            <v>月</v>
          </cell>
          <cell r="S357" t="str">
            <v>AM8:00</v>
          </cell>
        </row>
        <row r="358">
          <cell r="A358">
            <v>8506</v>
          </cell>
          <cell r="B358" t="str">
            <v>川瀬 有里</v>
          </cell>
          <cell r="C358" t="str">
            <v>KONOIKE</v>
          </cell>
          <cell r="D358">
            <v>45504</v>
          </cell>
          <cell r="E358" t="str">
            <v>24T0721</v>
          </cell>
          <cell r="F358" t="str">
            <v>I000013180</v>
          </cell>
          <cell r="G358">
            <v>0</v>
          </cell>
          <cell r="H358" t="str">
            <v>41355274540</v>
          </cell>
          <cell r="I358">
            <v>747711.9</v>
          </cell>
          <cell r="J358">
            <v>747711.9</v>
          </cell>
          <cell r="K358">
            <v>65.33</v>
          </cell>
          <cell r="L358" t="str">
            <v>WHSU6287825</v>
          </cell>
          <cell r="M358">
            <v>4</v>
          </cell>
          <cell r="N358" t="str">
            <v>40HQ</v>
          </cell>
          <cell r="O358">
            <v>2</v>
          </cell>
          <cell r="P358">
            <v>45512</v>
          </cell>
          <cell r="Q358">
            <v>45523</v>
          </cell>
          <cell r="R358" t="str">
            <v>月</v>
          </cell>
          <cell r="S358" t="str">
            <v>AM8:00</v>
          </cell>
        </row>
        <row r="359">
          <cell r="A359">
            <v>8507</v>
          </cell>
          <cell r="B359" t="str">
            <v>川瀬 有里</v>
          </cell>
          <cell r="C359" t="str">
            <v>TRADIA</v>
          </cell>
          <cell r="D359">
            <v>45504</v>
          </cell>
          <cell r="E359" t="str">
            <v>24P0707</v>
          </cell>
          <cell r="F359" t="str">
            <v>I000013182</v>
          </cell>
          <cell r="G359">
            <v>0</v>
          </cell>
          <cell r="H359" t="str">
            <v>21563543400</v>
          </cell>
          <cell r="I359">
            <v>442402.68</v>
          </cell>
          <cell r="J359">
            <v>442402.68</v>
          </cell>
          <cell r="K359">
            <v>66.98</v>
          </cell>
          <cell r="L359" t="str">
            <v>WHSU6195821</v>
          </cell>
          <cell r="M359">
            <v>11</v>
          </cell>
          <cell r="N359" t="str">
            <v>40HQ</v>
          </cell>
          <cell r="O359">
            <v>4</v>
          </cell>
          <cell r="P359">
            <v>45512</v>
          </cell>
          <cell r="Q359">
            <v>45525</v>
          </cell>
          <cell r="R359" t="str">
            <v>水</v>
          </cell>
          <cell r="S359" t="str">
            <v>AM7:30</v>
          </cell>
        </row>
        <row r="360">
          <cell r="A360">
            <v>8508</v>
          </cell>
          <cell r="B360" t="str">
            <v>川瀬 有里</v>
          </cell>
          <cell r="C360" t="str">
            <v>YUSEN</v>
          </cell>
          <cell r="D360">
            <v>45503</v>
          </cell>
          <cell r="E360" t="str">
            <v>24K0720</v>
          </cell>
          <cell r="F360" t="str">
            <v>I000013174</v>
          </cell>
          <cell r="G360">
            <v>0</v>
          </cell>
          <cell r="H360" t="str">
            <v>31414066710</v>
          </cell>
          <cell r="I360">
            <v>352984.4</v>
          </cell>
          <cell r="J360">
            <v>352984.4</v>
          </cell>
          <cell r="K360">
            <v>25.3</v>
          </cell>
          <cell r="L360" t="str">
            <v>CSLU2145876</v>
          </cell>
          <cell r="M360">
            <v>3</v>
          </cell>
          <cell r="N360" t="str">
            <v>20’</v>
          </cell>
          <cell r="O360">
            <v>2</v>
          </cell>
          <cell r="P360">
            <v>45513</v>
          </cell>
          <cell r="Q360">
            <v>45523</v>
          </cell>
          <cell r="R360" t="str">
            <v>月</v>
          </cell>
          <cell r="S360" t="str">
            <v>AM8:30</v>
          </cell>
        </row>
        <row r="361">
          <cell r="A361">
            <v>8509</v>
          </cell>
          <cell r="B361" t="str">
            <v>川瀬 有里</v>
          </cell>
          <cell r="C361" t="str">
            <v>YUSEN</v>
          </cell>
          <cell r="D361">
            <v>45503</v>
          </cell>
          <cell r="E361" t="str">
            <v>24K0721</v>
          </cell>
          <cell r="F361" t="str">
            <v>I000013181</v>
          </cell>
          <cell r="G361">
            <v>0</v>
          </cell>
          <cell r="H361" t="str">
            <v>31414066710</v>
          </cell>
          <cell r="I361">
            <v>311980.36</v>
          </cell>
          <cell r="J361">
            <v>311980.36</v>
          </cell>
          <cell r="K361">
            <v>24.34</v>
          </cell>
          <cell r="L361" t="str">
            <v>TGBU3247725</v>
          </cell>
          <cell r="M361">
            <v>3</v>
          </cell>
          <cell r="N361" t="str">
            <v>20’</v>
          </cell>
          <cell r="O361">
            <v>2</v>
          </cell>
          <cell r="P361">
            <v>45513</v>
          </cell>
          <cell r="Q361">
            <v>45523</v>
          </cell>
          <cell r="R361" t="str">
            <v>月</v>
          </cell>
          <cell r="S361" t="str">
            <v>AM8:30</v>
          </cell>
        </row>
        <row r="362">
          <cell r="A362">
            <v>8510</v>
          </cell>
          <cell r="B362" t="str">
            <v>川瀬 有里</v>
          </cell>
          <cell r="C362" t="str">
            <v>TRADIA</v>
          </cell>
          <cell r="D362">
            <v>45493</v>
          </cell>
          <cell r="E362" t="str">
            <v>24K0713</v>
          </cell>
          <cell r="F362" t="str">
            <v>I000013137</v>
          </cell>
          <cell r="G362">
            <v>0</v>
          </cell>
          <cell r="H362" t="str">
            <v>41356916410</v>
          </cell>
          <cell r="I362">
            <v>324516.65999999997</v>
          </cell>
          <cell r="J362">
            <v>324516.65999999997</v>
          </cell>
          <cell r="K362">
            <v>26.15</v>
          </cell>
          <cell r="L362" t="str">
            <v>TSSU2100446</v>
          </cell>
          <cell r="M362">
            <v>3</v>
          </cell>
          <cell r="N362" t="str">
            <v>20’</v>
          </cell>
          <cell r="O362">
            <v>2</v>
          </cell>
          <cell r="P362">
            <v>45505</v>
          </cell>
          <cell r="Q362">
            <v>45509</v>
          </cell>
          <cell r="R362" t="str">
            <v>月</v>
          </cell>
          <cell r="S362" t="str">
            <v>AM8:30</v>
          </cell>
        </row>
        <row r="363">
          <cell r="A363">
            <v>8511</v>
          </cell>
          <cell r="B363" t="str">
            <v>川瀬 有里</v>
          </cell>
          <cell r="C363" t="str">
            <v>TRADIA</v>
          </cell>
          <cell r="D363">
            <v>45493</v>
          </cell>
          <cell r="E363" t="str">
            <v>24K0714</v>
          </cell>
          <cell r="F363" t="str">
            <v>I000013146</v>
          </cell>
          <cell r="G363">
            <v>0</v>
          </cell>
          <cell r="H363" t="str">
            <v>41356916410</v>
          </cell>
          <cell r="I363">
            <v>336071.38</v>
          </cell>
          <cell r="J363">
            <v>336071.38</v>
          </cell>
          <cell r="K363">
            <v>27.58</v>
          </cell>
          <cell r="L363" t="str">
            <v>TIIU2060765</v>
          </cell>
          <cell r="M363">
            <v>3</v>
          </cell>
          <cell r="N363" t="str">
            <v>20’</v>
          </cell>
          <cell r="O363">
            <v>2</v>
          </cell>
          <cell r="P363">
            <v>45505</v>
          </cell>
          <cell r="Q363">
            <v>45509</v>
          </cell>
          <cell r="R363" t="str">
            <v>月</v>
          </cell>
          <cell r="S363" t="str">
            <v>AM8:30</v>
          </cell>
        </row>
        <row r="364">
          <cell r="A364">
            <v>8512</v>
          </cell>
          <cell r="B364" t="str">
            <v>川瀬 有里</v>
          </cell>
          <cell r="C364" t="str">
            <v>KONOIKE</v>
          </cell>
          <cell r="D364">
            <v>45509</v>
          </cell>
          <cell r="E364" t="str">
            <v>24T0722</v>
          </cell>
          <cell r="F364" t="str">
            <v>I000013184</v>
          </cell>
          <cell r="G364">
            <v>0</v>
          </cell>
          <cell r="H364" t="str">
            <v>41356446820</v>
          </cell>
          <cell r="I364">
            <v>671086.86</v>
          </cell>
          <cell r="J364">
            <v>671086.86</v>
          </cell>
          <cell r="K364">
            <v>65</v>
          </cell>
          <cell r="L364" t="str">
            <v>WHSU6133394</v>
          </cell>
          <cell r="M364">
            <v>4</v>
          </cell>
          <cell r="N364" t="str">
            <v>40HQ</v>
          </cell>
          <cell r="O364">
            <v>2</v>
          </cell>
          <cell r="P364">
            <v>45515</v>
          </cell>
          <cell r="Q364">
            <v>45523</v>
          </cell>
          <cell r="R364" t="str">
            <v>月</v>
          </cell>
          <cell r="S364" t="str">
            <v>AM8:00</v>
          </cell>
        </row>
        <row r="365">
          <cell r="A365">
            <v>8513</v>
          </cell>
          <cell r="B365" t="str">
            <v>川瀬 有里</v>
          </cell>
          <cell r="C365" t="str">
            <v>KONOIKE</v>
          </cell>
          <cell r="D365">
            <v>45509</v>
          </cell>
          <cell r="E365" t="str">
            <v>24T0801</v>
          </cell>
          <cell r="F365" t="str">
            <v>I000013198</v>
          </cell>
          <cell r="G365">
            <v>0</v>
          </cell>
          <cell r="H365" t="str">
            <v>41356446820</v>
          </cell>
          <cell r="I365">
            <v>720140.6</v>
          </cell>
          <cell r="J365">
            <v>720140.6</v>
          </cell>
          <cell r="K365">
            <v>66.349999999999994</v>
          </cell>
          <cell r="L365" t="str">
            <v>WHSU6116674</v>
          </cell>
          <cell r="M365">
            <v>4</v>
          </cell>
          <cell r="N365" t="str">
            <v>40HQ</v>
          </cell>
          <cell r="O365">
            <v>2</v>
          </cell>
          <cell r="P365">
            <v>45519</v>
          </cell>
          <cell r="Q365">
            <v>45523</v>
          </cell>
          <cell r="R365" t="str">
            <v>月</v>
          </cell>
          <cell r="S365" t="str">
            <v>AM8:00</v>
          </cell>
        </row>
        <row r="366">
          <cell r="A366">
            <v>8514</v>
          </cell>
          <cell r="B366" t="str">
            <v>川瀬 有里</v>
          </cell>
          <cell r="C366" t="str">
            <v>TRADIA</v>
          </cell>
          <cell r="D366">
            <v>45495</v>
          </cell>
          <cell r="E366" t="str">
            <v>24P0705</v>
          </cell>
          <cell r="F366" t="str">
            <v>I000013147</v>
          </cell>
          <cell r="G366">
            <v>0</v>
          </cell>
          <cell r="H366" t="str">
            <v>21562229460</v>
          </cell>
          <cell r="I366">
            <v>416664</v>
          </cell>
          <cell r="J366">
            <v>416664</v>
          </cell>
          <cell r="K366">
            <v>65.37</v>
          </cell>
          <cell r="L366" t="str">
            <v>WHSU6595197</v>
          </cell>
          <cell r="N366" t="str">
            <v>40HQ</v>
          </cell>
          <cell r="O366">
            <v>2</v>
          </cell>
          <cell r="P366">
            <v>45503</v>
          </cell>
          <cell r="Q366">
            <v>45511</v>
          </cell>
          <cell r="R366" t="str">
            <v>水</v>
          </cell>
          <cell r="S366" t="str">
            <v>AM9:30</v>
          </cell>
        </row>
        <row r="367">
          <cell r="A367">
            <v>8515</v>
          </cell>
          <cell r="B367" t="str">
            <v>川瀬 有里</v>
          </cell>
          <cell r="C367" t="str">
            <v>KONOIKE</v>
          </cell>
          <cell r="D367">
            <v>45510</v>
          </cell>
          <cell r="E367" t="str">
            <v>24T0802</v>
          </cell>
          <cell r="F367" t="str">
            <v>I000013205</v>
          </cell>
          <cell r="G367">
            <v>0</v>
          </cell>
          <cell r="H367" t="str">
            <v>11653174510</v>
          </cell>
          <cell r="I367">
            <v>536841.12</v>
          </cell>
          <cell r="J367">
            <v>536841.12</v>
          </cell>
          <cell r="K367">
            <v>65.11</v>
          </cell>
          <cell r="L367" t="str">
            <v>WHSU6858523</v>
          </cell>
          <cell r="M367">
            <v>4</v>
          </cell>
          <cell r="N367" t="str">
            <v>40HQ</v>
          </cell>
          <cell r="O367">
            <v>5</v>
          </cell>
          <cell r="P367">
            <v>45516</v>
          </cell>
          <cell r="Q367">
            <v>45523</v>
          </cell>
          <cell r="R367" t="str">
            <v>月</v>
          </cell>
          <cell r="S367" t="str">
            <v>AM8:00</v>
          </cell>
        </row>
        <row r="368">
          <cell r="A368">
            <v>8516</v>
          </cell>
          <cell r="B368" t="str">
            <v>川瀬 有里</v>
          </cell>
          <cell r="C368" t="str">
            <v>TRADIA</v>
          </cell>
          <cell r="D368">
            <v>45505</v>
          </cell>
          <cell r="E368" t="str">
            <v>24P0801</v>
          </cell>
          <cell r="F368" t="str">
            <v>I000013208</v>
          </cell>
          <cell r="G368">
            <v>0</v>
          </cell>
          <cell r="H368" t="str">
            <v>41357838050</v>
          </cell>
          <cell r="I368">
            <v>422462.64</v>
          </cell>
          <cell r="J368">
            <v>422462.64</v>
          </cell>
          <cell r="K368">
            <v>69.64</v>
          </cell>
          <cell r="L368" t="str">
            <v>WHSU5241389</v>
          </cell>
          <cell r="N368" t="str">
            <v>40HQ</v>
          </cell>
          <cell r="O368">
            <v>2</v>
          </cell>
          <cell r="P368">
            <v>45519</v>
          </cell>
          <cell r="Q368">
            <v>45530</v>
          </cell>
          <cell r="R368" t="str">
            <v>月</v>
          </cell>
          <cell r="S368" t="str">
            <v>AM9:30</v>
          </cell>
        </row>
        <row r="369">
          <cell r="A369">
            <v>8517</v>
          </cell>
          <cell r="B369" t="str">
            <v>川瀬 有里</v>
          </cell>
          <cell r="C369" t="str">
            <v>TRADIA</v>
          </cell>
          <cell r="D369">
            <v>45511</v>
          </cell>
          <cell r="E369" t="str">
            <v>24K0770</v>
          </cell>
          <cell r="F369" t="str">
            <v>K725/24</v>
          </cell>
          <cell r="G369">
            <v>0</v>
          </cell>
          <cell r="H369" t="str">
            <v>31414060410</v>
          </cell>
          <cell r="I369">
            <v>198450</v>
          </cell>
          <cell r="J369">
            <v>198450</v>
          </cell>
          <cell r="K369">
            <v>4.9000000000000004</v>
          </cell>
          <cell r="M369">
            <v>3</v>
          </cell>
          <cell r="N369" t="str">
            <v>AIR</v>
          </cell>
          <cell r="O369">
            <v>2</v>
          </cell>
          <cell r="Q369">
            <v>45513</v>
          </cell>
          <cell r="R369" t="str">
            <v>金</v>
          </cell>
          <cell r="S369" t="str">
            <v>AM8:30</v>
          </cell>
        </row>
        <row r="370">
          <cell r="A370">
            <v>8518</v>
          </cell>
          <cell r="B370" t="str">
            <v>川瀬 有里</v>
          </cell>
          <cell r="C370" t="str">
            <v>TRADIA</v>
          </cell>
          <cell r="D370">
            <v>45511</v>
          </cell>
          <cell r="E370" t="str">
            <v>24K0719</v>
          </cell>
          <cell r="F370" t="str">
            <v>I000013183</v>
          </cell>
          <cell r="G370">
            <v>0</v>
          </cell>
          <cell r="H370" t="str">
            <v>41356456950</v>
          </cell>
          <cell r="I370">
            <v>370640.5</v>
          </cell>
          <cell r="J370">
            <v>370640.5</v>
          </cell>
          <cell r="K370">
            <v>25.24</v>
          </cell>
          <cell r="L370" t="str">
            <v>EGHU3353350</v>
          </cell>
          <cell r="M370">
            <v>3</v>
          </cell>
          <cell r="N370" t="str">
            <v>20’</v>
          </cell>
          <cell r="O370">
            <v>2</v>
          </cell>
          <cell r="P370">
            <v>45514</v>
          </cell>
          <cell r="Q370">
            <v>45520</v>
          </cell>
          <cell r="R370" t="str">
            <v>金</v>
          </cell>
          <cell r="S370" t="str">
            <v>AM8:30</v>
          </cell>
        </row>
        <row r="371">
          <cell r="A371">
            <v>8520</v>
          </cell>
          <cell r="B371" t="str">
            <v>川瀬 有里</v>
          </cell>
          <cell r="C371" t="str">
            <v>TRADIA</v>
          </cell>
          <cell r="D371">
            <v>45512</v>
          </cell>
          <cell r="E371" t="str">
            <v>24K0852-2</v>
          </cell>
          <cell r="F371" t="str">
            <v>K738/24</v>
          </cell>
          <cell r="G371">
            <v>0</v>
          </cell>
          <cell r="H371" t="str">
            <v>40279055120</v>
          </cell>
          <cell r="I371">
            <v>24000</v>
          </cell>
          <cell r="J371">
            <v>24000</v>
          </cell>
          <cell r="K371">
            <v>0.56000000000000005</v>
          </cell>
          <cell r="M371">
            <v>3</v>
          </cell>
          <cell r="N371" t="str">
            <v>AIR</v>
          </cell>
          <cell r="O371">
            <v>2</v>
          </cell>
          <cell r="Q371">
            <v>45512</v>
          </cell>
          <cell r="R371" t="str">
            <v>木</v>
          </cell>
          <cell r="S371" t="str">
            <v>AM8:30</v>
          </cell>
        </row>
        <row r="372">
          <cell r="A372">
            <v>8521</v>
          </cell>
          <cell r="B372" t="str">
            <v>川瀬 有里</v>
          </cell>
          <cell r="C372" t="str">
            <v>TRADIA</v>
          </cell>
          <cell r="D372">
            <v>45512</v>
          </cell>
          <cell r="E372" t="str">
            <v>24K0854</v>
          </cell>
          <cell r="F372" t="str">
            <v>I000013206</v>
          </cell>
          <cell r="G372">
            <v>0</v>
          </cell>
          <cell r="H372" t="str">
            <v>40289605850</v>
          </cell>
          <cell r="I372">
            <v>15600.6</v>
          </cell>
          <cell r="J372">
            <v>15600.6</v>
          </cell>
          <cell r="K372">
            <v>0.8</v>
          </cell>
          <cell r="M372">
            <v>3</v>
          </cell>
          <cell r="N372" t="str">
            <v>AIR</v>
          </cell>
          <cell r="O372">
            <v>2</v>
          </cell>
          <cell r="Q372">
            <v>45512</v>
          </cell>
          <cell r="R372" t="str">
            <v>木</v>
          </cell>
          <cell r="S372" t="str">
            <v>AM8:30</v>
          </cell>
        </row>
        <row r="373">
          <cell r="A373">
            <v>8522</v>
          </cell>
          <cell r="B373" t="str">
            <v>川瀬 有里</v>
          </cell>
          <cell r="C373" t="str">
            <v>TRADIA</v>
          </cell>
          <cell r="D373">
            <v>45512</v>
          </cell>
          <cell r="E373" t="str">
            <v>24K0801</v>
          </cell>
          <cell r="F373" t="str">
            <v>I000013193</v>
          </cell>
          <cell r="G373">
            <v>0</v>
          </cell>
          <cell r="H373" t="str">
            <v>41356456950</v>
          </cell>
          <cell r="I373">
            <v>477331.98</v>
          </cell>
          <cell r="J373">
            <v>477331.98</v>
          </cell>
          <cell r="K373">
            <v>28.45</v>
          </cell>
          <cell r="L373" t="str">
            <v>EITU0351138</v>
          </cell>
          <cell r="M373">
            <v>3</v>
          </cell>
          <cell r="N373" t="str">
            <v>20’</v>
          </cell>
          <cell r="O373">
            <v>2</v>
          </cell>
          <cell r="P373">
            <v>45514</v>
          </cell>
          <cell r="Q373">
            <v>45520</v>
          </cell>
          <cell r="R373" t="str">
            <v>金</v>
          </cell>
          <cell r="S373" t="str">
            <v>AM8:30</v>
          </cell>
        </row>
        <row r="374">
          <cell r="A374">
            <v>8523</v>
          </cell>
          <cell r="B374" t="str">
            <v>川瀬 有里</v>
          </cell>
          <cell r="C374" t="str">
            <v>TRADIA</v>
          </cell>
          <cell r="D374">
            <v>45512</v>
          </cell>
          <cell r="E374" t="str">
            <v>24K0802</v>
          </cell>
          <cell r="F374" t="str">
            <v>I000013201</v>
          </cell>
          <cell r="G374">
            <v>0</v>
          </cell>
          <cell r="H374" t="str">
            <v>41357934540</v>
          </cell>
          <cell r="I374">
            <v>491386.64</v>
          </cell>
          <cell r="J374">
            <v>491386.64</v>
          </cell>
          <cell r="K374">
            <v>26.58</v>
          </cell>
          <cell r="L374" t="str">
            <v>WHSU2919410</v>
          </cell>
          <cell r="M374">
            <v>3</v>
          </cell>
          <cell r="N374" t="str">
            <v>20’</v>
          </cell>
          <cell r="O374">
            <v>2</v>
          </cell>
          <cell r="P374">
            <v>45514</v>
          </cell>
          <cell r="Q374">
            <v>45520</v>
          </cell>
          <cell r="R374" t="str">
            <v>金</v>
          </cell>
          <cell r="S374" t="str">
            <v>AM8:30</v>
          </cell>
        </row>
        <row r="375">
          <cell r="A375">
            <v>8524</v>
          </cell>
          <cell r="B375" t="str">
            <v>川瀬 有里</v>
          </cell>
          <cell r="C375" t="str">
            <v>TRADIA</v>
          </cell>
          <cell r="D375">
            <v>45512</v>
          </cell>
          <cell r="E375" t="str">
            <v>24K0803</v>
          </cell>
          <cell r="F375" t="str">
            <v>I000013204</v>
          </cell>
          <cell r="G375">
            <v>0</v>
          </cell>
          <cell r="H375" t="str">
            <v>41360626520</v>
          </cell>
          <cell r="I375">
            <v>285166.52</v>
          </cell>
          <cell r="J375">
            <v>285166.52</v>
          </cell>
          <cell r="K375">
            <v>24.95</v>
          </cell>
          <cell r="L375" t="str">
            <v>WHSU2974968</v>
          </cell>
          <cell r="M375">
            <v>3</v>
          </cell>
          <cell r="N375" t="str">
            <v>20’</v>
          </cell>
          <cell r="O375">
            <v>2</v>
          </cell>
          <cell r="P375">
            <v>45514</v>
          </cell>
          <cell r="Q375">
            <v>45520</v>
          </cell>
          <cell r="R375" t="str">
            <v>金</v>
          </cell>
          <cell r="S375" t="str">
            <v>AM8:30</v>
          </cell>
        </row>
        <row r="376">
          <cell r="A376">
            <v>8525</v>
          </cell>
          <cell r="B376" t="str">
            <v>川瀬 有里</v>
          </cell>
          <cell r="C376" t="str">
            <v>KONOIKE</v>
          </cell>
          <cell r="D376">
            <v>45513</v>
          </cell>
          <cell r="E376" t="str">
            <v>24T0803</v>
          </cell>
          <cell r="F376" t="str">
            <v>I000013207</v>
          </cell>
          <cell r="G376">
            <v>0</v>
          </cell>
          <cell r="H376" t="str">
            <v>41357110900</v>
          </cell>
          <cell r="I376">
            <v>748058.8</v>
          </cell>
          <cell r="J376">
            <v>748058.8</v>
          </cell>
          <cell r="K376">
            <v>64.37</v>
          </cell>
          <cell r="L376" t="str">
            <v>WHUS6295158</v>
          </cell>
          <cell r="M376">
            <v>4</v>
          </cell>
          <cell r="N376" t="str">
            <v>40HQ</v>
          </cell>
          <cell r="O376">
            <v>2</v>
          </cell>
          <cell r="P376">
            <v>45519</v>
          </cell>
          <cell r="Q376">
            <v>45523</v>
          </cell>
          <cell r="R376" t="str">
            <v>月</v>
          </cell>
          <cell r="S376" t="str">
            <v>AM8:00</v>
          </cell>
        </row>
        <row r="377">
          <cell r="A377">
            <v>8526</v>
          </cell>
          <cell r="B377" t="str">
            <v>川瀬 有里</v>
          </cell>
          <cell r="C377" t="str">
            <v>KONOIKE</v>
          </cell>
          <cell r="D377">
            <v>45513</v>
          </cell>
          <cell r="E377" t="str">
            <v>24T0805</v>
          </cell>
          <cell r="F377" t="str">
            <v>I000013219</v>
          </cell>
          <cell r="G377">
            <v>0</v>
          </cell>
          <cell r="H377" t="str">
            <v>41357110900</v>
          </cell>
          <cell r="I377">
            <v>737861.26</v>
          </cell>
          <cell r="J377">
            <v>737861.26</v>
          </cell>
          <cell r="K377">
            <v>56.1</v>
          </cell>
          <cell r="L377" t="str">
            <v>WHSU6881020</v>
          </cell>
          <cell r="M377">
            <v>4</v>
          </cell>
          <cell r="N377" t="str">
            <v>40HQ</v>
          </cell>
          <cell r="O377">
            <v>2</v>
          </cell>
          <cell r="P377">
            <v>45519</v>
          </cell>
          <cell r="Q377">
            <v>45523</v>
          </cell>
          <cell r="R377" t="str">
            <v>月</v>
          </cell>
          <cell r="S377" t="str">
            <v>AM8:00</v>
          </cell>
        </row>
        <row r="378">
          <cell r="A378">
            <v>8527</v>
          </cell>
          <cell r="B378" t="str">
            <v>川瀬 有里</v>
          </cell>
          <cell r="C378" t="str">
            <v>KONOIKE</v>
          </cell>
          <cell r="D378">
            <v>45513</v>
          </cell>
          <cell r="E378" t="str">
            <v>24T0804</v>
          </cell>
          <cell r="F378" t="str">
            <v>I000013216</v>
          </cell>
          <cell r="G378">
            <v>0</v>
          </cell>
          <cell r="H378" t="str">
            <v>11655245810</v>
          </cell>
          <cell r="I378">
            <v>573486.6</v>
          </cell>
          <cell r="J378">
            <v>573486.6</v>
          </cell>
          <cell r="K378">
            <v>64.150000000000006</v>
          </cell>
          <cell r="L378" t="str">
            <v>WHSU6561366</v>
          </cell>
          <cell r="M378">
            <v>4</v>
          </cell>
          <cell r="N378" t="str">
            <v>40HQ</v>
          </cell>
          <cell r="O378">
            <v>5</v>
          </cell>
          <cell r="P378">
            <v>45520</v>
          </cell>
          <cell r="Q378">
            <v>45524</v>
          </cell>
          <cell r="R378" t="str">
            <v>火</v>
          </cell>
          <cell r="S378" t="str">
            <v>AM8:00</v>
          </cell>
        </row>
        <row r="379">
          <cell r="A379">
            <v>8528</v>
          </cell>
          <cell r="B379" t="str">
            <v>川瀬 有里</v>
          </cell>
          <cell r="C379" t="str">
            <v>TRADIA</v>
          </cell>
          <cell r="D379">
            <v>45520</v>
          </cell>
          <cell r="E379" t="str">
            <v>24K0804</v>
          </cell>
          <cell r="F379" t="str">
            <v>I000013213</v>
          </cell>
          <cell r="G379">
            <v>0</v>
          </cell>
          <cell r="H379" t="str">
            <v>41357722700</v>
          </cell>
          <cell r="I379">
            <v>350265.7</v>
          </cell>
          <cell r="J379">
            <v>350265.7</v>
          </cell>
          <cell r="K379">
            <v>27.12</v>
          </cell>
          <cell r="L379" t="str">
            <v>WHSU0046570</v>
          </cell>
          <cell r="M379">
            <v>3</v>
          </cell>
          <cell r="N379" t="str">
            <v>20’</v>
          </cell>
          <cell r="O379">
            <v>2</v>
          </cell>
          <cell r="P379">
            <v>45519</v>
          </cell>
          <cell r="Q379">
            <v>45520</v>
          </cell>
          <cell r="R379" t="str">
            <v>金</v>
          </cell>
          <cell r="S379" t="str">
            <v>AM8:30</v>
          </cell>
        </row>
        <row r="380">
          <cell r="A380">
            <v>8529</v>
          </cell>
          <cell r="B380" t="str">
            <v>川瀬 有里</v>
          </cell>
          <cell r="C380" t="str">
            <v>TRADIA</v>
          </cell>
          <cell r="D380">
            <v>45520</v>
          </cell>
          <cell r="E380" t="str">
            <v>24K0805</v>
          </cell>
          <cell r="F380" t="str">
            <v>I000013223</v>
          </cell>
          <cell r="G380">
            <v>0</v>
          </cell>
          <cell r="H380" t="str">
            <v>41357722700</v>
          </cell>
          <cell r="I380">
            <v>407014.6</v>
          </cell>
          <cell r="J380">
            <v>407014.6</v>
          </cell>
          <cell r="K380">
            <v>26.2</v>
          </cell>
          <cell r="L380" t="str">
            <v>WHSU0004790</v>
          </cell>
          <cell r="M380">
            <v>3</v>
          </cell>
          <cell r="N380" t="str">
            <v>20’</v>
          </cell>
          <cell r="O380">
            <v>2</v>
          </cell>
          <cell r="P380">
            <v>45519</v>
          </cell>
          <cell r="Q380">
            <v>45520</v>
          </cell>
          <cell r="R380" t="str">
            <v>金</v>
          </cell>
          <cell r="S380" t="str">
            <v>AM8:30</v>
          </cell>
        </row>
        <row r="381">
          <cell r="A381">
            <v>8530</v>
          </cell>
          <cell r="B381" t="str">
            <v>川瀬 有里</v>
          </cell>
          <cell r="C381" t="str">
            <v>TRADIA</v>
          </cell>
          <cell r="D381">
            <v>45520</v>
          </cell>
          <cell r="E381" t="str">
            <v>24K0806</v>
          </cell>
          <cell r="F381" t="str">
            <v>I000013230</v>
          </cell>
          <cell r="G381">
            <v>0</v>
          </cell>
          <cell r="H381" t="str">
            <v>41360499821</v>
          </cell>
          <cell r="I381">
            <v>396398.4</v>
          </cell>
          <cell r="J381">
            <v>396398.4</v>
          </cell>
          <cell r="K381">
            <v>27.6</v>
          </cell>
          <cell r="L381" t="str">
            <v>WHSU0104001</v>
          </cell>
          <cell r="M381">
            <v>3</v>
          </cell>
          <cell r="N381" t="str">
            <v>20’</v>
          </cell>
          <cell r="O381">
            <v>2</v>
          </cell>
          <cell r="P381">
            <v>45524</v>
          </cell>
          <cell r="Q381">
            <v>45526</v>
          </cell>
          <cell r="R381" t="str">
            <v>木</v>
          </cell>
          <cell r="S381" t="str">
            <v>AM8:30</v>
          </cell>
        </row>
        <row r="382">
          <cell r="A382">
            <v>8531</v>
          </cell>
          <cell r="B382" t="str">
            <v>川瀬 有里</v>
          </cell>
          <cell r="C382" t="str">
            <v>TRADIA</v>
          </cell>
          <cell r="D382">
            <v>45520</v>
          </cell>
          <cell r="E382" t="str">
            <v>24K0807</v>
          </cell>
          <cell r="F382" t="str">
            <v>I000013231</v>
          </cell>
          <cell r="G382">
            <v>0</v>
          </cell>
          <cell r="H382" t="str">
            <v>41360499821</v>
          </cell>
          <cell r="I382">
            <v>286242.15999999997</v>
          </cell>
          <cell r="J382">
            <v>286242.15999999997</v>
          </cell>
          <cell r="K382">
            <v>26.25</v>
          </cell>
          <cell r="L382" t="str">
            <v>WHSU0020549</v>
          </cell>
          <cell r="M382">
            <v>3</v>
          </cell>
          <cell r="N382" t="str">
            <v>20’</v>
          </cell>
          <cell r="O382">
            <v>2</v>
          </cell>
          <cell r="P382">
            <v>45524</v>
          </cell>
          <cell r="Q382">
            <v>45526</v>
          </cell>
          <cell r="R382" t="str">
            <v>木</v>
          </cell>
          <cell r="S382" t="str">
            <v>AM8:30</v>
          </cell>
        </row>
        <row r="383">
          <cell r="A383">
            <v>8532</v>
          </cell>
          <cell r="B383" t="str">
            <v>川瀬 有里</v>
          </cell>
          <cell r="C383" t="str">
            <v>TRADIA</v>
          </cell>
          <cell r="D383">
            <v>45520</v>
          </cell>
          <cell r="E383" t="str">
            <v>24K0808</v>
          </cell>
          <cell r="F383" t="str">
            <v>I000013232</v>
          </cell>
          <cell r="G383">
            <v>0</v>
          </cell>
          <cell r="H383" t="str">
            <v>41360499821</v>
          </cell>
          <cell r="I383">
            <v>399973.3</v>
          </cell>
          <cell r="J383">
            <v>399973.3</v>
          </cell>
          <cell r="K383">
            <v>26.07</v>
          </cell>
          <cell r="L383" t="str">
            <v>WHSU0298571</v>
          </cell>
          <cell r="M383">
            <v>3</v>
          </cell>
          <cell r="N383" t="str">
            <v>20’</v>
          </cell>
          <cell r="O383">
            <v>2</v>
          </cell>
          <cell r="P383">
            <v>45524</v>
          </cell>
          <cell r="Q383">
            <v>45526</v>
          </cell>
          <cell r="R383" t="str">
            <v>木</v>
          </cell>
          <cell r="S383" t="str">
            <v>AM8:30</v>
          </cell>
        </row>
        <row r="384">
          <cell r="A384">
            <v>8533</v>
          </cell>
          <cell r="B384" t="str">
            <v>川瀬 有里</v>
          </cell>
          <cell r="C384" t="str">
            <v>TRADIA</v>
          </cell>
          <cell r="D384">
            <v>45520</v>
          </cell>
          <cell r="E384" t="str">
            <v>24K0809</v>
          </cell>
          <cell r="F384" t="str">
            <v>I000013239</v>
          </cell>
          <cell r="G384">
            <v>0</v>
          </cell>
          <cell r="H384" t="str">
            <v>41360499821</v>
          </cell>
          <cell r="I384">
            <v>326427.46000000002</v>
          </cell>
          <cell r="J384">
            <v>326427.46000000002</v>
          </cell>
          <cell r="K384">
            <v>29.1</v>
          </cell>
          <cell r="L384" t="str">
            <v>WHSU0015239</v>
          </cell>
          <cell r="M384">
            <v>3</v>
          </cell>
          <cell r="N384" t="str">
            <v>20’</v>
          </cell>
          <cell r="O384">
            <v>2</v>
          </cell>
          <cell r="P384">
            <v>45524</v>
          </cell>
          <cell r="Q384">
            <v>45526</v>
          </cell>
          <cell r="R384" t="str">
            <v>木</v>
          </cell>
          <cell r="S384" t="str">
            <v>AM8:30</v>
          </cell>
        </row>
        <row r="385">
          <cell r="A385">
            <v>8534</v>
          </cell>
          <cell r="B385" t="str">
            <v>川瀬 有里</v>
          </cell>
          <cell r="C385" t="str">
            <v>KONOIKE</v>
          </cell>
          <cell r="D385">
            <v>45520</v>
          </cell>
          <cell r="E385" t="str">
            <v>24T0807-1</v>
          </cell>
          <cell r="F385" t="str">
            <v>I000013234</v>
          </cell>
          <cell r="G385">
            <v>0</v>
          </cell>
          <cell r="H385" t="str">
            <v>41359671610</v>
          </cell>
          <cell r="I385">
            <v>770832.02</v>
          </cell>
          <cell r="J385">
            <v>770832.02</v>
          </cell>
          <cell r="K385">
            <v>63.32</v>
          </cell>
          <cell r="L385" t="str">
            <v>WHSU6626127</v>
          </cell>
          <cell r="M385">
            <v>4</v>
          </cell>
          <cell r="N385" t="str">
            <v>40HQ</v>
          </cell>
          <cell r="O385">
            <v>2</v>
          </cell>
          <cell r="P385">
            <v>45525</v>
          </cell>
          <cell r="Q385">
            <v>45527</v>
          </cell>
          <cell r="R385" t="str">
            <v>金</v>
          </cell>
          <cell r="S385" t="str">
            <v>AM8:00</v>
          </cell>
        </row>
        <row r="386">
          <cell r="A386">
            <v>8535</v>
          </cell>
          <cell r="B386" t="str">
            <v>川瀬 有里</v>
          </cell>
          <cell r="C386" t="str">
            <v>KONOIKE</v>
          </cell>
          <cell r="D386">
            <v>45520</v>
          </cell>
          <cell r="E386" t="str">
            <v>24T0807-2</v>
          </cell>
          <cell r="F386" t="str">
            <v>K768/24</v>
          </cell>
          <cell r="G386">
            <v>0</v>
          </cell>
          <cell r="H386" t="str">
            <v>41359671610</v>
          </cell>
          <cell r="I386">
            <v>1213</v>
          </cell>
          <cell r="J386">
            <v>1213</v>
          </cell>
          <cell r="K386">
            <v>0.3</v>
          </cell>
          <cell r="L386" t="str">
            <v>WHSU6626127</v>
          </cell>
          <cell r="M386">
            <v>4</v>
          </cell>
          <cell r="N386" t="str">
            <v>40HQ</v>
          </cell>
          <cell r="O386">
            <v>2</v>
          </cell>
          <cell r="P386">
            <v>45525</v>
          </cell>
          <cell r="Q386">
            <v>45527</v>
          </cell>
          <cell r="R386" t="str">
            <v>金</v>
          </cell>
          <cell r="S386" t="str">
            <v>AM8:00</v>
          </cell>
        </row>
        <row r="387">
          <cell r="A387">
            <v>8536</v>
          </cell>
          <cell r="B387" t="str">
            <v>川瀬 有里</v>
          </cell>
          <cell r="C387" t="str">
            <v>KONOIKE</v>
          </cell>
          <cell r="D387">
            <v>45520</v>
          </cell>
          <cell r="E387" t="str">
            <v>24T0806</v>
          </cell>
          <cell r="F387" t="str">
            <v>I000013229</v>
          </cell>
          <cell r="G387">
            <v>0</v>
          </cell>
          <cell r="H387" t="str">
            <v>41359545240</v>
          </cell>
          <cell r="I387">
            <v>628910.31999999995</v>
          </cell>
          <cell r="J387">
            <v>628910.31999999995</v>
          </cell>
          <cell r="K387">
            <v>62.66</v>
          </cell>
          <cell r="L387" t="str">
            <v>WHSU6619724</v>
          </cell>
          <cell r="M387">
            <v>4</v>
          </cell>
          <cell r="N387" t="str">
            <v>40HQ</v>
          </cell>
          <cell r="O387">
            <v>2</v>
          </cell>
          <cell r="P387">
            <v>45526</v>
          </cell>
          <cell r="Q387">
            <v>45530</v>
          </cell>
          <cell r="R387" t="str">
            <v>月</v>
          </cell>
          <cell r="S387" t="str">
            <v>AM8:00</v>
          </cell>
        </row>
        <row r="388">
          <cell r="A388">
            <v>8537</v>
          </cell>
          <cell r="B388" t="str">
            <v>川瀬 有里</v>
          </cell>
          <cell r="C388" t="str">
            <v>KONOIKE</v>
          </cell>
          <cell r="D388">
            <v>45520</v>
          </cell>
          <cell r="E388" t="str">
            <v>24T0808</v>
          </cell>
          <cell r="F388" t="str">
            <v>I000013240</v>
          </cell>
          <cell r="G388">
            <v>0</v>
          </cell>
          <cell r="H388" t="str">
            <v>41359545240</v>
          </cell>
          <cell r="I388">
            <v>742174.32</v>
          </cell>
          <cell r="J388">
            <v>742174.32</v>
          </cell>
          <cell r="K388">
            <v>65.28</v>
          </cell>
          <cell r="L388" t="str">
            <v>WHSU6653210</v>
          </cell>
          <cell r="M388">
            <v>4</v>
          </cell>
          <cell r="N388" t="str">
            <v>40HQ</v>
          </cell>
          <cell r="O388">
            <v>2</v>
          </cell>
          <cell r="P388">
            <v>45526</v>
          </cell>
          <cell r="Q388">
            <v>45530</v>
          </cell>
          <cell r="R388" t="str">
            <v>月</v>
          </cell>
          <cell r="S388" t="str">
            <v>AM8:00</v>
          </cell>
        </row>
        <row r="389">
          <cell r="A389">
            <v>8538</v>
          </cell>
          <cell r="B389" t="str">
            <v>川瀬 有里</v>
          </cell>
          <cell r="C389" t="str">
            <v>TRADIA</v>
          </cell>
          <cell r="D389">
            <v>45520</v>
          </cell>
          <cell r="E389" t="str">
            <v>24P0802</v>
          </cell>
          <cell r="F389" t="str">
            <v>I000013225</v>
          </cell>
          <cell r="G389">
            <v>0</v>
          </cell>
          <cell r="H389" t="str">
            <v>21565955230</v>
          </cell>
          <cell r="I389">
            <v>411648.48</v>
          </cell>
          <cell r="J389">
            <v>411648.48</v>
          </cell>
          <cell r="K389">
            <v>64.2</v>
          </cell>
          <cell r="L389" t="str">
            <v>WHSU6793274</v>
          </cell>
          <cell r="M389">
            <v>11</v>
          </cell>
          <cell r="N389" t="str">
            <v>40HQ</v>
          </cell>
          <cell r="O389">
            <v>4</v>
          </cell>
          <cell r="P389">
            <v>45524</v>
          </cell>
          <cell r="Q389">
            <v>45537</v>
          </cell>
          <cell r="R389" t="str">
            <v>月</v>
          </cell>
          <cell r="S389" t="str">
            <v>AM7:30</v>
          </cell>
        </row>
        <row r="390">
          <cell r="A390">
            <v>8539</v>
          </cell>
          <cell r="B390" t="str">
            <v>川瀬 有里</v>
          </cell>
          <cell r="C390" t="str">
            <v>TRADIA</v>
          </cell>
          <cell r="D390">
            <v>45520</v>
          </cell>
          <cell r="E390" t="str">
            <v>24P0803</v>
          </cell>
          <cell r="F390" t="str">
            <v>I000013235</v>
          </cell>
          <cell r="G390">
            <v>0</v>
          </cell>
          <cell r="H390" t="str">
            <v>41361797250</v>
          </cell>
          <cell r="I390">
            <v>391933.92</v>
          </cell>
          <cell r="J390">
            <v>391933.92</v>
          </cell>
          <cell r="K390">
            <v>63.27</v>
          </cell>
          <cell r="L390" t="str">
            <v>WHSU6224679</v>
          </cell>
          <cell r="M390">
            <v>11</v>
          </cell>
          <cell r="N390" t="str">
            <v>40HQ</v>
          </cell>
          <cell r="O390">
            <v>4</v>
          </cell>
          <cell r="P390">
            <v>45529</v>
          </cell>
          <cell r="Q390">
            <v>45540</v>
          </cell>
          <cell r="R390" t="str">
            <v>木</v>
          </cell>
          <cell r="S390" t="str">
            <v>AM9:30</v>
          </cell>
        </row>
        <row r="391">
          <cell r="A391">
            <v>8540</v>
          </cell>
          <cell r="B391" t="str">
            <v>川瀬 有里</v>
          </cell>
          <cell r="C391" t="str">
            <v>TRADIA</v>
          </cell>
          <cell r="D391">
            <v>45520</v>
          </cell>
          <cell r="E391" t="str">
            <v>24K0810</v>
          </cell>
          <cell r="F391" t="str">
            <v>I000013241</v>
          </cell>
          <cell r="G391">
            <v>0</v>
          </cell>
          <cell r="H391" t="str">
            <v>41360670140</v>
          </cell>
          <cell r="I391">
            <v>332587.06</v>
          </cell>
          <cell r="J391">
            <v>332587.06</v>
          </cell>
          <cell r="K391">
            <v>25.43</v>
          </cell>
          <cell r="L391" t="str">
            <v>WHSU0179783</v>
          </cell>
          <cell r="M391">
            <v>3</v>
          </cell>
          <cell r="N391" t="str">
            <v>20’</v>
          </cell>
          <cell r="O391">
            <v>2</v>
          </cell>
          <cell r="P391">
            <v>45527</v>
          </cell>
          <cell r="Q391">
            <v>45531</v>
          </cell>
          <cell r="R391" t="str">
            <v>火</v>
          </cell>
          <cell r="S391" t="str">
            <v>AM8:30</v>
          </cell>
        </row>
        <row r="392">
          <cell r="A392">
            <v>8541</v>
          </cell>
          <cell r="B392" t="str">
            <v>川瀬 有里</v>
          </cell>
          <cell r="C392" t="str">
            <v>TRADIA</v>
          </cell>
          <cell r="D392">
            <v>45520</v>
          </cell>
          <cell r="E392" t="str">
            <v>24P0804</v>
          </cell>
          <cell r="F392" t="str">
            <v>I000013246</v>
          </cell>
          <cell r="G392">
            <v>0</v>
          </cell>
          <cell r="H392" t="str">
            <v>21566398000</v>
          </cell>
          <cell r="I392">
            <v>436903.2</v>
          </cell>
          <cell r="J392">
            <v>436903.2</v>
          </cell>
          <cell r="K392">
            <v>64.209999999999994</v>
          </cell>
          <cell r="L392" t="str">
            <v>WHSU6782768</v>
          </cell>
          <cell r="M392">
            <v>11</v>
          </cell>
          <cell r="N392" t="str">
            <v>40HQ</v>
          </cell>
          <cell r="O392">
            <v>4</v>
          </cell>
          <cell r="P392">
            <v>45531</v>
          </cell>
          <cell r="Q392">
            <v>45547</v>
          </cell>
          <cell r="R392" t="str">
            <v>木</v>
          </cell>
          <cell r="S392" t="str">
            <v>AM7:30</v>
          </cell>
        </row>
        <row r="393">
          <cell r="A393">
            <v>8542</v>
          </cell>
          <cell r="B393" t="str">
            <v>川瀬 有里</v>
          </cell>
          <cell r="C393" t="str">
            <v>TRADIA</v>
          </cell>
          <cell r="D393">
            <v>45520</v>
          </cell>
          <cell r="E393" t="str">
            <v>24K0859-1</v>
          </cell>
          <cell r="F393" t="str">
            <v>I000013249</v>
          </cell>
          <cell r="G393">
            <v>0</v>
          </cell>
          <cell r="H393" t="str">
            <v>40348432450</v>
          </cell>
          <cell r="I393">
            <v>81432</v>
          </cell>
          <cell r="J393">
            <v>81432</v>
          </cell>
          <cell r="K393">
            <v>0.31</v>
          </cell>
          <cell r="M393">
            <v>3</v>
          </cell>
          <cell r="N393" t="str">
            <v>AIR</v>
          </cell>
          <cell r="O393">
            <v>2</v>
          </cell>
          <cell r="Q393">
            <v>45520</v>
          </cell>
          <cell r="R393" t="str">
            <v>金</v>
          </cell>
          <cell r="S393" t="str">
            <v>AM8:30</v>
          </cell>
        </row>
        <row r="394">
          <cell r="A394">
            <v>8543</v>
          </cell>
          <cell r="B394" t="str">
            <v>川瀬 有里</v>
          </cell>
          <cell r="C394" t="str">
            <v>TRADIA</v>
          </cell>
          <cell r="D394">
            <v>45520</v>
          </cell>
          <cell r="E394" t="str">
            <v>24K0859-2</v>
          </cell>
          <cell r="F394" t="str">
            <v>K782/24</v>
          </cell>
          <cell r="G394">
            <v>0</v>
          </cell>
          <cell r="H394" t="str">
            <v>40348432450</v>
          </cell>
          <cell r="I394">
            <v>24060.98</v>
          </cell>
          <cell r="J394">
            <v>24060.98</v>
          </cell>
          <cell r="K394">
            <v>0.45</v>
          </cell>
          <cell r="M394">
            <v>3</v>
          </cell>
          <cell r="N394" t="str">
            <v>AIR</v>
          </cell>
          <cell r="O394">
            <v>2</v>
          </cell>
          <cell r="Q394">
            <v>45520</v>
          </cell>
          <cell r="R394" t="str">
            <v>金</v>
          </cell>
          <cell r="S394" t="str">
            <v>AM8:30</v>
          </cell>
        </row>
        <row r="395">
          <cell r="A395">
            <v>8544</v>
          </cell>
          <cell r="B395" t="str">
            <v>川瀬 有里</v>
          </cell>
          <cell r="C395" t="str">
            <v>KONOIKE</v>
          </cell>
          <cell r="D395">
            <v>45520</v>
          </cell>
          <cell r="E395" t="str">
            <v>24T0809</v>
          </cell>
          <cell r="F395" t="str">
            <v>I000013247</v>
          </cell>
          <cell r="G395">
            <v>0</v>
          </cell>
          <cell r="H395" t="str">
            <v>41359579100</v>
          </cell>
          <cell r="I395">
            <v>735104.04</v>
          </cell>
          <cell r="J395">
            <v>735104.04</v>
          </cell>
          <cell r="K395">
            <v>63.92</v>
          </cell>
          <cell r="L395" t="str">
            <v>WHSU6863197</v>
          </cell>
          <cell r="N395" t="str">
            <v>40HQ</v>
          </cell>
          <cell r="O395">
            <v>2</v>
          </cell>
          <cell r="P395">
            <v>45528</v>
          </cell>
          <cell r="Q395">
            <v>45532</v>
          </cell>
          <cell r="R395" t="str">
            <v>水</v>
          </cell>
          <cell r="S395" t="str">
            <v>AM8:00</v>
          </cell>
        </row>
        <row r="396">
          <cell r="A396">
            <v>8545</v>
          </cell>
          <cell r="B396" t="str">
            <v>川瀬 有里</v>
          </cell>
          <cell r="C396" t="str">
            <v>KONOIKE</v>
          </cell>
          <cell r="D396">
            <v>45523</v>
          </cell>
          <cell r="E396" t="str">
            <v>24T0811</v>
          </cell>
          <cell r="F396" t="str">
            <v>I000013254</v>
          </cell>
          <cell r="G396">
            <v>0</v>
          </cell>
          <cell r="H396" t="str">
            <v>11658861051</v>
          </cell>
          <cell r="I396">
            <v>551238.16</v>
          </cell>
          <cell r="J396">
            <v>551238.16</v>
          </cell>
          <cell r="K396">
            <v>64.540000000000006</v>
          </cell>
          <cell r="L396" t="str">
            <v>WHSU6431249</v>
          </cell>
          <cell r="M396">
            <v>4</v>
          </cell>
          <cell r="N396" t="str">
            <v>40HQ</v>
          </cell>
          <cell r="O396">
            <v>5</v>
          </cell>
          <cell r="P396">
            <v>45530</v>
          </cell>
          <cell r="Q396">
            <v>45532</v>
          </cell>
          <cell r="R396" t="str">
            <v>水</v>
          </cell>
          <cell r="S396" t="str">
            <v>AM8:00</v>
          </cell>
        </row>
        <row r="397">
          <cell r="A397">
            <v>8546</v>
          </cell>
          <cell r="B397" t="str">
            <v>川瀬 有里</v>
          </cell>
          <cell r="C397" t="str">
            <v>TRADIA</v>
          </cell>
          <cell r="D397">
            <v>45505</v>
          </cell>
          <cell r="E397" t="str">
            <v>24K0851</v>
          </cell>
          <cell r="F397" t="str">
            <v>K733/24</v>
          </cell>
          <cell r="G397">
            <v>0</v>
          </cell>
          <cell r="H397" t="str">
            <v>31414723750</v>
          </cell>
          <cell r="I397">
            <v>316350</v>
          </cell>
          <cell r="J397">
            <v>316350</v>
          </cell>
          <cell r="K397">
            <v>10</v>
          </cell>
          <cell r="M397">
            <v>3</v>
          </cell>
          <cell r="N397" t="str">
            <v>AIR</v>
          </cell>
          <cell r="O397">
            <v>2</v>
          </cell>
          <cell r="Q397">
            <v>45509</v>
          </cell>
          <cell r="R397" t="str">
            <v>月</v>
          </cell>
          <cell r="S397" t="str">
            <v>AM8:30</v>
          </cell>
        </row>
        <row r="398">
          <cell r="A398">
            <v>8547</v>
          </cell>
          <cell r="B398" t="str">
            <v>川瀬 有里</v>
          </cell>
          <cell r="C398" t="str">
            <v>TRADIA</v>
          </cell>
          <cell r="D398">
            <v>45523</v>
          </cell>
          <cell r="E398" t="str">
            <v>24K0813</v>
          </cell>
          <cell r="F398" t="str">
            <v>I000013256</v>
          </cell>
          <cell r="G398">
            <v>0</v>
          </cell>
          <cell r="H398" t="str">
            <v>41363997500</v>
          </cell>
          <cell r="I398">
            <v>443981.84</v>
          </cell>
          <cell r="J398">
            <v>443981.84</v>
          </cell>
          <cell r="K398">
            <v>27.7</v>
          </cell>
          <cell r="L398" t="str">
            <v>TIIU2096562</v>
          </cell>
          <cell r="M398">
            <v>4</v>
          </cell>
          <cell r="N398" t="str">
            <v>40HQ</v>
          </cell>
          <cell r="O398">
            <v>2</v>
          </cell>
          <cell r="P398">
            <v>45530</v>
          </cell>
          <cell r="Q398">
            <v>45532</v>
          </cell>
          <cell r="R398" t="str">
            <v>水</v>
          </cell>
          <cell r="S398" t="str">
            <v>AM8:30</v>
          </cell>
        </row>
        <row r="399">
          <cell r="A399">
            <v>8548</v>
          </cell>
          <cell r="B399" t="str">
            <v>川瀬 有里</v>
          </cell>
          <cell r="C399" t="str">
            <v>KONOIKE</v>
          </cell>
          <cell r="D399">
            <v>45526</v>
          </cell>
          <cell r="E399" t="str">
            <v>24T0810</v>
          </cell>
          <cell r="F399" t="str">
            <v>I000013252</v>
          </cell>
          <cell r="G399">
            <v>0</v>
          </cell>
          <cell r="H399" t="str">
            <v>41362489660</v>
          </cell>
          <cell r="I399">
            <v>741702.5</v>
          </cell>
          <cell r="J399">
            <v>741702.5</v>
          </cell>
          <cell r="K399">
            <v>62.06</v>
          </cell>
          <cell r="L399" t="str">
            <v>WHSU6751290</v>
          </cell>
          <cell r="M399">
            <v>4</v>
          </cell>
          <cell r="N399" t="str">
            <v>40HQ</v>
          </cell>
          <cell r="O399">
            <v>2</v>
          </cell>
          <cell r="P399">
            <v>45531</v>
          </cell>
          <cell r="Q399">
            <v>45533</v>
          </cell>
          <cell r="R399" t="str">
            <v>木</v>
          </cell>
          <cell r="S399" t="str">
            <v>AM8:00</v>
          </cell>
        </row>
        <row r="400">
          <cell r="A400">
            <v>8549</v>
          </cell>
          <cell r="B400" t="str">
            <v>川瀬 有里</v>
          </cell>
          <cell r="C400" t="str">
            <v>KONOIKE</v>
          </cell>
          <cell r="D400">
            <v>45526</v>
          </cell>
          <cell r="E400" t="str">
            <v>24T0812</v>
          </cell>
          <cell r="F400" t="str">
            <v>I000013259</v>
          </cell>
          <cell r="G400">
            <v>0</v>
          </cell>
          <cell r="H400" t="str">
            <v>41362489660</v>
          </cell>
          <cell r="I400">
            <v>937151.5</v>
          </cell>
          <cell r="J400">
            <v>937151.5</v>
          </cell>
          <cell r="K400">
            <v>60.4</v>
          </cell>
          <cell r="L400" t="str">
            <v>WHSU6622179</v>
          </cell>
          <cell r="M400">
            <v>4</v>
          </cell>
          <cell r="N400" t="str">
            <v>40HQ</v>
          </cell>
          <cell r="O400">
            <v>2</v>
          </cell>
          <cell r="P400">
            <v>45531</v>
          </cell>
          <cell r="Q400">
            <v>45533</v>
          </cell>
          <cell r="R400" t="str">
            <v>木</v>
          </cell>
          <cell r="S400" t="str">
            <v>AM8:00</v>
          </cell>
        </row>
        <row r="401">
          <cell r="A401">
            <v>8550</v>
          </cell>
          <cell r="B401" t="str">
            <v>川瀬 有里</v>
          </cell>
          <cell r="C401" t="str">
            <v>KONOIKE</v>
          </cell>
          <cell r="D401">
            <v>45526</v>
          </cell>
          <cell r="E401" t="str">
            <v>24T0813</v>
          </cell>
          <cell r="F401" t="str">
            <v>I000013271</v>
          </cell>
          <cell r="G401">
            <v>0</v>
          </cell>
          <cell r="H401" t="str">
            <v>41362489660</v>
          </cell>
          <cell r="I401">
            <v>906859.62</v>
          </cell>
          <cell r="J401">
            <v>906859.62</v>
          </cell>
          <cell r="K401">
            <v>63.23</v>
          </cell>
          <cell r="L401" t="str">
            <v>WHSU6420898</v>
          </cell>
          <cell r="M401">
            <v>4</v>
          </cell>
          <cell r="N401" t="str">
            <v>40HQ</v>
          </cell>
          <cell r="O401">
            <v>2</v>
          </cell>
          <cell r="P401">
            <v>45531</v>
          </cell>
          <cell r="Q401">
            <v>45533</v>
          </cell>
          <cell r="R401" t="str">
            <v>木</v>
          </cell>
          <cell r="S401" t="str">
            <v>AM8:00</v>
          </cell>
        </row>
        <row r="402">
          <cell r="A402">
            <v>8551</v>
          </cell>
          <cell r="B402" t="str">
            <v>川瀬 有里</v>
          </cell>
          <cell r="C402" t="str">
            <v>TRADIA</v>
          </cell>
          <cell r="D402">
            <v>45526</v>
          </cell>
          <cell r="E402" t="str">
            <v>24K0814</v>
          </cell>
          <cell r="F402" t="str">
            <v>I000013272</v>
          </cell>
          <cell r="G402">
            <v>0</v>
          </cell>
          <cell r="H402" t="str">
            <v>41362815200</v>
          </cell>
          <cell r="I402">
            <v>493176.92</v>
          </cell>
          <cell r="J402">
            <v>493176.92</v>
          </cell>
          <cell r="K402">
            <v>28.43</v>
          </cell>
          <cell r="L402" t="str">
            <v>FYCU7226049</v>
          </cell>
          <cell r="M402">
            <v>4</v>
          </cell>
          <cell r="N402" t="str">
            <v>20’</v>
          </cell>
          <cell r="O402">
            <v>2</v>
          </cell>
          <cell r="P402">
            <v>45533</v>
          </cell>
          <cell r="Q402">
            <v>45537</v>
          </cell>
          <cell r="R402" t="str">
            <v>月</v>
          </cell>
          <cell r="S402" t="str">
            <v>AM8:30</v>
          </cell>
        </row>
        <row r="403">
          <cell r="A403">
            <v>8552</v>
          </cell>
          <cell r="B403" t="str">
            <v>川瀬 有里</v>
          </cell>
          <cell r="C403" t="str">
            <v>TRADIA</v>
          </cell>
          <cell r="D403">
            <v>45526</v>
          </cell>
          <cell r="E403" t="str">
            <v>24K0811</v>
          </cell>
          <cell r="F403" t="str">
            <v>I000013245</v>
          </cell>
          <cell r="G403">
            <v>0</v>
          </cell>
          <cell r="H403" t="str">
            <v>41362815200</v>
          </cell>
          <cell r="I403">
            <v>558154.96</v>
          </cell>
          <cell r="J403">
            <v>558154.96</v>
          </cell>
          <cell r="K403">
            <v>27.84</v>
          </cell>
          <cell r="L403" t="str">
            <v>TSSU2255181</v>
          </cell>
          <cell r="M403">
            <v>4</v>
          </cell>
          <cell r="N403" t="str">
            <v>20’</v>
          </cell>
          <cell r="O403">
            <v>2</v>
          </cell>
          <cell r="P403">
            <v>45533</v>
          </cell>
          <cell r="Q403">
            <v>45537</v>
          </cell>
          <cell r="R403" t="str">
            <v>月</v>
          </cell>
          <cell r="S403" t="str">
            <v>AM8:30</v>
          </cell>
        </row>
        <row r="404">
          <cell r="A404">
            <v>8553</v>
          </cell>
          <cell r="B404" t="str">
            <v>川瀬 有里</v>
          </cell>
          <cell r="C404" t="str">
            <v>TRADIA</v>
          </cell>
          <cell r="D404">
            <v>45526</v>
          </cell>
          <cell r="E404" t="str">
            <v>24K0812</v>
          </cell>
          <cell r="F404" t="str">
            <v>I000013251</v>
          </cell>
          <cell r="G404">
            <v>0</v>
          </cell>
          <cell r="H404" t="str">
            <v>41362815200</v>
          </cell>
          <cell r="I404">
            <v>459760.36</v>
          </cell>
          <cell r="J404">
            <v>459760.36</v>
          </cell>
          <cell r="K404">
            <v>26.03</v>
          </cell>
          <cell r="L404" t="str">
            <v>TIIU2290393</v>
          </cell>
          <cell r="M404">
            <v>4</v>
          </cell>
          <cell r="N404" t="str">
            <v>20’</v>
          </cell>
          <cell r="O404">
            <v>2</v>
          </cell>
          <cell r="P404">
            <v>45533</v>
          </cell>
          <cell r="Q404">
            <v>45537</v>
          </cell>
          <cell r="R404" t="str">
            <v>月</v>
          </cell>
          <cell r="S404" t="str">
            <v>AM8:30</v>
          </cell>
        </row>
        <row r="405">
          <cell r="A405">
            <v>8554</v>
          </cell>
          <cell r="B405" t="str">
            <v>川瀬 有里</v>
          </cell>
          <cell r="C405" t="str">
            <v>TRADIA</v>
          </cell>
          <cell r="D405">
            <v>45526</v>
          </cell>
          <cell r="E405" t="str">
            <v>24K0863-1</v>
          </cell>
          <cell r="F405" t="str">
            <v>I000013275</v>
          </cell>
          <cell r="G405">
            <v>0</v>
          </cell>
          <cell r="H405" t="str">
            <v>40381814860</v>
          </cell>
          <cell r="I405">
            <v>128013.97</v>
          </cell>
          <cell r="J405">
            <v>128013.97</v>
          </cell>
          <cell r="K405">
            <v>0.66</v>
          </cell>
          <cell r="M405">
            <v>3</v>
          </cell>
          <cell r="N405" t="str">
            <v>AIR</v>
          </cell>
          <cell r="O405">
            <v>2</v>
          </cell>
          <cell r="Q405">
            <v>45530</v>
          </cell>
          <cell r="R405" t="str">
            <v>月</v>
          </cell>
          <cell r="S405" t="str">
            <v>AM8:30</v>
          </cell>
        </row>
        <row r="406">
          <cell r="A406">
            <v>8555</v>
          </cell>
          <cell r="B406" t="str">
            <v>川瀬 有里</v>
          </cell>
          <cell r="C406" t="str">
            <v>TRADIA</v>
          </cell>
          <cell r="D406">
            <v>45526</v>
          </cell>
          <cell r="E406" t="str">
            <v>24K0863-2</v>
          </cell>
          <cell r="F406" t="str">
            <v>K807/24</v>
          </cell>
          <cell r="G406">
            <v>0</v>
          </cell>
          <cell r="H406" t="str">
            <v>40381814860</v>
          </cell>
          <cell r="I406">
            <v>207.2</v>
          </cell>
          <cell r="J406">
            <v>207.2</v>
          </cell>
          <cell r="K406">
            <v>0.05</v>
          </cell>
          <cell r="M406">
            <v>3</v>
          </cell>
          <cell r="N406" t="str">
            <v>AIR</v>
          </cell>
          <cell r="O406">
            <v>2</v>
          </cell>
          <cell r="Q406">
            <v>45530</v>
          </cell>
          <cell r="R406" t="str">
            <v>月</v>
          </cell>
          <cell r="S406" t="str">
            <v>AM8:30</v>
          </cell>
        </row>
        <row r="407">
          <cell r="A407">
            <v>8556</v>
          </cell>
          <cell r="B407" t="str">
            <v>川瀬 有里</v>
          </cell>
          <cell r="C407" t="str">
            <v>KONOIKE</v>
          </cell>
          <cell r="D407">
            <v>45527</v>
          </cell>
          <cell r="E407" t="str">
            <v>24T0814</v>
          </cell>
          <cell r="F407" t="str">
            <v>I000013276</v>
          </cell>
          <cell r="G407">
            <v>0</v>
          </cell>
          <cell r="H407" t="str">
            <v>11662454150</v>
          </cell>
          <cell r="I407">
            <v>569460.69999999995</v>
          </cell>
          <cell r="J407">
            <v>569460.69999999995</v>
          </cell>
          <cell r="K407">
            <v>63.59</v>
          </cell>
          <cell r="L407" t="str">
            <v>WHSU6743951</v>
          </cell>
          <cell r="M407">
            <v>4</v>
          </cell>
          <cell r="N407" t="str">
            <v>40HQ</v>
          </cell>
          <cell r="O407">
            <v>5</v>
          </cell>
          <cell r="P407">
            <v>45535</v>
          </cell>
          <cell r="Q407">
            <v>45539</v>
          </cell>
          <cell r="R407" t="str">
            <v>水</v>
          </cell>
          <cell r="S407" t="str">
            <v>AM8:00</v>
          </cell>
        </row>
        <row r="408">
          <cell r="A408">
            <v>8557</v>
          </cell>
          <cell r="B408" t="str">
            <v>川瀬 有里</v>
          </cell>
          <cell r="C408" t="str">
            <v>TRADIA</v>
          </cell>
          <cell r="D408">
            <v>45527</v>
          </cell>
          <cell r="E408" t="str">
            <v>24P0805</v>
          </cell>
          <cell r="F408" t="str">
            <v>I000013260</v>
          </cell>
          <cell r="G408">
            <v>0</v>
          </cell>
          <cell r="H408" t="str">
            <v>41364366950</v>
          </cell>
          <cell r="I408">
            <v>438875.4</v>
          </cell>
          <cell r="J408">
            <v>438875.4</v>
          </cell>
          <cell r="K408">
            <v>66.53</v>
          </cell>
          <cell r="L408" t="str">
            <v>WHSU6348598</v>
          </cell>
          <cell r="N408" t="str">
            <v>40HQ</v>
          </cell>
          <cell r="O408">
            <v>2</v>
          </cell>
          <cell r="P408">
            <v>45532</v>
          </cell>
          <cell r="Q408">
            <v>45547</v>
          </cell>
          <cell r="R408" t="str">
            <v>木</v>
          </cell>
          <cell r="S408" t="str">
            <v>AM8:30</v>
          </cell>
        </row>
        <row r="409">
          <cell r="A409">
            <v>8558</v>
          </cell>
          <cell r="B409" t="str">
            <v>川瀬 有里</v>
          </cell>
          <cell r="C409" t="str">
            <v>TRADIA</v>
          </cell>
          <cell r="D409">
            <v>45527</v>
          </cell>
          <cell r="E409" t="str">
            <v>24P0806</v>
          </cell>
          <cell r="F409" t="str">
            <v>I000013277</v>
          </cell>
          <cell r="G409">
            <v>0</v>
          </cell>
          <cell r="H409" t="str">
            <v>21567333640</v>
          </cell>
          <cell r="I409">
            <v>403119.72</v>
          </cell>
          <cell r="J409">
            <v>403119.72</v>
          </cell>
          <cell r="K409">
            <v>65.88</v>
          </cell>
          <cell r="L409" t="str">
            <v>WHSU6333140</v>
          </cell>
          <cell r="M409">
            <v>11</v>
          </cell>
          <cell r="N409" t="str">
            <v>40HQ</v>
          </cell>
          <cell r="O409">
            <v>4</v>
          </cell>
          <cell r="P409">
            <v>45532</v>
          </cell>
          <cell r="Q409">
            <v>45552</v>
          </cell>
          <cell r="R409" t="str">
            <v>月</v>
          </cell>
          <cell r="S409" t="str">
            <v>AM7:30</v>
          </cell>
        </row>
        <row r="410">
          <cell r="A410">
            <v>8559</v>
          </cell>
          <cell r="B410" t="str">
            <v>川瀬 有里</v>
          </cell>
          <cell r="C410" t="str">
            <v>TRADIA</v>
          </cell>
          <cell r="D410">
            <v>45527</v>
          </cell>
          <cell r="E410" t="str">
            <v>24K0858</v>
          </cell>
          <cell r="F410" t="str">
            <v>K769/24</v>
          </cell>
          <cell r="G410">
            <v>0</v>
          </cell>
          <cell r="H410" t="str">
            <v>31415975240</v>
          </cell>
          <cell r="I410">
            <v>317520</v>
          </cell>
          <cell r="J410">
            <v>317520</v>
          </cell>
          <cell r="K410">
            <v>7.58</v>
          </cell>
          <cell r="L410" t="str">
            <v>WHSU5665556</v>
          </cell>
          <cell r="M410">
            <v>3</v>
          </cell>
          <cell r="N410" t="str">
            <v>40HQ</v>
          </cell>
          <cell r="O410">
            <v>1</v>
          </cell>
          <cell r="P410">
            <v>45527</v>
          </cell>
          <cell r="Q410">
            <v>45531</v>
          </cell>
          <cell r="R410" t="str">
            <v>火</v>
          </cell>
          <cell r="S410" t="str">
            <v>AM8:30</v>
          </cell>
        </row>
        <row r="411">
          <cell r="A411">
            <v>8560</v>
          </cell>
          <cell r="B411" t="str">
            <v>川瀬 有里</v>
          </cell>
          <cell r="C411" t="str">
            <v>TRADIA</v>
          </cell>
          <cell r="D411">
            <v>45527</v>
          </cell>
          <cell r="E411" t="str">
            <v>24K0861</v>
          </cell>
          <cell r="F411" t="str">
            <v>K790/24</v>
          </cell>
          <cell r="G411">
            <v>0</v>
          </cell>
          <cell r="H411" t="str">
            <v>31416952660</v>
          </cell>
          <cell r="I411">
            <v>485913.59999999998</v>
          </cell>
          <cell r="J411">
            <v>485913.59999999998</v>
          </cell>
          <cell r="K411">
            <v>15.55</v>
          </cell>
          <cell r="M411">
            <v>3</v>
          </cell>
          <cell r="N411" t="str">
            <v>CFS</v>
          </cell>
          <cell r="O411">
            <v>1</v>
          </cell>
          <cell r="P411">
            <v>45527</v>
          </cell>
          <cell r="Q411">
            <v>45531</v>
          </cell>
          <cell r="R411" t="str">
            <v>火</v>
          </cell>
          <cell r="S411" t="str">
            <v>AM8:30</v>
          </cell>
        </row>
        <row r="412">
          <cell r="A412">
            <v>8561</v>
          </cell>
          <cell r="B412" t="str">
            <v>川瀬 有里</v>
          </cell>
          <cell r="C412" t="str">
            <v>KONOIKE</v>
          </cell>
          <cell r="D412">
            <v>45531</v>
          </cell>
          <cell r="E412" t="str">
            <v>24T0815</v>
          </cell>
          <cell r="F412" t="str">
            <v>I000013279</v>
          </cell>
          <cell r="G412">
            <v>0</v>
          </cell>
          <cell r="H412" t="str">
            <v>41363306820</v>
          </cell>
          <cell r="I412">
            <v>783861.92</v>
          </cell>
          <cell r="J412">
            <v>783861.92</v>
          </cell>
          <cell r="K412">
            <v>64.989999999999995</v>
          </cell>
          <cell r="L412" t="str">
            <v>WHSU6331110</v>
          </cell>
          <cell r="M412">
            <v>4</v>
          </cell>
          <cell r="N412" t="str">
            <v>40HQ</v>
          </cell>
          <cell r="O412">
            <v>2</v>
          </cell>
          <cell r="P412">
            <v>45537</v>
          </cell>
          <cell r="Q412">
            <v>45539</v>
          </cell>
          <cell r="R412" t="str">
            <v>水</v>
          </cell>
          <cell r="S412" t="str">
            <v>AM8:00</v>
          </cell>
        </row>
        <row r="413">
          <cell r="A413">
            <v>8562</v>
          </cell>
          <cell r="B413" t="str">
            <v>川瀬 有里</v>
          </cell>
          <cell r="C413" t="str">
            <v>KONOIKE</v>
          </cell>
          <cell r="D413">
            <v>45531</v>
          </cell>
          <cell r="E413" t="str">
            <v>24T0816</v>
          </cell>
          <cell r="F413" t="str">
            <v>I000013280</v>
          </cell>
          <cell r="G413">
            <v>0</v>
          </cell>
          <cell r="H413" t="str">
            <v>41363306820</v>
          </cell>
          <cell r="I413">
            <v>883598.98</v>
          </cell>
          <cell r="J413">
            <v>883598.98</v>
          </cell>
          <cell r="K413">
            <v>62.04</v>
          </cell>
          <cell r="L413" t="str">
            <v>WHSU5044950</v>
          </cell>
          <cell r="M413">
            <v>4</v>
          </cell>
          <cell r="N413" t="str">
            <v>40HQ</v>
          </cell>
          <cell r="O413">
            <v>2</v>
          </cell>
          <cell r="P413">
            <v>45537</v>
          </cell>
          <cell r="Q413">
            <v>45539</v>
          </cell>
          <cell r="R413" t="str">
            <v>水</v>
          </cell>
          <cell r="S413" t="str">
            <v>AM8:00</v>
          </cell>
        </row>
        <row r="414">
          <cell r="A414">
            <v>8563</v>
          </cell>
          <cell r="B414" t="str">
            <v>川瀬 有里</v>
          </cell>
          <cell r="C414" t="str">
            <v>KONOIKE</v>
          </cell>
          <cell r="D414">
            <v>45531</v>
          </cell>
          <cell r="E414" t="str">
            <v>24T0817</v>
          </cell>
          <cell r="F414" t="str">
            <v>I000013288</v>
          </cell>
          <cell r="G414">
            <v>0</v>
          </cell>
          <cell r="H414" t="str">
            <v>41363306820</v>
          </cell>
          <cell r="I414">
            <v>704807.59</v>
          </cell>
          <cell r="J414">
            <v>704807.59</v>
          </cell>
          <cell r="K414">
            <v>63.76</v>
          </cell>
          <cell r="L414" t="str">
            <v>WHSU6514003</v>
          </cell>
          <cell r="M414">
            <v>4</v>
          </cell>
          <cell r="N414" t="str">
            <v>40HQ</v>
          </cell>
          <cell r="O414">
            <v>2</v>
          </cell>
          <cell r="P414">
            <v>45537</v>
          </cell>
          <cell r="Q414">
            <v>45539</v>
          </cell>
          <cell r="R414" t="str">
            <v>水</v>
          </cell>
          <cell r="S414" t="str">
            <v>AM8:00</v>
          </cell>
        </row>
        <row r="415">
          <cell r="A415">
            <v>8564</v>
          </cell>
          <cell r="B415" t="str">
            <v>川瀬 有里</v>
          </cell>
          <cell r="C415" t="str">
            <v>TRADIA</v>
          </cell>
          <cell r="D415">
            <v>45533</v>
          </cell>
          <cell r="E415" t="str">
            <v>24K0863</v>
          </cell>
          <cell r="F415" t="str">
            <v>K807/24</v>
          </cell>
          <cell r="G415">
            <v>0</v>
          </cell>
          <cell r="H415" t="str">
            <v>40381814860</v>
          </cell>
          <cell r="I415">
            <v>207.2</v>
          </cell>
          <cell r="J415">
            <v>207.2</v>
          </cell>
          <cell r="K415">
            <v>0.05</v>
          </cell>
          <cell r="M415">
            <v>3</v>
          </cell>
          <cell r="N415" t="str">
            <v>AIR</v>
          </cell>
          <cell r="O415">
            <v>2</v>
          </cell>
          <cell r="Q415">
            <v>45533</v>
          </cell>
          <cell r="R415" t="str">
            <v>木</v>
          </cell>
          <cell r="S415" t="str">
            <v>AM8:30</v>
          </cell>
        </row>
        <row r="416">
          <cell r="A416">
            <v>8565</v>
          </cell>
          <cell r="B416" t="str">
            <v>川瀬 有里</v>
          </cell>
          <cell r="C416" t="str">
            <v>TRADIA</v>
          </cell>
          <cell r="D416">
            <v>45533</v>
          </cell>
          <cell r="E416" t="str">
            <v>24P0807</v>
          </cell>
          <cell r="F416" t="str">
            <v>I000013283</v>
          </cell>
          <cell r="G416">
            <v>0</v>
          </cell>
          <cell r="H416" t="str">
            <v>41364716950</v>
          </cell>
          <cell r="I416">
            <v>460347.54</v>
          </cell>
          <cell r="J416">
            <v>460347.54</v>
          </cell>
          <cell r="K416">
            <v>64.400000000000006</v>
          </cell>
          <cell r="L416" t="str">
            <v>EGHU8226208</v>
          </cell>
          <cell r="N416" t="str">
            <v>40HQ</v>
          </cell>
          <cell r="O416">
            <v>2</v>
          </cell>
          <cell r="P416">
            <v>45539</v>
          </cell>
          <cell r="Q416">
            <v>45552</v>
          </cell>
          <cell r="R416" t="str">
            <v>火</v>
          </cell>
          <cell r="S416" t="str">
            <v>AM9:30</v>
          </cell>
        </row>
        <row r="417">
          <cell r="A417">
            <v>8566</v>
          </cell>
          <cell r="B417" t="str">
            <v>川瀬 有里</v>
          </cell>
          <cell r="C417" t="str">
            <v>TRADIA</v>
          </cell>
          <cell r="D417">
            <v>45533</v>
          </cell>
          <cell r="E417" t="str">
            <v>24P0808</v>
          </cell>
          <cell r="F417" t="str">
            <v>I000013295</v>
          </cell>
          <cell r="G417">
            <v>0</v>
          </cell>
          <cell r="H417" t="str">
            <v>21568161410</v>
          </cell>
          <cell r="I417">
            <v>445721.94</v>
          </cell>
          <cell r="J417">
            <v>445721.94</v>
          </cell>
          <cell r="K417">
            <v>64.62</v>
          </cell>
          <cell r="L417" t="str">
            <v>TLLU7586348</v>
          </cell>
          <cell r="M417">
            <v>11</v>
          </cell>
          <cell r="N417" t="str">
            <v>40HQ</v>
          </cell>
          <cell r="O417">
            <v>4</v>
          </cell>
          <cell r="P417">
            <v>45542</v>
          </cell>
          <cell r="Q417">
            <v>45560</v>
          </cell>
          <cell r="R417" t="str">
            <v>水</v>
          </cell>
          <cell r="S417" t="str">
            <v>AM7:30</v>
          </cell>
        </row>
        <row r="418">
          <cell r="A418">
            <v>8567</v>
          </cell>
          <cell r="B418" t="str">
            <v>川瀬 有里</v>
          </cell>
          <cell r="C418" t="str">
            <v>TRADIA</v>
          </cell>
          <cell r="D418">
            <v>45533</v>
          </cell>
          <cell r="E418" t="str">
            <v>24K0815-1</v>
          </cell>
          <cell r="F418" t="str">
            <v>I000013282</v>
          </cell>
          <cell r="G418">
            <v>0</v>
          </cell>
          <cell r="H418" t="str">
            <v>41364239810</v>
          </cell>
          <cell r="I418">
            <v>424431.18</v>
          </cell>
          <cell r="J418">
            <v>424431.18</v>
          </cell>
          <cell r="K418">
            <v>24.87</v>
          </cell>
          <cell r="L418" t="str">
            <v>WHSU0048058</v>
          </cell>
          <cell r="M418">
            <v>3</v>
          </cell>
          <cell r="N418" t="str">
            <v>20’</v>
          </cell>
          <cell r="O418">
            <v>2</v>
          </cell>
          <cell r="P418">
            <v>45537</v>
          </cell>
          <cell r="Q418">
            <v>45539</v>
          </cell>
          <cell r="R418" t="str">
            <v>水</v>
          </cell>
          <cell r="S418" t="str">
            <v>AM8:30</v>
          </cell>
        </row>
        <row r="419">
          <cell r="A419">
            <v>8568</v>
          </cell>
          <cell r="B419" t="str">
            <v>川瀬 有里</v>
          </cell>
          <cell r="C419" t="str">
            <v>TRADIA</v>
          </cell>
          <cell r="D419">
            <v>45533</v>
          </cell>
          <cell r="E419" t="str">
            <v>24K0816</v>
          </cell>
          <cell r="F419" t="str">
            <v>I000013289</v>
          </cell>
          <cell r="G419">
            <v>0</v>
          </cell>
          <cell r="H419" t="str">
            <v>41364239810</v>
          </cell>
          <cell r="I419">
            <v>501627.58</v>
          </cell>
          <cell r="J419">
            <v>501627.58</v>
          </cell>
          <cell r="K419">
            <v>29.47</v>
          </cell>
          <cell r="L419" t="str">
            <v>WHSU2746910</v>
          </cell>
          <cell r="M419">
            <v>3</v>
          </cell>
          <cell r="N419" t="str">
            <v>20’</v>
          </cell>
          <cell r="O419">
            <v>2</v>
          </cell>
          <cell r="P419">
            <v>45537</v>
          </cell>
          <cell r="Q419">
            <v>45539</v>
          </cell>
          <cell r="R419" t="str">
            <v>水</v>
          </cell>
          <cell r="S419" t="str">
            <v>AM8:30</v>
          </cell>
        </row>
        <row r="420">
          <cell r="A420">
            <v>8569</v>
          </cell>
          <cell r="B420" t="str">
            <v>川瀬 有里</v>
          </cell>
          <cell r="C420" t="str">
            <v>TRADIA</v>
          </cell>
          <cell r="D420">
            <v>45533</v>
          </cell>
          <cell r="E420" t="str">
            <v>24K0817</v>
          </cell>
          <cell r="F420" t="str">
            <v>I000013291</v>
          </cell>
          <cell r="G420">
            <v>0</v>
          </cell>
          <cell r="H420" t="str">
            <v>41366536840</v>
          </cell>
          <cell r="I420">
            <v>279955.44</v>
          </cell>
          <cell r="J420">
            <v>279955.44</v>
          </cell>
          <cell r="K420">
            <v>24.1</v>
          </cell>
          <cell r="L420" t="str">
            <v>DRYU2988649</v>
          </cell>
          <cell r="M420">
            <v>3</v>
          </cell>
          <cell r="N420" t="str">
            <v>20’</v>
          </cell>
          <cell r="O420">
            <v>2</v>
          </cell>
          <cell r="P420">
            <v>45538</v>
          </cell>
          <cell r="Q420">
            <v>45540</v>
          </cell>
          <cell r="R420" t="str">
            <v>木</v>
          </cell>
          <cell r="S420" t="str">
            <v>AM8:30</v>
          </cell>
        </row>
        <row r="421">
          <cell r="A421">
            <v>8570</v>
          </cell>
          <cell r="B421" t="str">
            <v>川瀬 有里</v>
          </cell>
          <cell r="C421" t="str">
            <v>TRADIA</v>
          </cell>
          <cell r="D421">
            <v>45533</v>
          </cell>
          <cell r="E421" t="str">
            <v>24K0818</v>
          </cell>
          <cell r="F421" t="str">
            <v>I000013296</v>
          </cell>
          <cell r="G421">
            <v>0</v>
          </cell>
          <cell r="H421" t="str">
            <v>41366536840</v>
          </cell>
          <cell r="I421">
            <v>398786.52</v>
          </cell>
          <cell r="J421">
            <v>398786.52</v>
          </cell>
          <cell r="K421">
            <v>26.49</v>
          </cell>
          <cell r="L421" t="str">
            <v>EGSU3435600</v>
          </cell>
          <cell r="M421">
            <v>3</v>
          </cell>
          <cell r="N421" t="str">
            <v>20’</v>
          </cell>
          <cell r="O421">
            <v>2</v>
          </cell>
          <cell r="P421">
            <v>45538</v>
          </cell>
          <cell r="Q421">
            <v>45540</v>
          </cell>
          <cell r="R421" t="str">
            <v>木</v>
          </cell>
          <cell r="S421" t="str">
            <v>AM8:30</v>
          </cell>
        </row>
        <row r="422">
          <cell r="A422">
            <v>8571</v>
          </cell>
          <cell r="B422" t="str">
            <v>川瀬 有里</v>
          </cell>
          <cell r="C422" t="str">
            <v>TRADIA</v>
          </cell>
          <cell r="D422">
            <v>45537</v>
          </cell>
          <cell r="E422" t="str">
            <v>24K0864</v>
          </cell>
          <cell r="F422" t="str">
            <v>I000013270</v>
          </cell>
          <cell r="G422">
            <v>0</v>
          </cell>
          <cell r="H422" t="str">
            <v>30041983410</v>
          </cell>
          <cell r="I422">
            <v>1700</v>
          </cell>
          <cell r="J422">
            <v>1700</v>
          </cell>
          <cell r="K422">
            <v>0.01</v>
          </cell>
          <cell r="M422">
            <v>3</v>
          </cell>
          <cell r="N422" t="str">
            <v>AIR</v>
          </cell>
          <cell r="O422">
            <v>2</v>
          </cell>
          <cell r="Q422">
            <v>45525</v>
          </cell>
          <cell r="R422" t="str">
            <v>水</v>
          </cell>
        </row>
        <row r="423">
          <cell r="A423">
            <v>8572</v>
          </cell>
          <cell r="B423" t="str">
            <v>川瀬 有里</v>
          </cell>
          <cell r="C423" t="str">
            <v>KONOIKE</v>
          </cell>
          <cell r="D423">
            <v>45538</v>
          </cell>
          <cell r="E423" t="str">
            <v>24T0818</v>
          </cell>
          <cell r="F423" t="str">
            <v>I000013298</v>
          </cell>
          <cell r="G423">
            <v>0</v>
          </cell>
          <cell r="H423" t="str">
            <v>11664825051</v>
          </cell>
          <cell r="I423">
            <v>571078.74</v>
          </cell>
          <cell r="J423">
            <v>571078.74</v>
          </cell>
          <cell r="K423">
            <v>63.42</v>
          </cell>
          <cell r="L423" t="str">
            <v>WHSU6782705</v>
          </cell>
          <cell r="M423">
            <v>4</v>
          </cell>
          <cell r="N423" t="str">
            <v>40HQ</v>
          </cell>
          <cell r="O423">
            <v>5</v>
          </cell>
          <cell r="P423">
            <v>45544</v>
          </cell>
          <cell r="Q423">
            <v>45546</v>
          </cell>
          <cell r="R423" t="str">
            <v>水</v>
          </cell>
          <cell r="S423" t="str">
            <v>AM8:00</v>
          </cell>
        </row>
        <row r="424">
          <cell r="A424">
            <v>8573</v>
          </cell>
          <cell r="B424" t="str">
            <v>川瀬 有里</v>
          </cell>
          <cell r="C424" t="str">
            <v>KONOIKE</v>
          </cell>
          <cell r="D424">
            <v>45538</v>
          </cell>
          <cell r="E424" t="str">
            <v>24T0819</v>
          </cell>
          <cell r="F424" t="str">
            <v>I000013305</v>
          </cell>
          <cell r="G424">
            <v>0</v>
          </cell>
          <cell r="H424" t="str">
            <v>41366135960</v>
          </cell>
          <cell r="I424">
            <v>618308.15</v>
          </cell>
          <cell r="J424">
            <v>618308.15</v>
          </cell>
          <cell r="K424">
            <v>67.400000000000006</v>
          </cell>
          <cell r="L424" t="str">
            <v>WHSU6642010</v>
          </cell>
          <cell r="M424">
            <v>4</v>
          </cell>
          <cell r="N424" t="str">
            <v>40HQ</v>
          </cell>
          <cell r="O424">
            <v>2</v>
          </cell>
          <cell r="P424">
            <v>45544</v>
          </cell>
          <cell r="Q424">
            <v>45546</v>
          </cell>
          <cell r="R424" t="str">
            <v>水</v>
          </cell>
          <cell r="S424" t="str">
            <v>AM8:00</v>
          </cell>
        </row>
        <row r="425">
          <cell r="A425">
            <v>8574</v>
          </cell>
          <cell r="B425" t="str">
            <v>川瀬 有里</v>
          </cell>
          <cell r="C425" t="str">
            <v>KONOIKE</v>
          </cell>
          <cell r="D425">
            <v>45538</v>
          </cell>
          <cell r="E425" t="str">
            <v>24T0820</v>
          </cell>
          <cell r="F425" t="str">
            <v>I000013310</v>
          </cell>
          <cell r="G425">
            <v>0</v>
          </cell>
          <cell r="H425" t="str">
            <v>11663940510</v>
          </cell>
          <cell r="I425">
            <v>611830</v>
          </cell>
          <cell r="J425">
            <v>611830</v>
          </cell>
          <cell r="K425">
            <v>64.06</v>
          </cell>
          <cell r="L425" t="str">
            <v>WHSU6912141</v>
          </cell>
          <cell r="M425">
            <v>4</v>
          </cell>
          <cell r="N425" t="str">
            <v>40HQ</v>
          </cell>
          <cell r="O425">
            <v>5</v>
          </cell>
          <cell r="P425">
            <v>45544</v>
          </cell>
          <cell r="Q425">
            <v>45546</v>
          </cell>
          <cell r="R425" t="str">
            <v>水</v>
          </cell>
          <cell r="S425" t="str">
            <v>AM8:00</v>
          </cell>
        </row>
        <row r="426">
          <cell r="A426">
            <v>8575</v>
          </cell>
          <cell r="B426" t="str">
            <v>川瀬 有里</v>
          </cell>
          <cell r="C426" t="str">
            <v>TRADIA</v>
          </cell>
          <cell r="D426">
            <v>45538</v>
          </cell>
          <cell r="E426" t="str">
            <v>24K0821</v>
          </cell>
          <cell r="F426" t="str">
            <v>I000013311</v>
          </cell>
          <cell r="G426">
            <v>0</v>
          </cell>
          <cell r="H426" t="str">
            <v>41366155560</v>
          </cell>
          <cell r="I426">
            <v>411907.38</v>
          </cell>
          <cell r="J426">
            <v>411907.38</v>
          </cell>
          <cell r="K426">
            <v>26.79</v>
          </cell>
          <cell r="L426" t="str">
            <v>FCIU5427150</v>
          </cell>
          <cell r="M426">
            <v>3</v>
          </cell>
          <cell r="N426" t="str">
            <v>20’</v>
          </cell>
          <cell r="O426">
            <v>2</v>
          </cell>
          <cell r="P426">
            <v>45542</v>
          </cell>
          <cell r="Q426">
            <v>45546</v>
          </cell>
          <cell r="R426" t="str">
            <v>水</v>
          </cell>
          <cell r="S426" t="str">
            <v>AM8:30</v>
          </cell>
        </row>
        <row r="427">
          <cell r="A427">
            <v>8576</v>
          </cell>
          <cell r="B427" t="str">
            <v>川瀬 有里</v>
          </cell>
          <cell r="C427" t="str">
            <v>TRADIA</v>
          </cell>
          <cell r="D427">
            <v>45538</v>
          </cell>
          <cell r="E427" t="str">
            <v>24K0819</v>
          </cell>
          <cell r="F427" t="str">
            <v>I000013301</v>
          </cell>
          <cell r="G427">
            <v>0</v>
          </cell>
          <cell r="H427" t="str">
            <v>41366155560</v>
          </cell>
          <cell r="I427">
            <v>315293.42</v>
          </cell>
          <cell r="J427">
            <v>315293.42</v>
          </cell>
          <cell r="K427">
            <v>24.44</v>
          </cell>
          <cell r="L427" t="str">
            <v>EGHU3912720</v>
          </cell>
          <cell r="M427">
            <v>3</v>
          </cell>
          <cell r="N427" t="str">
            <v>20’</v>
          </cell>
          <cell r="O427">
            <v>2</v>
          </cell>
          <cell r="P427">
            <v>45542</v>
          </cell>
          <cell r="Q427">
            <v>45546</v>
          </cell>
          <cell r="R427" t="str">
            <v>水</v>
          </cell>
          <cell r="S427" t="str">
            <v>AM8:30</v>
          </cell>
        </row>
        <row r="428">
          <cell r="A428">
            <v>8577</v>
          </cell>
          <cell r="B428" t="str">
            <v>川瀬 有里</v>
          </cell>
          <cell r="C428" t="str">
            <v>TRADIA</v>
          </cell>
          <cell r="D428">
            <v>45538</v>
          </cell>
          <cell r="E428" t="str">
            <v>24K0820</v>
          </cell>
          <cell r="F428" t="str">
            <v>I000013308</v>
          </cell>
          <cell r="G428">
            <v>0</v>
          </cell>
          <cell r="H428" t="str">
            <v>41366155560</v>
          </cell>
          <cell r="I428">
            <v>367531.48</v>
          </cell>
          <cell r="J428">
            <v>367531.48</v>
          </cell>
          <cell r="K428">
            <v>25.54</v>
          </cell>
          <cell r="L428" t="str">
            <v>EMCU6386120</v>
          </cell>
          <cell r="M428">
            <v>3</v>
          </cell>
          <cell r="N428" t="str">
            <v>20’</v>
          </cell>
          <cell r="O428">
            <v>2</v>
          </cell>
          <cell r="P428">
            <v>45542</v>
          </cell>
          <cell r="Q428">
            <v>45546</v>
          </cell>
          <cell r="R428" t="str">
            <v>水</v>
          </cell>
          <cell r="S428" t="str">
            <v>AM8:30</v>
          </cell>
        </row>
        <row r="429">
          <cell r="A429">
            <v>8578</v>
          </cell>
          <cell r="B429" t="str">
            <v>川瀬 有里</v>
          </cell>
          <cell r="C429" t="str">
            <v>YUSEN</v>
          </cell>
          <cell r="D429">
            <v>45538</v>
          </cell>
          <cell r="E429" t="str">
            <v>24K0822</v>
          </cell>
          <cell r="F429" t="str">
            <v>I000013312</v>
          </cell>
          <cell r="G429">
            <v>0</v>
          </cell>
          <cell r="H429" t="str">
            <v>31418425460</v>
          </cell>
          <cell r="I429">
            <v>333947.88</v>
          </cell>
          <cell r="J429">
            <v>333947.88</v>
          </cell>
          <cell r="K429">
            <v>26.93</v>
          </cell>
          <cell r="L429" t="str">
            <v>WHSU0160200</v>
          </cell>
          <cell r="M429">
            <v>3</v>
          </cell>
          <cell r="N429" t="str">
            <v>20’</v>
          </cell>
          <cell r="O429">
            <v>2</v>
          </cell>
          <cell r="P429">
            <v>45542</v>
          </cell>
          <cell r="Q429">
            <v>45546</v>
          </cell>
          <cell r="R429" t="str">
            <v>水</v>
          </cell>
          <cell r="S429" t="str">
            <v>AM8:30</v>
          </cell>
        </row>
        <row r="430">
          <cell r="A430">
            <v>8579</v>
          </cell>
          <cell r="B430" t="str">
            <v>川瀬 有里</v>
          </cell>
          <cell r="C430" t="str">
            <v>TRADIA</v>
          </cell>
          <cell r="D430">
            <v>45539</v>
          </cell>
          <cell r="E430" t="str">
            <v>24K0950</v>
          </cell>
          <cell r="F430" t="str">
            <v>K841/24</v>
          </cell>
          <cell r="G430">
            <v>0</v>
          </cell>
          <cell r="H430" t="str">
            <v>40444488330</v>
          </cell>
          <cell r="I430">
            <v>158.28</v>
          </cell>
          <cell r="J430">
            <v>158.28</v>
          </cell>
          <cell r="K430">
            <v>0.03</v>
          </cell>
          <cell r="M430">
            <v>3</v>
          </cell>
          <cell r="N430" t="str">
            <v>AIR</v>
          </cell>
          <cell r="O430">
            <v>2</v>
          </cell>
          <cell r="Q430">
            <v>45541</v>
          </cell>
          <cell r="R430" t="str">
            <v>金</v>
          </cell>
          <cell r="S430" t="str">
            <v>AM8:30</v>
          </cell>
        </row>
        <row r="431">
          <cell r="A431">
            <v>8580</v>
          </cell>
          <cell r="B431" t="str">
            <v>川瀬 有里</v>
          </cell>
          <cell r="C431" t="str">
            <v>TRADIA</v>
          </cell>
          <cell r="D431">
            <v>45539</v>
          </cell>
          <cell r="E431" t="str">
            <v>24K0901</v>
          </cell>
          <cell r="F431" t="str">
            <v>I000013316</v>
          </cell>
          <cell r="G431">
            <v>1664000</v>
          </cell>
          <cell r="H431" t="str">
            <v>41368722940</v>
          </cell>
          <cell r="I431">
            <v>388987.36</v>
          </cell>
          <cell r="J431">
            <v>388987.36</v>
          </cell>
          <cell r="K431">
            <v>27.24</v>
          </cell>
          <cell r="L431" t="str">
            <v>WHSU2146963</v>
          </cell>
          <cell r="M431">
            <v>3</v>
          </cell>
          <cell r="N431" t="str">
            <v>20’</v>
          </cell>
          <cell r="O431">
            <v>2</v>
          </cell>
          <cell r="P431">
            <v>45547</v>
          </cell>
          <cell r="Q431">
            <v>45554</v>
          </cell>
          <cell r="R431" t="str">
            <v>木</v>
          </cell>
          <cell r="S431" t="str">
            <v>AM8:00</v>
          </cell>
        </row>
        <row r="432">
          <cell r="A432">
            <v>8581</v>
          </cell>
          <cell r="B432" t="str">
            <v>川瀬 有里</v>
          </cell>
          <cell r="C432" t="str">
            <v>TRADIA</v>
          </cell>
          <cell r="D432">
            <v>45512</v>
          </cell>
          <cell r="E432" t="str">
            <v>24K0852-1</v>
          </cell>
          <cell r="F432" t="str">
            <v>I000013202</v>
          </cell>
          <cell r="G432">
            <v>0</v>
          </cell>
          <cell r="H432" t="str">
            <v>40279055120</v>
          </cell>
          <cell r="I432">
            <v>116308</v>
          </cell>
          <cell r="J432">
            <v>116308</v>
          </cell>
          <cell r="K432">
            <v>0.3</v>
          </cell>
          <cell r="M432">
            <v>3</v>
          </cell>
          <cell r="N432" t="str">
            <v>AIR</v>
          </cell>
          <cell r="O432">
            <v>2</v>
          </cell>
          <cell r="Q432">
            <v>45512</v>
          </cell>
          <cell r="R432" t="str">
            <v>木</v>
          </cell>
          <cell r="S432" t="str">
            <v>AM8:30</v>
          </cell>
        </row>
        <row r="433">
          <cell r="A433">
            <v>8582</v>
          </cell>
          <cell r="B433" t="str">
            <v>川瀬 有里</v>
          </cell>
          <cell r="C433" t="str">
            <v>KONOIKE</v>
          </cell>
          <cell r="D433">
            <v>45539</v>
          </cell>
          <cell r="E433" t="str">
            <v>24T0901</v>
          </cell>
          <cell r="F433" t="str">
            <v>I000013322</v>
          </cell>
          <cell r="G433">
            <v>0</v>
          </cell>
          <cell r="H433" t="str">
            <v>41365936720</v>
          </cell>
          <cell r="I433">
            <v>661931.74</v>
          </cell>
          <cell r="J433">
            <v>661931.74</v>
          </cell>
          <cell r="K433">
            <v>64.72</v>
          </cell>
          <cell r="L433" t="str">
            <v>HPCU4755839</v>
          </cell>
          <cell r="M433">
            <v>4</v>
          </cell>
          <cell r="N433" t="str">
            <v>40HQ</v>
          </cell>
          <cell r="O433">
            <v>2</v>
          </cell>
          <cell r="P433">
            <v>45545</v>
          </cell>
          <cell r="Q433">
            <v>45547</v>
          </cell>
          <cell r="R433" t="str">
            <v>木</v>
          </cell>
          <cell r="S433" t="str">
            <v>AM8:00</v>
          </cell>
        </row>
        <row r="434">
          <cell r="A434">
            <v>8583</v>
          </cell>
          <cell r="B434" t="str">
            <v>川瀬 有里</v>
          </cell>
          <cell r="C434" t="str">
            <v>TRADIA</v>
          </cell>
          <cell r="D434">
            <v>45539</v>
          </cell>
          <cell r="E434" t="str">
            <v>24P0809</v>
          </cell>
          <cell r="F434" t="str">
            <v>I000013309</v>
          </cell>
          <cell r="G434">
            <v>0</v>
          </cell>
          <cell r="H434" t="str">
            <v>41366077900</v>
          </cell>
          <cell r="I434">
            <v>469757.76</v>
          </cell>
          <cell r="J434">
            <v>469757.76</v>
          </cell>
          <cell r="K434">
            <v>66.900000000000006</v>
          </cell>
          <cell r="L434" t="str">
            <v>EMCU1845041</v>
          </cell>
          <cell r="N434" t="str">
            <v>40HQ</v>
          </cell>
          <cell r="O434">
            <v>2</v>
          </cell>
          <cell r="P434">
            <v>45542</v>
          </cell>
          <cell r="Q434">
            <v>45553</v>
          </cell>
          <cell r="R434" t="str">
            <v>水</v>
          </cell>
          <cell r="S434" t="str">
            <v>AM9:30</v>
          </cell>
        </row>
        <row r="435">
          <cell r="A435">
            <v>8584</v>
          </cell>
          <cell r="B435" t="str">
            <v>川瀬 有里</v>
          </cell>
          <cell r="C435" t="str">
            <v>KONOIKE</v>
          </cell>
          <cell r="D435">
            <v>45540</v>
          </cell>
          <cell r="E435" t="str">
            <v>24T0902</v>
          </cell>
          <cell r="F435" t="str">
            <v>I000013330</v>
          </cell>
          <cell r="G435">
            <v>0</v>
          </cell>
          <cell r="H435" t="str">
            <v>41366216130</v>
          </cell>
          <cell r="I435">
            <v>762634.88</v>
          </cell>
          <cell r="J435">
            <v>762634.88</v>
          </cell>
          <cell r="K435">
            <v>60.01</v>
          </cell>
          <cell r="L435" t="str">
            <v>OOCU8721160</v>
          </cell>
          <cell r="M435">
            <v>4</v>
          </cell>
          <cell r="N435" t="str">
            <v>40HQ</v>
          </cell>
          <cell r="O435">
            <v>2</v>
          </cell>
          <cell r="P435">
            <v>45548</v>
          </cell>
          <cell r="Q435">
            <v>45561</v>
          </cell>
          <cell r="R435" t="str">
            <v>木</v>
          </cell>
          <cell r="S435" t="str">
            <v>AM8:00</v>
          </cell>
        </row>
        <row r="436">
          <cell r="A436">
            <v>8585</v>
          </cell>
          <cell r="B436" t="str">
            <v>川瀬 有里</v>
          </cell>
          <cell r="C436" t="str">
            <v>TRADIA</v>
          </cell>
          <cell r="D436">
            <v>45533</v>
          </cell>
          <cell r="E436" t="str">
            <v>24K0815-2</v>
          </cell>
          <cell r="F436" t="str">
            <v>K815/24</v>
          </cell>
          <cell r="G436">
            <v>0</v>
          </cell>
          <cell r="H436" t="str">
            <v>41364239810</v>
          </cell>
          <cell r="I436">
            <v>102600</v>
          </cell>
          <cell r="J436">
            <v>102600</v>
          </cell>
          <cell r="K436">
            <v>2</v>
          </cell>
          <cell r="M436">
            <v>3</v>
          </cell>
          <cell r="N436" t="str">
            <v>20’</v>
          </cell>
          <cell r="O436">
            <v>2</v>
          </cell>
          <cell r="P436">
            <v>45537</v>
          </cell>
          <cell r="Q436">
            <v>45539</v>
          </cell>
          <cell r="R436" t="str">
            <v>水</v>
          </cell>
          <cell r="S436" t="str">
            <v>AM8:30</v>
          </cell>
        </row>
        <row r="437">
          <cell r="A437">
            <v>8586</v>
          </cell>
          <cell r="B437" t="str">
            <v>川瀬 有里</v>
          </cell>
          <cell r="C437" t="str">
            <v>TRADIA</v>
          </cell>
          <cell r="D437">
            <v>45540</v>
          </cell>
          <cell r="E437" t="str">
            <v>24K0902</v>
          </cell>
          <cell r="F437" t="str">
            <v>I000013326</v>
          </cell>
          <cell r="G437">
            <v>0</v>
          </cell>
          <cell r="H437" t="str">
            <v>41368722940</v>
          </cell>
          <cell r="I437">
            <v>324981.56</v>
          </cell>
          <cell r="J437">
            <v>324981.56</v>
          </cell>
          <cell r="K437">
            <v>26.98</v>
          </cell>
          <cell r="L437" t="str">
            <v>WHSU0090248</v>
          </cell>
          <cell r="M437">
            <v>3</v>
          </cell>
          <cell r="N437" t="str">
            <v>20’</v>
          </cell>
          <cell r="O437">
            <v>2</v>
          </cell>
          <cell r="P437">
            <v>45547</v>
          </cell>
          <cell r="Q437">
            <v>45566</v>
          </cell>
          <cell r="R437" t="str">
            <v>火</v>
          </cell>
          <cell r="S437" t="str">
            <v>AM8:00</v>
          </cell>
        </row>
        <row r="438">
          <cell r="A438">
            <v>8587</v>
          </cell>
          <cell r="B438" t="str">
            <v>川瀬 有里</v>
          </cell>
          <cell r="C438" t="str">
            <v>TRADIA</v>
          </cell>
          <cell r="D438">
            <v>45544</v>
          </cell>
          <cell r="E438" t="str">
            <v>24K0903</v>
          </cell>
          <cell r="F438" t="str">
            <v>I000013338</v>
          </cell>
          <cell r="G438">
            <v>0</v>
          </cell>
          <cell r="H438" t="str">
            <v>41370636630</v>
          </cell>
          <cell r="I438">
            <v>553026.93000000005</v>
          </cell>
          <cell r="J438">
            <v>553026.93000000005</v>
          </cell>
          <cell r="K438">
            <v>26.06</v>
          </cell>
          <cell r="L438" t="str">
            <v>EGHU3561667</v>
          </cell>
          <cell r="M438">
            <v>3</v>
          </cell>
          <cell r="N438" t="str">
            <v>20’</v>
          </cell>
          <cell r="O438">
            <v>2</v>
          </cell>
          <cell r="P438">
            <v>45549</v>
          </cell>
          <cell r="Q438">
            <v>45554</v>
          </cell>
          <cell r="R438" t="str">
            <v>木</v>
          </cell>
          <cell r="S438" t="str">
            <v>AM8:30</v>
          </cell>
        </row>
        <row r="439">
          <cell r="A439">
            <v>8588</v>
          </cell>
          <cell r="B439" t="str">
            <v>川瀬 有里</v>
          </cell>
          <cell r="C439" t="str">
            <v>TRADIA</v>
          </cell>
          <cell r="D439">
            <v>45552</v>
          </cell>
          <cell r="E439" t="str">
            <v>24K0904</v>
          </cell>
          <cell r="F439" t="str">
            <v>I000013340</v>
          </cell>
          <cell r="G439">
            <v>199000</v>
          </cell>
          <cell r="H439" t="str">
            <v>41370461630</v>
          </cell>
          <cell r="I439">
            <v>601840.1</v>
          </cell>
          <cell r="J439">
            <v>402840.1</v>
          </cell>
          <cell r="K439">
            <v>26.22</v>
          </cell>
          <cell r="L439" t="str">
            <v>DFSU3058308</v>
          </cell>
          <cell r="M439">
            <v>3</v>
          </cell>
          <cell r="N439" t="str">
            <v>20’</v>
          </cell>
          <cell r="O439">
            <v>2</v>
          </cell>
          <cell r="P439">
            <v>45555</v>
          </cell>
          <cell r="Q439">
            <v>45565</v>
          </cell>
          <cell r="R439" t="str">
            <v>月</v>
          </cell>
          <cell r="S439" t="str">
            <v>AM9:00</v>
          </cell>
        </row>
        <row r="440">
          <cell r="A440">
            <v>8589</v>
          </cell>
          <cell r="B440" t="str">
            <v>川瀬 有里</v>
          </cell>
          <cell r="C440" t="str">
            <v>TRADIA</v>
          </cell>
          <cell r="D440">
            <v>45545</v>
          </cell>
          <cell r="E440" t="str">
            <v>24P0901</v>
          </cell>
          <cell r="F440" t="str">
            <v>I000013327</v>
          </cell>
          <cell r="G440">
            <v>0</v>
          </cell>
          <cell r="H440" t="str">
            <v>21570233520</v>
          </cell>
          <cell r="I440">
            <v>452810.7</v>
          </cell>
          <cell r="J440">
            <v>452810.7</v>
          </cell>
          <cell r="K440">
            <v>65.41</v>
          </cell>
          <cell r="L440" t="str">
            <v>TIIU4108359</v>
          </cell>
          <cell r="M440">
            <v>4</v>
          </cell>
          <cell r="N440" t="str">
            <v>40HQ</v>
          </cell>
          <cell r="O440">
            <v>4</v>
          </cell>
          <cell r="P440">
            <v>45551</v>
          </cell>
          <cell r="Q440">
            <v>45572</v>
          </cell>
          <cell r="R440" t="str">
            <v>月</v>
          </cell>
          <cell r="S440" t="str">
            <v>AM7:30</v>
          </cell>
        </row>
        <row r="441">
          <cell r="A441">
            <v>8590</v>
          </cell>
          <cell r="B441" t="str">
            <v>川瀬 有里</v>
          </cell>
          <cell r="C441" t="str">
            <v>TRADIA</v>
          </cell>
          <cell r="D441">
            <v>45545</v>
          </cell>
          <cell r="E441" t="str">
            <v>24P0902</v>
          </cell>
          <cell r="F441" t="str">
            <v>I000013337</v>
          </cell>
          <cell r="G441">
            <v>0</v>
          </cell>
          <cell r="H441" t="str">
            <v>41370461740</v>
          </cell>
          <cell r="J441">
            <v>417616.92</v>
          </cell>
          <cell r="K441">
            <v>65.180000000000007</v>
          </cell>
          <cell r="L441" t="str">
            <v>TGBU4553123</v>
          </cell>
          <cell r="N441" t="str">
            <v>40HQ</v>
          </cell>
          <cell r="O441">
            <v>2</v>
          </cell>
          <cell r="P441">
            <v>45549</v>
          </cell>
          <cell r="Q441">
            <v>45560</v>
          </cell>
          <cell r="R441" t="str">
            <v>水</v>
          </cell>
          <cell r="S441" t="str">
            <v>AM9:30</v>
          </cell>
        </row>
        <row r="442">
          <cell r="A442">
            <v>8591</v>
          </cell>
          <cell r="B442" t="str">
            <v>川瀬 有里</v>
          </cell>
          <cell r="C442" t="str">
            <v>TRADIA</v>
          </cell>
          <cell r="D442">
            <v>45546</v>
          </cell>
          <cell r="E442" t="str">
            <v>24K0953</v>
          </cell>
          <cell r="F442" t="str">
            <v>K869/24</v>
          </cell>
          <cell r="G442">
            <v>0</v>
          </cell>
          <cell r="H442" t="str">
            <v>31419144950</v>
          </cell>
          <cell r="I442">
            <v>463136.4</v>
          </cell>
          <cell r="J442">
            <v>463136.4</v>
          </cell>
          <cell r="K442">
            <v>14.72</v>
          </cell>
          <cell r="M442">
            <v>3</v>
          </cell>
          <cell r="N442" t="str">
            <v>AIR</v>
          </cell>
          <cell r="O442">
            <v>2</v>
          </cell>
          <cell r="Q442">
            <v>45546</v>
          </cell>
          <cell r="R442" t="str">
            <v>水</v>
          </cell>
          <cell r="S442" t="str">
            <v>AM8:30</v>
          </cell>
        </row>
        <row r="443">
          <cell r="A443">
            <v>8592</v>
          </cell>
          <cell r="B443" t="str">
            <v>川瀬 有里</v>
          </cell>
          <cell r="C443" t="str">
            <v>TRADIA</v>
          </cell>
          <cell r="D443">
            <v>45552</v>
          </cell>
          <cell r="E443" t="str">
            <v>24K0906</v>
          </cell>
          <cell r="F443" t="str">
            <v>I000013350</v>
          </cell>
          <cell r="G443">
            <v>20300</v>
          </cell>
          <cell r="H443" t="str">
            <v>41370837160</v>
          </cell>
          <cell r="I443">
            <v>315336.76</v>
          </cell>
          <cell r="J443">
            <v>295036.76</v>
          </cell>
          <cell r="K443">
            <v>26.88</v>
          </cell>
          <cell r="L443" t="str">
            <v>WHSU2597838</v>
          </cell>
          <cell r="M443">
            <v>3</v>
          </cell>
          <cell r="N443" t="str">
            <v>20’</v>
          </cell>
          <cell r="O443">
            <v>2</v>
          </cell>
          <cell r="P443">
            <v>45557</v>
          </cell>
          <cell r="Q443">
            <v>45566</v>
          </cell>
          <cell r="R443" t="str">
            <v>火</v>
          </cell>
          <cell r="S443" t="str">
            <v>AM9:00</v>
          </cell>
        </row>
        <row r="444">
          <cell r="A444">
            <v>8593</v>
          </cell>
          <cell r="B444" t="str">
            <v>川瀬 有里</v>
          </cell>
          <cell r="C444" t="str">
            <v>TRADIA</v>
          </cell>
          <cell r="D444">
            <v>45547</v>
          </cell>
          <cell r="E444" t="str">
            <v>24K0905</v>
          </cell>
          <cell r="F444" t="str">
            <v>I000013343</v>
          </cell>
          <cell r="G444">
            <v>0</v>
          </cell>
          <cell r="H444" t="str">
            <v>41370879160</v>
          </cell>
          <cell r="I444">
            <v>353982.7</v>
          </cell>
          <cell r="J444">
            <v>353982.7</v>
          </cell>
          <cell r="K444">
            <v>26.44</v>
          </cell>
          <cell r="L444" t="str">
            <v>WHSU0281352</v>
          </cell>
          <cell r="M444">
            <v>3</v>
          </cell>
          <cell r="N444" t="str">
            <v>20’</v>
          </cell>
          <cell r="O444">
            <v>2</v>
          </cell>
          <cell r="P444">
            <v>45553</v>
          </cell>
          <cell r="Q444">
            <v>45555</v>
          </cell>
          <cell r="R444" t="str">
            <v>金</v>
          </cell>
          <cell r="S444" t="str">
            <v>AM8:30</v>
          </cell>
        </row>
        <row r="445">
          <cell r="A445">
            <v>8594</v>
          </cell>
          <cell r="B445" t="str">
            <v>川瀬 有里</v>
          </cell>
          <cell r="C445" t="str">
            <v>TRADIA</v>
          </cell>
          <cell r="D445">
            <v>45547</v>
          </cell>
          <cell r="E445" t="str">
            <v>24K0951-1</v>
          </cell>
          <cell r="F445" t="str">
            <v>I000013344</v>
          </cell>
          <cell r="G445">
            <v>0</v>
          </cell>
          <cell r="H445" t="str">
            <v>40484595750</v>
          </cell>
          <cell r="I445">
            <v>24701.42</v>
          </cell>
          <cell r="J445">
            <v>24701.42</v>
          </cell>
          <cell r="K445">
            <v>1.49</v>
          </cell>
          <cell r="M445">
            <v>3</v>
          </cell>
          <cell r="N445" t="str">
            <v>AIR</v>
          </cell>
          <cell r="O445">
            <v>2</v>
          </cell>
          <cell r="Q445">
            <v>45545</v>
          </cell>
          <cell r="R445" t="str">
            <v>火</v>
          </cell>
          <cell r="S445" t="str">
            <v>AM8:30</v>
          </cell>
        </row>
        <row r="446">
          <cell r="A446">
            <v>8595</v>
          </cell>
          <cell r="B446" t="str">
            <v>川瀬 有里</v>
          </cell>
          <cell r="C446" t="str">
            <v>TRADIA</v>
          </cell>
          <cell r="D446">
            <v>45547</v>
          </cell>
          <cell r="E446" t="str">
            <v>24K0951-2</v>
          </cell>
          <cell r="F446" t="str">
            <v>K856/24</v>
          </cell>
          <cell r="G446">
            <v>0</v>
          </cell>
          <cell r="H446" t="str">
            <v>40484595750</v>
          </cell>
          <cell r="I446">
            <v>11908</v>
          </cell>
          <cell r="J446">
            <v>11908</v>
          </cell>
          <cell r="K446">
            <v>0.06</v>
          </cell>
          <cell r="M446">
            <v>3</v>
          </cell>
          <cell r="N446" t="str">
            <v>AIR</v>
          </cell>
          <cell r="O446">
            <v>2</v>
          </cell>
          <cell r="Q446">
            <v>45545</v>
          </cell>
          <cell r="R446" t="str">
            <v>火</v>
          </cell>
          <cell r="S446" t="str">
            <v>AM8:30</v>
          </cell>
        </row>
        <row r="447">
          <cell r="A447">
            <v>8596</v>
          </cell>
          <cell r="B447" t="str">
            <v>川瀬 有里</v>
          </cell>
          <cell r="C447" t="str">
            <v>KONOIKE</v>
          </cell>
          <cell r="D447">
            <v>45547</v>
          </cell>
          <cell r="E447" t="str">
            <v>24T0903</v>
          </cell>
          <cell r="F447" t="str">
            <v>I000013339</v>
          </cell>
          <cell r="G447">
            <v>0</v>
          </cell>
          <cell r="H447" t="str">
            <v>41369495740</v>
          </cell>
          <cell r="J447">
            <v>791561.92</v>
          </cell>
          <cell r="K447">
            <v>59.1</v>
          </cell>
          <cell r="L447" t="str">
            <v>WHSU6680339</v>
          </cell>
          <cell r="M447">
            <v>4</v>
          </cell>
          <cell r="N447" t="str">
            <v>40HQ</v>
          </cell>
          <cell r="O447">
            <v>2</v>
          </cell>
          <cell r="P447">
            <v>45555</v>
          </cell>
          <cell r="Q447">
            <v>45560</v>
          </cell>
          <cell r="R447" t="str">
            <v>水</v>
          </cell>
          <cell r="S447" t="str">
            <v>AM8:00</v>
          </cell>
        </row>
        <row r="448">
          <cell r="A448">
            <v>8597</v>
          </cell>
          <cell r="B448" t="str">
            <v>川瀬 有里</v>
          </cell>
          <cell r="C448" t="str">
            <v>KONOIKE</v>
          </cell>
          <cell r="D448">
            <v>45547</v>
          </cell>
          <cell r="E448" t="str">
            <v>24T0904</v>
          </cell>
          <cell r="F448" t="str">
            <v>I000013342</v>
          </cell>
          <cell r="G448">
            <v>0</v>
          </cell>
          <cell r="H448" t="str">
            <v>41369495740</v>
          </cell>
          <cell r="J448">
            <v>742248.04</v>
          </cell>
          <cell r="K448">
            <v>64.14</v>
          </cell>
          <cell r="L448" t="str">
            <v>WHSU5780092</v>
          </cell>
          <cell r="M448">
            <v>4</v>
          </cell>
          <cell r="N448" t="str">
            <v>40HQ</v>
          </cell>
          <cell r="O448">
            <v>2</v>
          </cell>
          <cell r="P448">
            <v>45555</v>
          </cell>
          <cell r="Q448">
            <v>45560</v>
          </cell>
          <cell r="R448" t="str">
            <v>水</v>
          </cell>
          <cell r="S448" t="str">
            <v>AM8:00</v>
          </cell>
        </row>
        <row r="449">
          <cell r="A449">
            <v>8598</v>
          </cell>
          <cell r="B449" t="str">
            <v>川瀬 有里</v>
          </cell>
          <cell r="C449" t="str">
            <v>KONOIKE</v>
          </cell>
          <cell r="D449">
            <v>45547</v>
          </cell>
          <cell r="E449" t="str">
            <v>24T0905</v>
          </cell>
          <cell r="F449" t="str">
            <v>I000013352</v>
          </cell>
          <cell r="G449">
            <v>0</v>
          </cell>
          <cell r="H449" t="str">
            <v>41369495740</v>
          </cell>
          <cell r="J449">
            <v>803384.1</v>
          </cell>
          <cell r="K449">
            <v>63.67</v>
          </cell>
          <cell r="L449" t="str">
            <v>WHSU6447944</v>
          </cell>
          <cell r="M449">
            <v>4</v>
          </cell>
          <cell r="N449" t="str">
            <v>40HQ</v>
          </cell>
          <cell r="O449">
            <v>2</v>
          </cell>
          <cell r="P449">
            <v>45555</v>
          </cell>
          <cell r="Q449">
            <v>45560</v>
          </cell>
          <cell r="R449" t="str">
            <v>水</v>
          </cell>
          <cell r="S449" t="str">
            <v>AM8:00</v>
          </cell>
        </row>
        <row r="450">
          <cell r="A450">
            <v>8599</v>
          </cell>
          <cell r="B450" t="str">
            <v>川瀬 有里</v>
          </cell>
          <cell r="C450" t="str">
            <v>TRADIA</v>
          </cell>
          <cell r="D450">
            <v>45547</v>
          </cell>
          <cell r="E450" t="str">
            <v>24P0903</v>
          </cell>
          <cell r="F450" t="str">
            <v>I000013347</v>
          </cell>
          <cell r="G450">
            <v>0</v>
          </cell>
          <cell r="H450" t="str">
            <v>21570259420</v>
          </cell>
          <cell r="I450">
            <v>434937.59999999998</v>
          </cell>
          <cell r="J450">
            <v>434937.59999999998</v>
          </cell>
          <cell r="K450">
            <v>64.83</v>
          </cell>
          <cell r="L450" t="str">
            <v>WHSU6319630</v>
          </cell>
          <cell r="M450">
            <v>11</v>
          </cell>
          <cell r="N450" t="str">
            <v>40HQ</v>
          </cell>
          <cell r="O450">
            <v>4</v>
          </cell>
          <cell r="P450">
            <v>45555</v>
          </cell>
          <cell r="Q450">
            <v>45573</v>
          </cell>
          <cell r="R450" t="str">
            <v>火</v>
          </cell>
          <cell r="S450" t="str">
            <v>AM7:30</v>
          </cell>
        </row>
        <row r="451">
          <cell r="A451">
            <v>8600</v>
          </cell>
          <cell r="B451" t="str">
            <v>山本 和弥</v>
          </cell>
          <cell r="C451" t="str">
            <v>TRADIA</v>
          </cell>
          <cell r="D451">
            <v>45548</v>
          </cell>
          <cell r="E451" t="str">
            <v>24P0904</v>
          </cell>
          <cell r="F451" t="str">
            <v>I000013358</v>
          </cell>
          <cell r="G451">
            <v>300104.34000000003</v>
          </cell>
          <cell r="H451" t="str">
            <v>41371282620</v>
          </cell>
          <cell r="I451">
            <v>724924.38</v>
          </cell>
          <cell r="J451">
            <v>424820.04</v>
          </cell>
          <cell r="K451">
            <v>63.85</v>
          </cell>
          <cell r="L451" t="str">
            <v>TIIU4446206</v>
          </cell>
          <cell r="M451">
            <v>14</v>
          </cell>
          <cell r="N451" t="str">
            <v>40HQ</v>
          </cell>
          <cell r="O451">
            <v>2</v>
          </cell>
          <cell r="P451">
            <v>45558</v>
          </cell>
          <cell r="Q451">
            <v>45567</v>
          </cell>
          <cell r="R451" t="str">
            <v>水</v>
          </cell>
          <cell r="S451" t="str">
            <v>AM9:30</v>
          </cell>
        </row>
        <row r="452">
          <cell r="A452">
            <v>8601</v>
          </cell>
          <cell r="B452" t="str">
            <v>川瀬 有里</v>
          </cell>
          <cell r="C452" t="str">
            <v>TRADIA</v>
          </cell>
          <cell r="D452">
            <v>45552</v>
          </cell>
          <cell r="E452" t="str">
            <v>24K0956</v>
          </cell>
          <cell r="F452" t="str">
            <v>I000013363</v>
          </cell>
          <cell r="G452">
            <v>0</v>
          </cell>
          <cell r="H452" t="str">
            <v>40513428310</v>
          </cell>
          <cell r="I452">
            <v>6193.6</v>
          </cell>
          <cell r="J452">
            <v>6193.6</v>
          </cell>
          <cell r="K452">
            <v>0.21</v>
          </cell>
          <cell r="M452">
            <v>3</v>
          </cell>
          <cell r="N452" t="str">
            <v>AIR</v>
          </cell>
          <cell r="O452">
            <v>2</v>
          </cell>
          <cell r="P452">
            <v>45549</v>
          </cell>
          <cell r="Q452">
            <v>45553</v>
          </cell>
          <cell r="R452" t="str">
            <v>水</v>
          </cell>
          <cell r="S452" t="str">
            <v>AM8:30</v>
          </cell>
        </row>
        <row r="453">
          <cell r="A453">
            <v>8602</v>
          </cell>
          <cell r="B453" t="str">
            <v>川瀬 有里</v>
          </cell>
          <cell r="C453" t="str">
            <v>TRADIA</v>
          </cell>
          <cell r="D453">
            <v>45555</v>
          </cell>
          <cell r="E453" t="str">
            <v>24K0907</v>
          </cell>
          <cell r="F453" t="str">
            <v>I000013354</v>
          </cell>
          <cell r="G453">
            <v>0</v>
          </cell>
          <cell r="H453" t="str">
            <v>41371302550</v>
          </cell>
          <cell r="I453">
            <v>393054.9</v>
          </cell>
          <cell r="J453">
            <v>393054.9</v>
          </cell>
          <cell r="K453">
            <v>26.19</v>
          </cell>
          <cell r="L453" t="str">
            <v>TIIU2054398</v>
          </cell>
          <cell r="M453">
            <v>3</v>
          </cell>
          <cell r="N453" t="str">
            <v>20’</v>
          </cell>
          <cell r="O453">
            <v>2</v>
          </cell>
          <cell r="P453">
            <v>45558</v>
          </cell>
          <cell r="Q453">
            <v>45565</v>
          </cell>
          <cell r="R453" t="str">
            <v>月</v>
          </cell>
        </row>
        <row r="454">
          <cell r="A454">
            <v>8603</v>
          </cell>
          <cell r="B454" t="str">
            <v>川瀬 有里</v>
          </cell>
          <cell r="C454" t="str">
            <v>TRADIA</v>
          </cell>
          <cell r="D454">
            <v>45555</v>
          </cell>
          <cell r="E454" t="str">
            <v>24K0908</v>
          </cell>
          <cell r="F454" t="str">
            <v>I000013365</v>
          </cell>
          <cell r="G454">
            <v>0</v>
          </cell>
          <cell r="H454" t="str">
            <v>41371302550</v>
          </cell>
          <cell r="I454">
            <v>477981.14</v>
          </cell>
          <cell r="J454">
            <v>477981.14</v>
          </cell>
          <cell r="K454">
            <v>26.97</v>
          </cell>
          <cell r="L454" t="str">
            <v>TSSU2085850</v>
          </cell>
          <cell r="M454">
            <v>3</v>
          </cell>
          <cell r="N454" t="str">
            <v>20’</v>
          </cell>
          <cell r="O454">
            <v>2</v>
          </cell>
          <cell r="P454">
            <v>45558</v>
          </cell>
          <cell r="Q454">
            <v>45568</v>
          </cell>
          <cell r="R454" t="str">
            <v>木</v>
          </cell>
        </row>
        <row r="455">
          <cell r="A455">
            <v>8604</v>
          </cell>
          <cell r="B455" t="str">
            <v>川瀬 有里</v>
          </cell>
          <cell r="C455" t="str">
            <v>TRADIA</v>
          </cell>
          <cell r="D455">
            <v>45555</v>
          </cell>
          <cell r="E455" t="str">
            <v>24K0909</v>
          </cell>
          <cell r="F455" t="str">
            <v>I000013366</v>
          </cell>
          <cell r="G455">
            <v>2984050</v>
          </cell>
          <cell r="H455" t="str">
            <v>41371302550</v>
          </cell>
          <cell r="I455">
            <v>414837.1</v>
          </cell>
          <cell r="J455">
            <v>414837.1</v>
          </cell>
          <cell r="K455">
            <v>26.53</v>
          </cell>
          <cell r="L455" t="str">
            <v>SEGU3835846</v>
          </cell>
          <cell r="M455">
            <v>3</v>
          </cell>
          <cell r="N455" t="str">
            <v>20’</v>
          </cell>
          <cell r="O455">
            <v>2</v>
          </cell>
          <cell r="P455">
            <v>45558</v>
          </cell>
          <cell r="Q455">
            <v>45563</v>
          </cell>
          <cell r="R455" t="str">
            <v>土</v>
          </cell>
        </row>
        <row r="456">
          <cell r="A456">
            <v>8605</v>
          </cell>
          <cell r="B456" t="str">
            <v>山本 和弥</v>
          </cell>
          <cell r="C456" t="str">
            <v>KONOIKE</v>
          </cell>
          <cell r="D456">
            <v>45552</v>
          </cell>
          <cell r="E456" t="str">
            <v>24T0906</v>
          </cell>
          <cell r="F456" t="str">
            <v>I000013356</v>
          </cell>
          <cell r="G456">
            <v>50800</v>
          </cell>
          <cell r="H456" t="str">
            <v>41370928200</v>
          </cell>
          <cell r="I456">
            <v>2157058.1800000002</v>
          </cell>
          <cell r="J456">
            <v>795002.16</v>
          </cell>
          <cell r="K456">
            <v>61.05</v>
          </cell>
          <cell r="L456" t="str">
            <v>WHSU6722814</v>
          </cell>
          <cell r="M456">
            <v>4</v>
          </cell>
          <cell r="N456" t="str">
            <v>40HQ</v>
          </cell>
          <cell r="O456">
            <v>2</v>
          </cell>
          <cell r="P456">
            <v>45560</v>
          </cell>
          <cell r="Q456">
            <v>45562</v>
          </cell>
          <cell r="R456" t="str">
            <v>金</v>
          </cell>
          <cell r="S456" t="str">
            <v>AM8:00</v>
          </cell>
        </row>
        <row r="457">
          <cell r="A457">
            <v>8606</v>
          </cell>
          <cell r="B457" t="str">
            <v>山本 和弥</v>
          </cell>
          <cell r="C457" t="str">
            <v>KONOIKE</v>
          </cell>
          <cell r="D457">
            <v>45552</v>
          </cell>
          <cell r="E457" t="str">
            <v>24T0907</v>
          </cell>
          <cell r="F457" t="str">
            <v>I000013364</v>
          </cell>
          <cell r="H457" t="str">
            <v>41370928200</v>
          </cell>
          <cell r="J457">
            <v>597327.14</v>
          </cell>
          <cell r="K457">
            <v>62.79</v>
          </cell>
          <cell r="L457" t="str">
            <v>WHSU5506810</v>
          </cell>
          <cell r="M457">
            <v>4</v>
          </cell>
          <cell r="N457" t="str">
            <v>40HQ</v>
          </cell>
          <cell r="O457">
            <v>2</v>
          </cell>
          <cell r="P457">
            <v>45560</v>
          </cell>
          <cell r="Q457">
            <v>45562</v>
          </cell>
          <cell r="R457" t="str">
            <v>金</v>
          </cell>
          <cell r="S457" t="str">
            <v>AM8:00</v>
          </cell>
        </row>
        <row r="458">
          <cell r="A458">
            <v>8607</v>
          </cell>
          <cell r="B458" t="str">
            <v>山本 和弥</v>
          </cell>
          <cell r="C458" t="str">
            <v>KONOIKE</v>
          </cell>
          <cell r="D458">
            <v>45552</v>
          </cell>
          <cell r="E458" t="str">
            <v>24T0909</v>
          </cell>
          <cell r="F458" t="str">
            <v>I000013367</v>
          </cell>
          <cell r="H458" t="str">
            <v>41370928200</v>
          </cell>
          <cell r="J458">
            <v>713928.88</v>
          </cell>
          <cell r="K458">
            <v>62.61</v>
          </cell>
          <cell r="L458" t="str">
            <v>WHSU6940170</v>
          </cell>
          <cell r="M458">
            <v>4</v>
          </cell>
          <cell r="N458" t="str">
            <v>40HQ</v>
          </cell>
          <cell r="O458">
            <v>2</v>
          </cell>
          <cell r="P458">
            <v>45560</v>
          </cell>
          <cell r="Q458">
            <v>45562</v>
          </cell>
          <cell r="R458" t="str">
            <v>金</v>
          </cell>
          <cell r="S458" t="str">
            <v>AM8:00</v>
          </cell>
        </row>
        <row r="459">
          <cell r="A459">
            <v>8608</v>
          </cell>
          <cell r="B459" t="str">
            <v>山本 和弥</v>
          </cell>
          <cell r="C459" t="str">
            <v>KONOIKE</v>
          </cell>
          <cell r="D459">
            <v>45553</v>
          </cell>
          <cell r="E459" t="str">
            <v>24T0908</v>
          </cell>
          <cell r="F459" t="str">
            <v>I000013360</v>
          </cell>
          <cell r="G459">
            <v>622000</v>
          </cell>
          <cell r="H459" t="str">
            <v>11670219510</v>
          </cell>
          <cell r="I459">
            <v>675078.32</v>
          </cell>
          <cell r="J459">
            <v>675078.32</v>
          </cell>
          <cell r="K459">
            <v>61.42</v>
          </cell>
          <cell r="L459" t="str">
            <v>WHSU5966734</v>
          </cell>
          <cell r="M459">
            <v>4</v>
          </cell>
          <cell r="N459" t="str">
            <v>40HQ</v>
          </cell>
          <cell r="O459">
            <v>5</v>
          </cell>
          <cell r="P459">
            <v>45558</v>
          </cell>
          <cell r="Q459">
            <v>45560</v>
          </cell>
          <cell r="R459" t="str">
            <v>水</v>
          </cell>
          <cell r="S459" t="str">
            <v>AM8:00</v>
          </cell>
        </row>
        <row r="460">
          <cell r="A460">
            <v>8609</v>
          </cell>
          <cell r="B460" t="str">
            <v>山本 和弥</v>
          </cell>
          <cell r="C460" t="str">
            <v>TRADIA</v>
          </cell>
          <cell r="D460">
            <v>45554</v>
          </cell>
          <cell r="E460" t="str">
            <v>24P0905</v>
          </cell>
          <cell r="F460" t="str">
            <v>I000013372</v>
          </cell>
          <cell r="H460" t="str">
            <v>21572022130</v>
          </cell>
          <cell r="I460">
            <v>475020.18</v>
          </cell>
          <cell r="J460">
            <v>475020.18</v>
          </cell>
          <cell r="K460">
            <v>66.7</v>
          </cell>
          <cell r="L460" t="str">
            <v>WHSU6253960</v>
          </cell>
          <cell r="M460">
            <v>11</v>
          </cell>
          <cell r="N460" t="str">
            <v>40HQ</v>
          </cell>
          <cell r="O460">
            <v>4</v>
          </cell>
          <cell r="P460">
            <v>45562</v>
          </cell>
          <cell r="Q460">
            <v>45573</v>
          </cell>
          <cell r="R460" t="str">
            <v>火</v>
          </cell>
          <cell r="S460" t="str">
            <v>AM7:30</v>
          </cell>
        </row>
        <row r="461">
          <cell r="A461">
            <v>8610</v>
          </cell>
          <cell r="B461" t="str">
            <v>川瀬 有里</v>
          </cell>
          <cell r="C461" t="str">
            <v>TRADIA</v>
          </cell>
          <cell r="D461">
            <v>45565</v>
          </cell>
          <cell r="E461" t="str">
            <v>24K0910</v>
          </cell>
          <cell r="F461" t="str">
            <v>I000013373</v>
          </cell>
          <cell r="G461">
            <v>3296450</v>
          </cell>
          <cell r="H461" t="str">
            <v>41373173430</v>
          </cell>
          <cell r="I461">
            <v>481647.3</v>
          </cell>
          <cell r="J461">
            <v>481647.3</v>
          </cell>
          <cell r="K461">
            <v>26.02</v>
          </cell>
          <cell r="L461" t="str">
            <v>WHSU0094897</v>
          </cell>
          <cell r="M461">
            <v>3</v>
          </cell>
          <cell r="N461" t="str">
            <v>40HQ</v>
          </cell>
          <cell r="O461">
            <v>2</v>
          </cell>
          <cell r="P461">
            <v>45555</v>
          </cell>
        </row>
        <row r="462">
          <cell r="A462">
            <v>8611</v>
          </cell>
          <cell r="B462" t="str">
            <v>川瀬 有里</v>
          </cell>
          <cell r="C462" t="str">
            <v>TRADIA</v>
          </cell>
          <cell r="D462">
            <v>45559</v>
          </cell>
          <cell r="E462" t="str">
            <v>24K0958</v>
          </cell>
          <cell r="F462" t="str">
            <v>I000013387</v>
          </cell>
          <cell r="H462" t="str">
            <v>40545182740</v>
          </cell>
          <cell r="I462">
            <v>236122.04</v>
          </cell>
          <cell r="J462">
            <v>236122.04</v>
          </cell>
          <cell r="K462">
            <v>0.74</v>
          </cell>
          <cell r="M462">
            <v>3</v>
          </cell>
          <cell r="N462" t="str">
            <v>AIR</v>
          </cell>
          <cell r="O462">
            <v>2</v>
          </cell>
          <cell r="P462">
            <v>45556</v>
          </cell>
          <cell r="Q462">
            <v>45560</v>
          </cell>
          <cell r="R462" t="str">
            <v>火</v>
          </cell>
          <cell r="S462" t="str">
            <v>AM8:30</v>
          </cell>
        </row>
        <row r="463">
          <cell r="A463">
            <v>8612</v>
          </cell>
          <cell r="B463" t="str">
            <v>川瀬 有里</v>
          </cell>
          <cell r="C463" t="str">
            <v>TRADIA</v>
          </cell>
          <cell r="D463">
            <v>45559</v>
          </cell>
          <cell r="E463" t="str">
            <v>24K0911</v>
          </cell>
          <cell r="F463" t="str">
            <v>I000013384</v>
          </cell>
          <cell r="H463" t="str">
            <v>41373394410</v>
          </cell>
          <cell r="I463">
            <v>425065.82</v>
          </cell>
          <cell r="J463">
            <v>425065.82</v>
          </cell>
          <cell r="K463">
            <v>25.46</v>
          </cell>
          <cell r="L463" t="str">
            <v>WHSU0013088</v>
          </cell>
          <cell r="M463">
            <v>3</v>
          </cell>
          <cell r="N463" t="str">
            <v>20’</v>
          </cell>
          <cell r="O463">
            <v>2</v>
          </cell>
          <cell r="P463">
            <v>45565</v>
          </cell>
          <cell r="Q463">
            <v>45566</v>
          </cell>
          <cell r="R463" t="str">
            <v>火</v>
          </cell>
        </row>
        <row r="464">
          <cell r="A464">
            <v>8613</v>
          </cell>
          <cell r="B464" t="str">
            <v>川瀬 有里</v>
          </cell>
          <cell r="C464" t="str">
            <v>TRADIA</v>
          </cell>
          <cell r="D464">
            <v>45559</v>
          </cell>
          <cell r="E464" t="str">
            <v>24K0912</v>
          </cell>
          <cell r="F464" t="str">
            <v>I000013393</v>
          </cell>
          <cell r="H464" t="str">
            <v>41373394410</v>
          </cell>
          <cell r="I464">
            <v>406730.14</v>
          </cell>
          <cell r="J464">
            <v>406730.14</v>
          </cell>
          <cell r="K464">
            <v>26.84</v>
          </cell>
          <cell r="L464" t="str">
            <v>WHSU2870958</v>
          </cell>
          <cell r="M464">
            <v>3</v>
          </cell>
          <cell r="N464" t="str">
            <v>20’</v>
          </cell>
          <cell r="O464">
            <v>2</v>
          </cell>
          <cell r="P464">
            <v>45565</v>
          </cell>
          <cell r="Q464">
            <v>45569</v>
          </cell>
          <cell r="R464" t="str">
            <v>木</v>
          </cell>
        </row>
        <row r="465">
          <cell r="A465">
            <v>8614</v>
          </cell>
          <cell r="B465" t="str">
            <v>川瀬 有里</v>
          </cell>
          <cell r="C465" t="str">
            <v>FUZILOGIX</v>
          </cell>
          <cell r="D465">
            <v>45560</v>
          </cell>
          <cell r="E465" t="str">
            <v>24T0910</v>
          </cell>
          <cell r="F465" t="str">
            <v>I000013386</v>
          </cell>
          <cell r="H465" t="str">
            <v>11672944610</v>
          </cell>
          <cell r="I465">
            <v>715348.36</v>
          </cell>
          <cell r="J465">
            <v>715348.36</v>
          </cell>
          <cell r="K465">
            <v>59.87</v>
          </cell>
          <cell r="L465" t="str">
            <v>WHSU6538155</v>
          </cell>
          <cell r="M465">
            <v>4</v>
          </cell>
          <cell r="N465" t="str">
            <v>40HQ</v>
          </cell>
          <cell r="O465">
            <v>5</v>
          </cell>
          <cell r="P465">
            <v>45567</v>
          </cell>
          <cell r="Q465">
            <v>45569</v>
          </cell>
          <cell r="R465" t="str">
            <v>金</v>
          </cell>
          <cell r="S465" t="str">
            <v>AM8:00</v>
          </cell>
        </row>
        <row r="466">
          <cell r="A466">
            <v>8615</v>
          </cell>
          <cell r="B466" t="str">
            <v>川瀬 有里</v>
          </cell>
          <cell r="C466" t="str">
            <v>FUZILOGIX</v>
          </cell>
          <cell r="D466">
            <v>45560</v>
          </cell>
          <cell r="E466" t="str">
            <v>24T0912</v>
          </cell>
          <cell r="F466" t="str">
            <v>I000013389</v>
          </cell>
          <cell r="H466" t="str">
            <v>11672944610</v>
          </cell>
          <cell r="I466">
            <v>746768</v>
          </cell>
          <cell r="J466">
            <v>746768</v>
          </cell>
          <cell r="K466">
            <v>62.5</v>
          </cell>
          <cell r="L466" t="str">
            <v>WHSU6546778</v>
          </cell>
          <cell r="M466">
            <v>4</v>
          </cell>
          <cell r="N466" t="str">
            <v>40HQ</v>
          </cell>
          <cell r="O466">
            <v>5</v>
          </cell>
          <cell r="P466">
            <v>45567</v>
          </cell>
          <cell r="Q466">
            <v>45569</v>
          </cell>
          <cell r="R466" t="str">
            <v>金</v>
          </cell>
          <cell r="S466" t="str">
            <v>AM8:00</v>
          </cell>
        </row>
        <row r="467">
          <cell r="A467">
            <v>8616</v>
          </cell>
          <cell r="B467" t="str">
            <v>山本 和弥</v>
          </cell>
          <cell r="C467" t="str">
            <v>TRADIA</v>
          </cell>
          <cell r="D467">
            <v>45561</v>
          </cell>
          <cell r="E467" t="str">
            <v>24P0906</v>
          </cell>
          <cell r="F467" t="str">
            <v>I000013385</v>
          </cell>
          <cell r="H467" t="str">
            <v>41375066010</v>
          </cell>
          <cell r="I467">
            <v>462214.74</v>
          </cell>
          <cell r="J467">
            <v>462214.74</v>
          </cell>
          <cell r="K467">
            <v>63.87</v>
          </cell>
          <cell r="L467" t="str">
            <v>WHSU6564160</v>
          </cell>
          <cell r="M467">
            <v>14</v>
          </cell>
          <cell r="N467" t="str">
            <v>40HQ</v>
          </cell>
          <cell r="O467">
            <v>2</v>
          </cell>
          <cell r="P467">
            <v>45565</v>
          </cell>
          <cell r="Q467">
            <v>45576</v>
          </cell>
          <cell r="R467" t="str">
            <v>金</v>
          </cell>
          <cell r="S467" t="str">
            <v>AM9:30</v>
          </cell>
        </row>
        <row r="468">
          <cell r="A468">
            <v>8617</v>
          </cell>
          <cell r="B468" t="str">
            <v>山本 和弥</v>
          </cell>
          <cell r="C468" t="str">
            <v>TRADIA</v>
          </cell>
          <cell r="D468">
            <v>45554</v>
          </cell>
          <cell r="E468" t="str">
            <v>24P0907</v>
          </cell>
          <cell r="F468" t="str">
            <v>I000013392</v>
          </cell>
          <cell r="H468" t="str">
            <v>21572337720</v>
          </cell>
          <cell r="I468">
            <v>394499.52</v>
          </cell>
          <cell r="J468">
            <v>394499.52</v>
          </cell>
          <cell r="K468">
            <v>62.9</v>
          </cell>
          <cell r="L468" t="str">
            <v>WHSU6840519</v>
          </cell>
          <cell r="M468">
            <v>11</v>
          </cell>
          <cell r="N468" t="str">
            <v>40HQ</v>
          </cell>
          <cell r="O468">
            <v>4</v>
          </cell>
          <cell r="P468">
            <v>45568</v>
          </cell>
          <cell r="Q468">
            <v>45581</v>
          </cell>
          <cell r="R468" t="str">
            <v>水</v>
          </cell>
          <cell r="S468" t="str">
            <v>AM7:30</v>
          </cell>
        </row>
        <row r="469">
          <cell r="A469">
            <v>8618</v>
          </cell>
          <cell r="B469" t="str">
            <v>山本 和弥</v>
          </cell>
          <cell r="C469" t="str">
            <v>FUZILOGIX</v>
          </cell>
          <cell r="D469">
            <v>45561</v>
          </cell>
          <cell r="E469" t="str">
            <v>24T0911</v>
          </cell>
          <cell r="F469" t="str">
            <v>I000013381</v>
          </cell>
          <cell r="H469" t="str">
            <v>41372885730</v>
          </cell>
          <cell r="I469">
            <v>894030.96</v>
          </cell>
          <cell r="J469">
            <v>894030.96</v>
          </cell>
          <cell r="K469">
            <v>65.28</v>
          </cell>
          <cell r="L469" t="str">
            <v>WHSU6137912</v>
          </cell>
          <cell r="M469">
            <v>4</v>
          </cell>
          <cell r="N469" t="str">
            <v>40HQ</v>
          </cell>
          <cell r="O469">
            <v>2</v>
          </cell>
          <cell r="P469">
            <v>45566</v>
          </cell>
          <cell r="Q469">
            <v>45568</v>
          </cell>
          <cell r="R469" t="str">
            <v>木</v>
          </cell>
          <cell r="S469" t="str">
            <v>AM8:00</v>
          </cell>
        </row>
        <row r="470">
          <cell r="A470">
            <v>8619</v>
          </cell>
          <cell r="B470" t="str">
            <v>山本 和弥</v>
          </cell>
          <cell r="C470" t="str">
            <v>FUZILOGIX</v>
          </cell>
          <cell r="D470">
            <v>45561</v>
          </cell>
          <cell r="E470" t="str">
            <v>24T0913</v>
          </cell>
          <cell r="F470" t="str">
            <v>I000013390</v>
          </cell>
          <cell r="H470" t="str">
            <v>41372885730</v>
          </cell>
          <cell r="I470">
            <v>881551.6</v>
          </cell>
          <cell r="J470">
            <v>881551.6</v>
          </cell>
          <cell r="K470">
            <v>61.31</v>
          </cell>
          <cell r="L470" t="str">
            <v>WHSU6054119</v>
          </cell>
          <cell r="M470">
            <v>4</v>
          </cell>
          <cell r="N470" t="str">
            <v>40HQ</v>
          </cell>
          <cell r="O470">
            <v>2</v>
          </cell>
          <cell r="P470">
            <v>45566</v>
          </cell>
          <cell r="Q470">
            <v>45568</v>
          </cell>
          <cell r="R470" t="str">
            <v>木</v>
          </cell>
          <cell r="S470" t="str">
            <v>AM8:00</v>
          </cell>
        </row>
        <row r="471">
          <cell r="A471">
            <v>8620</v>
          </cell>
          <cell r="B471" t="str">
            <v>川瀬 有里</v>
          </cell>
          <cell r="C471" t="str">
            <v>TRADIA</v>
          </cell>
          <cell r="D471">
            <v>45566</v>
          </cell>
          <cell r="E471" t="str">
            <v>24K0913</v>
          </cell>
          <cell r="F471" t="str">
            <v>I000013401</v>
          </cell>
          <cell r="G471">
            <v>210650</v>
          </cell>
          <cell r="H471" t="str">
            <v>41375606300</v>
          </cell>
          <cell r="I471">
            <v>328648.71000000002</v>
          </cell>
          <cell r="J471">
            <v>328648.71000000002</v>
          </cell>
          <cell r="K471">
            <v>29.36</v>
          </cell>
          <cell r="L471" t="str">
            <v>SEGU1832339</v>
          </cell>
          <cell r="M471">
            <v>3</v>
          </cell>
          <cell r="N471" t="str">
            <v>20’</v>
          </cell>
          <cell r="O471">
            <v>2</v>
          </cell>
          <cell r="P471">
            <v>45567</v>
          </cell>
          <cell r="Q471">
            <v>45580</v>
          </cell>
          <cell r="R471" t="str">
            <v>月</v>
          </cell>
          <cell r="S471" t="str">
            <v>AM8:30</v>
          </cell>
        </row>
        <row r="472">
          <cell r="A472">
            <v>8621</v>
          </cell>
          <cell r="B472" t="str">
            <v>川瀬 有里</v>
          </cell>
          <cell r="C472" t="str">
            <v>TRADIA</v>
          </cell>
          <cell r="D472">
            <v>45562</v>
          </cell>
          <cell r="E472" t="str">
            <v>24K0961</v>
          </cell>
          <cell r="F472" t="str">
            <v>I000013406</v>
          </cell>
          <cell r="H472" t="str">
            <v>40571119840</v>
          </cell>
          <cell r="I472">
            <v>245214.48</v>
          </cell>
          <cell r="J472">
            <v>245214.48</v>
          </cell>
          <cell r="K472">
            <v>0.79</v>
          </cell>
          <cell r="M472">
            <v>3</v>
          </cell>
          <cell r="N472" t="str">
            <v>AIR</v>
          </cell>
          <cell r="O472">
            <v>2</v>
          </cell>
          <cell r="P472">
            <v>45561</v>
          </cell>
          <cell r="Q472">
            <v>45565</v>
          </cell>
          <cell r="R472" t="str">
            <v>月</v>
          </cell>
          <cell r="S472" t="str">
            <v>AM8:30</v>
          </cell>
        </row>
        <row r="473">
          <cell r="A473">
            <v>8622</v>
          </cell>
          <cell r="B473" t="str">
            <v>山本 和弥</v>
          </cell>
          <cell r="C473" t="str">
            <v>FUZILOGIX</v>
          </cell>
          <cell r="D473">
            <v>45563</v>
          </cell>
          <cell r="E473" t="str">
            <v>24T0915</v>
          </cell>
          <cell r="F473" t="str">
            <v>I000013402</v>
          </cell>
          <cell r="H473" t="str">
            <v>11674301210</v>
          </cell>
          <cell r="I473">
            <v>802706.04</v>
          </cell>
          <cell r="J473">
            <v>802706.04</v>
          </cell>
          <cell r="K473">
            <v>62.62</v>
          </cell>
          <cell r="L473" t="str">
            <v>WHSU6779851</v>
          </cell>
          <cell r="M473">
            <v>4</v>
          </cell>
          <cell r="N473" t="str">
            <v>40HQ</v>
          </cell>
          <cell r="O473">
            <v>5</v>
          </cell>
          <cell r="P473">
            <v>45572</v>
          </cell>
          <cell r="Q473">
            <v>45574</v>
          </cell>
          <cell r="R473" t="str">
            <v>水</v>
          </cell>
          <cell r="S473" t="str">
            <v>AM8:00</v>
          </cell>
        </row>
        <row r="474">
          <cell r="A474">
            <v>8623</v>
          </cell>
          <cell r="B474" t="str">
            <v>山本 和弥</v>
          </cell>
          <cell r="C474" t="str">
            <v>FUZILOGIX</v>
          </cell>
          <cell r="D474">
            <v>45563</v>
          </cell>
          <cell r="E474" t="str">
            <v>24T0914</v>
          </cell>
          <cell r="F474" t="str">
            <v>I000013398</v>
          </cell>
          <cell r="G474">
            <v>37300</v>
          </cell>
          <cell r="H474" t="str">
            <v>41375673830</v>
          </cell>
          <cell r="I474">
            <v>722170.92</v>
          </cell>
          <cell r="J474">
            <v>722170.92</v>
          </cell>
          <cell r="K474">
            <v>63.12</v>
          </cell>
          <cell r="L474" t="str">
            <v>WHSU6797454</v>
          </cell>
          <cell r="M474">
            <v>4</v>
          </cell>
          <cell r="N474" t="str">
            <v>40HQ</v>
          </cell>
          <cell r="O474">
            <v>2</v>
          </cell>
          <cell r="P474">
            <v>45574</v>
          </cell>
          <cell r="Q474">
            <v>45576</v>
          </cell>
          <cell r="R474" t="str">
            <v>金</v>
          </cell>
          <cell r="S474" t="str">
            <v>AM8:00</v>
          </cell>
        </row>
        <row r="475">
          <cell r="A475">
            <v>8624</v>
          </cell>
          <cell r="B475" t="str">
            <v>山本 和弥</v>
          </cell>
          <cell r="C475" t="str">
            <v>FUZILOGIX</v>
          </cell>
          <cell r="D475">
            <v>45563</v>
          </cell>
          <cell r="E475" t="str">
            <v>24T0916</v>
          </cell>
          <cell r="F475" t="str">
            <v>I000013407</v>
          </cell>
          <cell r="G475">
            <v>253700</v>
          </cell>
          <cell r="H475" t="str">
            <v>41375673830</v>
          </cell>
          <cell r="I475">
            <v>884398.1</v>
          </cell>
          <cell r="J475">
            <v>884398.1</v>
          </cell>
          <cell r="K475">
            <v>60.92</v>
          </cell>
          <cell r="L475" t="str">
            <v>WHSU6706388</v>
          </cell>
          <cell r="M475">
            <v>4</v>
          </cell>
          <cell r="N475" t="str">
            <v>40HQ</v>
          </cell>
          <cell r="O475">
            <v>2</v>
          </cell>
          <cell r="P475">
            <v>45574</v>
          </cell>
          <cell r="Q475">
            <v>45576</v>
          </cell>
          <cell r="R475" t="str">
            <v>金</v>
          </cell>
          <cell r="S475" t="str">
            <v>AM8:00</v>
          </cell>
        </row>
        <row r="476">
          <cell r="A476">
            <v>8625</v>
          </cell>
          <cell r="B476" t="str">
            <v>山本 和弥</v>
          </cell>
          <cell r="C476" t="str">
            <v>FUZILOGIX</v>
          </cell>
          <cell r="D476">
            <v>45563</v>
          </cell>
          <cell r="E476" t="str">
            <v>24T0917</v>
          </cell>
          <cell r="F476" t="str">
            <v>I000013409</v>
          </cell>
          <cell r="G476">
            <v>9000</v>
          </cell>
          <cell r="H476" t="str">
            <v>41375673830</v>
          </cell>
          <cell r="I476">
            <v>744467.2</v>
          </cell>
          <cell r="J476">
            <v>744467.2</v>
          </cell>
          <cell r="K476">
            <v>60.4</v>
          </cell>
          <cell r="L476" t="str">
            <v>WHSU6069910</v>
          </cell>
          <cell r="M476">
            <v>4</v>
          </cell>
          <cell r="N476" t="str">
            <v>40HQ</v>
          </cell>
          <cell r="O476">
            <v>2</v>
          </cell>
          <cell r="P476">
            <v>45574</v>
          </cell>
          <cell r="Q476">
            <v>45576</v>
          </cell>
          <cell r="R476" t="str">
            <v>金</v>
          </cell>
          <cell r="S476" t="str">
            <v>AM8:00</v>
          </cell>
        </row>
        <row r="477">
          <cell r="A477">
            <v>8626</v>
          </cell>
          <cell r="B477" t="str">
            <v>山本 和弥</v>
          </cell>
          <cell r="C477" t="str">
            <v>TRADIA</v>
          </cell>
          <cell r="D477">
            <v>45563</v>
          </cell>
          <cell r="E477" t="str">
            <v>24P0908</v>
          </cell>
          <cell r="F477" t="str">
            <v>I000013404</v>
          </cell>
          <cell r="G477">
            <v>124362.99</v>
          </cell>
          <cell r="H477" t="str">
            <v>41375630540</v>
          </cell>
          <cell r="I477">
            <v>404446.98</v>
          </cell>
          <cell r="J477">
            <v>404446.98</v>
          </cell>
          <cell r="K477">
            <v>62.8</v>
          </cell>
          <cell r="L477" t="str">
            <v>WHSU6904573</v>
          </cell>
          <cell r="M477">
            <v>14</v>
          </cell>
          <cell r="N477" t="str">
            <v>40HQ</v>
          </cell>
          <cell r="O477">
            <v>2</v>
          </cell>
          <cell r="P477">
            <v>45570</v>
          </cell>
          <cell r="Q477">
            <v>45581</v>
          </cell>
          <cell r="R477" t="str">
            <v>水</v>
          </cell>
          <cell r="S477" t="str">
            <v>AM9:30</v>
          </cell>
        </row>
        <row r="478">
          <cell r="A478">
            <v>8627</v>
          </cell>
          <cell r="B478" t="str">
            <v>川瀬 有里</v>
          </cell>
          <cell r="C478" t="str">
            <v>YUSEN</v>
          </cell>
          <cell r="D478">
            <v>45566</v>
          </cell>
          <cell r="E478" t="str">
            <v>24K0916</v>
          </cell>
          <cell r="F478" t="str">
            <v>I000013411</v>
          </cell>
          <cell r="G478">
            <v>102600</v>
          </cell>
          <cell r="H478" t="str">
            <v>31422780200</v>
          </cell>
          <cell r="J478">
            <v>419598</v>
          </cell>
          <cell r="K478">
            <v>29.47</v>
          </cell>
          <cell r="L478" t="str">
            <v>WHSU2310866</v>
          </cell>
          <cell r="M478">
            <v>3</v>
          </cell>
          <cell r="N478" t="str">
            <v>20’</v>
          </cell>
          <cell r="O478">
            <v>2</v>
          </cell>
          <cell r="P478">
            <v>45574</v>
          </cell>
          <cell r="Q478">
            <v>45590</v>
          </cell>
          <cell r="R478" t="str">
            <v>金</v>
          </cell>
          <cell r="S478" t="str">
            <v>AM8:30</v>
          </cell>
        </row>
        <row r="479">
          <cell r="A479">
            <v>8628</v>
          </cell>
          <cell r="B479" t="str">
            <v>川瀬 有里</v>
          </cell>
          <cell r="C479" t="str">
            <v>TRADIA</v>
          </cell>
          <cell r="D479">
            <v>45565</v>
          </cell>
          <cell r="E479" t="str">
            <v>24K0959</v>
          </cell>
          <cell r="F479" t="str">
            <v>K898/24</v>
          </cell>
          <cell r="H479" t="str">
            <v>31421859920</v>
          </cell>
          <cell r="I479">
            <v>277830</v>
          </cell>
          <cell r="J479">
            <v>277830</v>
          </cell>
          <cell r="K479">
            <v>7.01</v>
          </cell>
          <cell r="M479">
            <v>3</v>
          </cell>
          <cell r="N479" t="str">
            <v>AIR</v>
          </cell>
          <cell r="O479">
            <v>2</v>
          </cell>
          <cell r="P479">
            <v>45564</v>
          </cell>
          <cell r="Q479">
            <v>45565</v>
          </cell>
          <cell r="R479" t="str">
            <v>月</v>
          </cell>
          <cell r="S479" t="str">
            <v>AM8:30</v>
          </cell>
        </row>
        <row r="480">
          <cell r="A480">
            <v>8629</v>
          </cell>
          <cell r="B480" t="str">
            <v>川瀬 有里</v>
          </cell>
          <cell r="C480" t="str">
            <v>TRADIA</v>
          </cell>
          <cell r="D480">
            <v>45566</v>
          </cell>
          <cell r="E480" t="str">
            <v>24K0914</v>
          </cell>
          <cell r="F480" t="str">
            <v>I000013408</v>
          </cell>
          <cell r="G480">
            <v>3296450</v>
          </cell>
          <cell r="H480" t="str">
            <v>41376124040</v>
          </cell>
          <cell r="I480">
            <v>506980.26</v>
          </cell>
          <cell r="J480">
            <v>506980.26</v>
          </cell>
          <cell r="K480">
            <v>25.46</v>
          </cell>
          <cell r="L480" t="str">
            <v>WHSU2123417</v>
          </cell>
          <cell r="M480">
            <v>3</v>
          </cell>
          <cell r="N480" t="str">
            <v>20’</v>
          </cell>
          <cell r="O480">
            <v>2</v>
          </cell>
          <cell r="P480">
            <v>45572</v>
          </cell>
          <cell r="Q480">
            <v>45586</v>
          </cell>
          <cell r="R480" t="str">
            <v>月</v>
          </cell>
          <cell r="S480" t="str">
            <v>AM8:30</v>
          </cell>
        </row>
        <row r="481">
          <cell r="A481">
            <v>8630</v>
          </cell>
          <cell r="B481" t="str">
            <v>川瀬 有里</v>
          </cell>
          <cell r="C481" t="str">
            <v>TRADIA</v>
          </cell>
          <cell r="D481">
            <v>45566</v>
          </cell>
          <cell r="E481" t="str">
            <v>24K0915</v>
          </cell>
          <cell r="F481" t="str">
            <v>I000013418</v>
          </cell>
          <cell r="G481">
            <v>300650</v>
          </cell>
          <cell r="H481" t="str">
            <v>41376124040</v>
          </cell>
          <cell r="I481">
            <v>421160.5</v>
          </cell>
          <cell r="J481">
            <v>421160.5</v>
          </cell>
          <cell r="K481">
            <v>26.31</v>
          </cell>
          <cell r="L481" t="str">
            <v>WHSU2612953</v>
          </cell>
          <cell r="M481">
            <v>3</v>
          </cell>
          <cell r="N481" t="str">
            <v>20’</v>
          </cell>
          <cell r="O481">
            <v>2</v>
          </cell>
          <cell r="P481">
            <v>45572</v>
          </cell>
          <cell r="Q481">
            <v>45582</v>
          </cell>
          <cell r="R481" t="str">
            <v>木</v>
          </cell>
          <cell r="S481" t="str">
            <v>AM8:30</v>
          </cell>
        </row>
        <row r="482">
          <cell r="A482">
            <v>8631</v>
          </cell>
          <cell r="B482" t="str">
            <v>山本 和弥</v>
          </cell>
          <cell r="C482" t="str">
            <v>TRADIA</v>
          </cell>
          <cell r="D482">
            <v>45565</v>
          </cell>
          <cell r="E482" t="str">
            <v>24P0909</v>
          </cell>
          <cell r="F482" t="str">
            <v>I000013412</v>
          </cell>
          <cell r="H482" t="str">
            <v>21573427510</v>
          </cell>
          <cell r="I482">
            <v>418625.16</v>
          </cell>
          <cell r="J482">
            <v>418625.16</v>
          </cell>
          <cell r="K482">
            <v>64.53</v>
          </cell>
          <cell r="L482" t="str">
            <v>WHSU5526231</v>
          </cell>
          <cell r="M482">
            <v>11</v>
          </cell>
          <cell r="N482" t="str">
            <v>40HQ</v>
          </cell>
          <cell r="O482">
            <v>4</v>
          </cell>
          <cell r="P482">
            <v>45573</v>
          </cell>
          <cell r="Q482">
            <v>45589</v>
          </cell>
          <cell r="R482" t="str">
            <v>木</v>
          </cell>
          <cell r="S482" t="str">
            <v>AM7:30</v>
          </cell>
        </row>
        <row r="483">
          <cell r="A483">
            <v>8632</v>
          </cell>
          <cell r="B483" t="str">
            <v>山本 和弥</v>
          </cell>
          <cell r="C483" t="str">
            <v>FUZILOGIX</v>
          </cell>
          <cell r="D483">
            <v>45565</v>
          </cell>
          <cell r="E483" t="str">
            <v>24T0918</v>
          </cell>
          <cell r="F483" t="str">
            <v>I000013414</v>
          </cell>
          <cell r="H483" t="str">
            <v>11675927050</v>
          </cell>
          <cell r="I483">
            <v>686902.6</v>
          </cell>
          <cell r="J483">
            <v>686902.6</v>
          </cell>
          <cell r="K483">
            <v>61.28</v>
          </cell>
          <cell r="L483" t="str">
            <v>WHSU6198179</v>
          </cell>
          <cell r="M483">
            <v>4</v>
          </cell>
          <cell r="N483" t="str">
            <v>40HQ</v>
          </cell>
          <cell r="O483">
            <v>5</v>
          </cell>
          <cell r="P483">
            <v>45575</v>
          </cell>
          <cell r="Q483">
            <v>45580</v>
          </cell>
          <cell r="R483" t="str">
            <v>火</v>
          </cell>
          <cell r="S483" t="str">
            <v>AM8:00</v>
          </cell>
        </row>
        <row r="484">
          <cell r="A484">
            <v>8633</v>
          </cell>
          <cell r="B484" t="str">
            <v>山本 和弥</v>
          </cell>
          <cell r="C484" t="str">
            <v>FUZILOGIX</v>
          </cell>
          <cell r="D484">
            <v>45565</v>
          </cell>
          <cell r="E484" t="str">
            <v>24T0919</v>
          </cell>
          <cell r="F484" t="str">
            <v>I000013417</v>
          </cell>
          <cell r="H484" t="str">
            <v>41377774860</v>
          </cell>
          <cell r="I484">
            <v>612485.52</v>
          </cell>
          <cell r="J484">
            <v>612485.52</v>
          </cell>
          <cell r="K484">
            <v>63.37</v>
          </cell>
          <cell r="L484" t="str">
            <v>WHSU6139598</v>
          </cell>
          <cell r="M484">
            <v>4</v>
          </cell>
          <cell r="N484" t="str">
            <v>40HQ</v>
          </cell>
          <cell r="O484">
            <v>2</v>
          </cell>
          <cell r="P484">
            <v>45577</v>
          </cell>
          <cell r="Q484">
            <v>45581</v>
          </cell>
          <cell r="R484" t="str">
            <v>水</v>
          </cell>
          <cell r="S484" t="str">
            <v>AM8:00</v>
          </cell>
        </row>
        <row r="485">
          <cell r="A485">
            <v>8634</v>
          </cell>
          <cell r="B485" t="str">
            <v>山本 和弥</v>
          </cell>
          <cell r="C485" t="str">
            <v>FUZILOGIX</v>
          </cell>
          <cell r="D485">
            <v>45565</v>
          </cell>
          <cell r="E485" t="str">
            <v>24T0920</v>
          </cell>
          <cell r="F485" t="str">
            <v>I000013420</v>
          </cell>
          <cell r="H485" t="str">
            <v>41377774860</v>
          </cell>
          <cell r="I485">
            <v>632614.80000000005</v>
          </cell>
          <cell r="J485">
            <v>632614.80000000005</v>
          </cell>
          <cell r="K485">
            <v>60.4</v>
          </cell>
          <cell r="L485" t="str">
            <v>BEAU5912343</v>
          </cell>
          <cell r="M485">
            <v>4</v>
          </cell>
          <cell r="N485" t="str">
            <v>40HQ</v>
          </cell>
          <cell r="O485">
            <v>2</v>
          </cell>
          <cell r="P485">
            <v>45577</v>
          </cell>
          <cell r="Q485">
            <v>45581</v>
          </cell>
          <cell r="R485" t="str">
            <v>水</v>
          </cell>
          <cell r="S485" t="str">
            <v>AM8:00</v>
          </cell>
        </row>
        <row r="486">
          <cell r="A486">
            <v>8635</v>
          </cell>
          <cell r="B486" t="str">
            <v>川瀬 有里</v>
          </cell>
          <cell r="C486" t="str">
            <v>TRADIA</v>
          </cell>
          <cell r="D486">
            <v>45580</v>
          </cell>
          <cell r="E486" t="str">
            <v>24K1001</v>
          </cell>
          <cell r="F486" t="str">
            <v>I000013421</v>
          </cell>
          <cell r="H486" t="str">
            <v>41376793130</v>
          </cell>
          <cell r="I486">
            <v>315024.8</v>
          </cell>
          <cell r="J486">
            <v>315024.8</v>
          </cell>
          <cell r="K486">
            <v>24.09</v>
          </cell>
          <cell r="L486" t="str">
            <v>WHSU0281917</v>
          </cell>
          <cell r="M486">
            <v>3</v>
          </cell>
          <cell r="N486" t="str">
            <v>20’</v>
          </cell>
          <cell r="O486">
            <v>2</v>
          </cell>
          <cell r="P486">
            <v>45579</v>
          </cell>
          <cell r="Q486">
            <v>45586</v>
          </cell>
          <cell r="R486" t="str">
            <v>月</v>
          </cell>
          <cell r="S486" t="str">
            <v>AM8:30</v>
          </cell>
        </row>
        <row r="487">
          <cell r="A487">
            <v>8636</v>
          </cell>
          <cell r="B487" t="str">
            <v>川瀬 有里</v>
          </cell>
          <cell r="C487" t="str">
            <v>TRADIA</v>
          </cell>
          <cell r="D487">
            <v>45580</v>
          </cell>
          <cell r="E487" t="str">
            <v>24K1002</v>
          </cell>
          <cell r="F487" t="str">
            <v>I000013424</v>
          </cell>
          <cell r="H487" t="str">
            <v>41376793130</v>
          </cell>
          <cell r="I487">
            <v>307324.90000000002</v>
          </cell>
          <cell r="J487">
            <v>307324.90000000002</v>
          </cell>
          <cell r="K487">
            <v>23.68</v>
          </cell>
          <cell r="L487" t="str">
            <v>WHSU0232384</v>
          </cell>
          <cell r="M487">
            <v>3</v>
          </cell>
          <cell r="N487" t="str">
            <v>20’</v>
          </cell>
          <cell r="O487">
            <v>2</v>
          </cell>
          <cell r="P487">
            <v>45579</v>
          </cell>
          <cell r="Q487">
            <v>45588</v>
          </cell>
          <cell r="R487" t="str">
            <v>水</v>
          </cell>
          <cell r="S487" t="str">
            <v>AM8:30</v>
          </cell>
        </row>
        <row r="488">
          <cell r="A488">
            <v>8637</v>
          </cell>
          <cell r="B488" t="str">
            <v>川瀬 有里</v>
          </cell>
          <cell r="C488" t="str">
            <v>TRADIA</v>
          </cell>
          <cell r="D488">
            <v>45580</v>
          </cell>
          <cell r="E488" t="str">
            <v>24K1003</v>
          </cell>
          <cell r="F488" t="str">
            <v>I000013436</v>
          </cell>
          <cell r="H488" t="str">
            <v>41380210861</v>
          </cell>
          <cell r="I488">
            <v>460330.58</v>
          </cell>
          <cell r="J488">
            <v>460330.58</v>
          </cell>
          <cell r="K488">
            <v>26.93</v>
          </cell>
          <cell r="L488" t="str">
            <v>WHSU0154872</v>
          </cell>
          <cell r="M488">
            <v>3</v>
          </cell>
          <cell r="N488" t="str">
            <v>20’</v>
          </cell>
          <cell r="O488">
            <v>2</v>
          </cell>
          <cell r="P488">
            <v>45581</v>
          </cell>
          <cell r="Q488">
            <v>45594</v>
          </cell>
          <cell r="R488" t="str">
            <v>火</v>
          </cell>
          <cell r="S488" t="str">
            <v>AM8:30</v>
          </cell>
        </row>
        <row r="489">
          <cell r="A489">
            <v>8638</v>
          </cell>
          <cell r="B489" t="str">
            <v>川瀬 有里</v>
          </cell>
          <cell r="C489" t="str">
            <v>TRADIA</v>
          </cell>
          <cell r="D489">
            <v>45583</v>
          </cell>
          <cell r="E489" t="str">
            <v>24K1004</v>
          </cell>
          <cell r="F489" t="str">
            <v>I000013437</v>
          </cell>
          <cell r="G489">
            <v>6800</v>
          </cell>
          <cell r="H489" t="str">
            <v>41380210861</v>
          </cell>
          <cell r="I489">
            <v>372723.26</v>
          </cell>
          <cell r="J489">
            <v>372723.26</v>
          </cell>
          <cell r="K489">
            <v>24.36</v>
          </cell>
          <cell r="L489" t="str">
            <v>WHSU0224497</v>
          </cell>
          <cell r="M489">
            <v>3</v>
          </cell>
          <cell r="N489" t="str">
            <v>20’</v>
          </cell>
          <cell r="O489">
            <v>2</v>
          </cell>
          <cell r="P489">
            <v>45581</v>
          </cell>
          <cell r="Q489">
            <v>45594</v>
          </cell>
          <cell r="R489" t="str">
            <v>火</v>
          </cell>
          <cell r="S489" t="str">
            <v>AM8:30</v>
          </cell>
        </row>
        <row r="490">
          <cell r="A490">
            <v>8639</v>
          </cell>
          <cell r="B490" t="str">
            <v>川瀬 有里</v>
          </cell>
          <cell r="C490" t="str">
            <v>TRADIA</v>
          </cell>
          <cell r="D490">
            <v>45583</v>
          </cell>
          <cell r="E490" t="str">
            <v>24K1005</v>
          </cell>
          <cell r="F490" t="str">
            <v>I000013441</v>
          </cell>
          <cell r="G490">
            <v>5600</v>
          </cell>
          <cell r="H490" t="str">
            <v>41380210861</v>
          </cell>
          <cell r="I490">
            <v>431452.18</v>
          </cell>
          <cell r="J490">
            <v>431452.18</v>
          </cell>
          <cell r="K490">
            <v>26.43</v>
          </cell>
          <cell r="L490" t="str">
            <v>WHSU2815354</v>
          </cell>
          <cell r="M490">
            <v>3</v>
          </cell>
          <cell r="N490" t="str">
            <v>20’</v>
          </cell>
          <cell r="O490">
            <v>2</v>
          </cell>
          <cell r="P490">
            <v>45583</v>
          </cell>
          <cell r="Q490">
            <v>45597</v>
          </cell>
          <cell r="R490" t="str">
            <v>金</v>
          </cell>
          <cell r="S490" t="str">
            <v>AM8:00</v>
          </cell>
        </row>
        <row r="491">
          <cell r="A491">
            <v>8640</v>
          </cell>
          <cell r="B491" t="str">
            <v>川瀬 有里</v>
          </cell>
          <cell r="C491" t="str">
            <v>TRADIA</v>
          </cell>
          <cell r="D491">
            <v>45580</v>
          </cell>
          <cell r="E491" t="str">
            <v>24K1006</v>
          </cell>
          <cell r="F491" t="str">
            <v>I000013443</v>
          </cell>
          <cell r="H491" t="str">
            <v>41380210861</v>
          </cell>
          <cell r="I491">
            <v>271166.40000000002</v>
          </cell>
          <cell r="J491">
            <v>271166.40000000002</v>
          </cell>
          <cell r="K491">
            <v>24.39</v>
          </cell>
          <cell r="L491" t="str">
            <v>WHSU2528164</v>
          </cell>
          <cell r="M491">
            <v>3</v>
          </cell>
          <cell r="N491" t="str">
            <v>20’</v>
          </cell>
          <cell r="O491">
            <v>2</v>
          </cell>
          <cell r="P491">
            <v>45583</v>
          </cell>
          <cell r="Q491">
            <v>45601</v>
          </cell>
          <cell r="R491" t="str">
            <v>火</v>
          </cell>
          <cell r="S491" t="str">
            <v>AM8:30</v>
          </cell>
        </row>
        <row r="492">
          <cell r="A492">
            <v>8643</v>
          </cell>
          <cell r="B492" t="str">
            <v>川瀬 有里</v>
          </cell>
          <cell r="C492" t="str">
            <v>TRADIA</v>
          </cell>
          <cell r="D492">
            <v>45580</v>
          </cell>
          <cell r="E492" t="str">
            <v>24K1007</v>
          </cell>
          <cell r="F492" t="str">
            <v>I000013447</v>
          </cell>
          <cell r="H492" t="str">
            <v>41379634800</v>
          </cell>
          <cell r="I492">
            <v>403016.4</v>
          </cell>
          <cell r="J492">
            <v>403016.4</v>
          </cell>
          <cell r="K492">
            <v>24.83</v>
          </cell>
          <cell r="L492" t="str">
            <v>TGBU3624855</v>
          </cell>
          <cell r="M492">
            <v>3</v>
          </cell>
          <cell r="N492" t="str">
            <v>20’</v>
          </cell>
          <cell r="O492">
            <v>2</v>
          </cell>
          <cell r="P492">
            <v>45586</v>
          </cell>
        </row>
        <row r="493">
          <cell r="A493">
            <v>8644</v>
          </cell>
          <cell r="B493" t="str">
            <v>山本 和弥</v>
          </cell>
          <cell r="C493" t="str">
            <v>FUZILOGIX</v>
          </cell>
          <cell r="D493">
            <v>45580</v>
          </cell>
          <cell r="E493" t="str">
            <v>24T1001</v>
          </cell>
          <cell r="F493" t="str">
            <v>I000013423</v>
          </cell>
          <cell r="H493" t="str">
            <v>41380985061</v>
          </cell>
          <cell r="I493">
            <v>779627.16</v>
          </cell>
          <cell r="J493">
            <v>779627.16</v>
          </cell>
          <cell r="K493">
            <v>64.87</v>
          </cell>
          <cell r="L493" t="str">
            <v>WHSU6322037</v>
          </cell>
          <cell r="M493">
            <v>4</v>
          </cell>
          <cell r="N493" t="str">
            <v>40HQ</v>
          </cell>
          <cell r="O493">
            <v>2</v>
          </cell>
          <cell r="P493">
            <v>45581</v>
          </cell>
          <cell r="Q493">
            <v>45583</v>
          </cell>
          <cell r="R493" t="str">
            <v>金</v>
          </cell>
          <cell r="S493" t="str">
            <v>AM8:00</v>
          </cell>
        </row>
        <row r="494">
          <cell r="A494">
            <v>8645</v>
          </cell>
          <cell r="B494" t="str">
            <v>山本 和弥</v>
          </cell>
          <cell r="C494" t="str">
            <v>FUZILOGIX</v>
          </cell>
          <cell r="D494">
            <v>45580</v>
          </cell>
          <cell r="E494" t="str">
            <v>24T1002</v>
          </cell>
          <cell r="F494" t="str">
            <v>I000013435</v>
          </cell>
          <cell r="H494" t="str">
            <v>11679621210</v>
          </cell>
          <cell r="I494">
            <v>597963.30000000005</v>
          </cell>
          <cell r="J494">
            <v>597963.30000000005</v>
          </cell>
          <cell r="K494">
            <v>64.75</v>
          </cell>
          <cell r="L494" t="str">
            <v>WHSU6654725</v>
          </cell>
          <cell r="M494">
            <v>4</v>
          </cell>
          <cell r="N494" t="str">
            <v>40HQ</v>
          </cell>
          <cell r="O494">
            <v>5</v>
          </cell>
          <cell r="P494">
            <v>45586</v>
          </cell>
          <cell r="Q494">
            <v>45588</v>
          </cell>
          <cell r="R494" t="str">
            <v>水</v>
          </cell>
          <cell r="S494" t="str">
            <v>AM8:00</v>
          </cell>
        </row>
        <row r="495">
          <cell r="A495">
            <v>8646</v>
          </cell>
          <cell r="B495" t="str">
            <v>山本 和弥</v>
          </cell>
          <cell r="C495" t="str">
            <v>TRADIA</v>
          </cell>
          <cell r="D495">
            <v>45580</v>
          </cell>
          <cell r="E495" t="str">
            <v>24P1001</v>
          </cell>
          <cell r="F495" t="str">
            <v>I000013428</v>
          </cell>
          <cell r="H495" t="str">
            <v>41380935950</v>
          </cell>
          <cell r="I495">
            <v>417611.52000000002</v>
          </cell>
          <cell r="J495">
            <v>417611.52000000002</v>
          </cell>
          <cell r="K495">
            <v>67.41</v>
          </cell>
          <cell r="L495" t="str">
            <v>WHSU6343908</v>
          </cell>
          <cell r="M495">
            <v>14</v>
          </cell>
          <cell r="N495" t="str">
            <v>40HQ</v>
          </cell>
          <cell r="O495">
            <v>2</v>
          </cell>
          <cell r="P495">
            <v>45581</v>
          </cell>
          <cell r="Q495">
            <v>45593</v>
          </cell>
          <cell r="R495" t="str">
            <v>月</v>
          </cell>
          <cell r="S495" t="str">
            <v>AM9:30</v>
          </cell>
        </row>
        <row r="496">
          <cell r="A496">
            <v>8647</v>
          </cell>
          <cell r="B496" t="str">
            <v>山本 和弥</v>
          </cell>
          <cell r="C496" t="str">
            <v>TRADIA</v>
          </cell>
          <cell r="D496">
            <v>45580</v>
          </cell>
          <cell r="E496" t="str">
            <v>24P1002</v>
          </cell>
          <cell r="F496" t="str">
            <v>I000013444</v>
          </cell>
          <cell r="H496" t="str">
            <v>21575191510</v>
          </cell>
          <cell r="I496">
            <v>492812.58</v>
          </cell>
          <cell r="J496">
            <v>492812.58</v>
          </cell>
          <cell r="K496">
            <v>64.430000000000007</v>
          </cell>
          <cell r="L496" t="str">
            <v>WHSU6633234</v>
          </cell>
          <cell r="M496">
            <v>11</v>
          </cell>
          <cell r="N496" t="str">
            <v>40HQ</v>
          </cell>
          <cell r="O496">
            <v>4</v>
          </cell>
          <cell r="P496">
            <v>45588</v>
          </cell>
          <cell r="Q496">
            <v>45597</v>
          </cell>
          <cell r="R496" t="str">
            <v>金</v>
          </cell>
          <cell r="S496" t="str">
            <v>AM7:30</v>
          </cell>
        </row>
        <row r="497">
          <cell r="A497">
            <v>8648</v>
          </cell>
          <cell r="B497" t="str">
            <v>山本 和弥</v>
          </cell>
          <cell r="C497" t="str">
            <v>TRADIA</v>
          </cell>
          <cell r="D497">
            <v>45580</v>
          </cell>
          <cell r="E497" t="str">
            <v>24P1003</v>
          </cell>
          <cell r="F497" t="str">
            <v>I000013452</v>
          </cell>
          <cell r="H497" t="str">
            <v>41380731550</v>
          </cell>
          <cell r="I497">
            <v>432339.18</v>
          </cell>
          <cell r="J497">
            <v>432339.18</v>
          </cell>
          <cell r="K497">
            <v>61.98</v>
          </cell>
          <cell r="L497" t="str">
            <v>GAOU6777473</v>
          </cell>
          <cell r="M497">
            <v>14</v>
          </cell>
          <cell r="N497" t="str">
            <v>40HQ</v>
          </cell>
          <cell r="O497">
            <v>2</v>
          </cell>
          <cell r="P497">
            <v>45586</v>
          </cell>
          <cell r="Q497">
            <v>45601</v>
          </cell>
          <cell r="R497" t="str">
            <v>火</v>
          </cell>
          <cell r="S497" t="str">
            <v>AM9:30</v>
          </cell>
        </row>
        <row r="498">
          <cell r="A498">
            <v>8649</v>
          </cell>
          <cell r="B498" t="str">
            <v>山本 和弥</v>
          </cell>
          <cell r="C498" t="str">
            <v>FUZILOGIX</v>
          </cell>
          <cell r="D498">
            <v>45582</v>
          </cell>
          <cell r="E498" t="str">
            <v>24T1003</v>
          </cell>
          <cell r="F498" t="str">
            <v>I000013446</v>
          </cell>
          <cell r="H498" t="str">
            <v>41381143040</v>
          </cell>
          <cell r="I498">
            <v>711713.96</v>
          </cell>
          <cell r="J498">
            <v>711713.96</v>
          </cell>
          <cell r="K498">
            <v>63.85</v>
          </cell>
          <cell r="L498" t="str">
            <v>OOLU9502959</v>
          </cell>
          <cell r="M498">
            <v>4</v>
          </cell>
          <cell r="N498" t="str">
            <v>40HQ</v>
          </cell>
          <cell r="O498">
            <v>2</v>
          </cell>
          <cell r="P498">
            <v>45590</v>
          </cell>
          <cell r="Q498">
            <v>45594</v>
          </cell>
          <cell r="R498" t="str">
            <v>火</v>
          </cell>
          <cell r="S498" t="str">
            <v>AM8:00</v>
          </cell>
        </row>
        <row r="499">
          <cell r="A499">
            <v>8650</v>
          </cell>
          <cell r="B499" t="str">
            <v>山本 和弥</v>
          </cell>
          <cell r="C499" t="str">
            <v>FUZILOGIX</v>
          </cell>
          <cell r="D499">
            <v>45582</v>
          </cell>
          <cell r="E499" t="str">
            <v>24T1005</v>
          </cell>
          <cell r="F499" t="str">
            <v>I000013454</v>
          </cell>
          <cell r="H499" t="str">
            <v>11681296200</v>
          </cell>
          <cell r="I499">
            <v>565568</v>
          </cell>
          <cell r="J499">
            <v>565568</v>
          </cell>
          <cell r="K499">
            <v>64.739999999999995</v>
          </cell>
          <cell r="L499" t="str">
            <v>WHSU6340241</v>
          </cell>
          <cell r="M499">
            <v>4</v>
          </cell>
          <cell r="N499" t="str">
            <v>40HQ</v>
          </cell>
          <cell r="O499">
            <v>5</v>
          </cell>
          <cell r="P499">
            <v>45588</v>
          </cell>
          <cell r="Q499">
            <v>45590</v>
          </cell>
          <cell r="R499" t="str">
            <v>金</v>
          </cell>
          <cell r="S499" t="str">
            <v>AM8:00</v>
          </cell>
        </row>
        <row r="500">
          <cell r="A500">
            <v>8651</v>
          </cell>
          <cell r="B500" t="str">
            <v>山本 和弥</v>
          </cell>
          <cell r="C500" t="str">
            <v>FUZILOGIX</v>
          </cell>
          <cell r="D500">
            <v>45583</v>
          </cell>
          <cell r="E500" t="str">
            <v>24T1004</v>
          </cell>
          <cell r="F500" t="str">
            <v>I000013449</v>
          </cell>
          <cell r="H500" t="str">
            <v>41380966200</v>
          </cell>
          <cell r="I500">
            <v>655329.42000000004</v>
          </cell>
          <cell r="J500">
            <v>655329.42000000004</v>
          </cell>
          <cell r="K500">
            <v>65.27</v>
          </cell>
          <cell r="L500" t="str">
            <v>WHSU6399743</v>
          </cell>
          <cell r="M500">
            <v>4</v>
          </cell>
          <cell r="N500" t="str">
            <v>40HQ</v>
          </cell>
          <cell r="O500">
            <v>2</v>
          </cell>
          <cell r="P500">
            <v>45589</v>
          </cell>
          <cell r="Q500">
            <v>45593</v>
          </cell>
          <cell r="R500" t="str">
            <v>月</v>
          </cell>
          <cell r="S500" t="str">
            <v>AM8:00</v>
          </cell>
        </row>
        <row r="501">
          <cell r="A501">
            <v>8652</v>
          </cell>
          <cell r="B501" t="str">
            <v>山本 和弥</v>
          </cell>
          <cell r="C501" t="str">
            <v>FUZILOGIX</v>
          </cell>
          <cell r="D501">
            <v>45583</v>
          </cell>
          <cell r="E501" t="str">
            <v>24T1006</v>
          </cell>
          <cell r="F501" t="str">
            <v>I000013460</v>
          </cell>
          <cell r="G501">
            <v>2400100</v>
          </cell>
          <cell r="H501" t="str">
            <v>41380966200</v>
          </cell>
          <cell r="I501">
            <v>793348.12</v>
          </cell>
          <cell r="J501">
            <v>793348.12</v>
          </cell>
          <cell r="K501">
            <v>59.68</v>
          </cell>
          <cell r="L501" t="str">
            <v>WHSU6753651</v>
          </cell>
          <cell r="M501">
            <v>4</v>
          </cell>
          <cell r="N501" t="str">
            <v>40HQ</v>
          </cell>
          <cell r="O501">
            <v>2</v>
          </cell>
          <cell r="P501">
            <v>45589</v>
          </cell>
          <cell r="Q501">
            <v>45593</v>
          </cell>
          <cell r="R501" t="str">
            <v>月</v>
          </cell>
          <cell r="S501" t="str">
            <v>AM8:00</v>
          </cell>
        </row>
        <row r="502">
          <cell r="A502">
            <v>8653</v>
          </cell>
          <cell r="B502" t="str">
            <v>山本 和弥</v>
          </cell>
          <cell r="C502" t="str">
            <v>FUZILOGIX</v>
          </cell>
          <cell r="D502">
            <v>45583</v>
          </cell>
          <cell r="E502" t="str">
            <v>24T1007</v>
          </cell>
          <cell r="F502" t="str">
            <v>I000013469</v>
          </cell>
          <cell r="G502">
            <v>231600</v>
          </cell>
          <cell r="H502" t="str">
            <v>41380966200</v>
          </cell>
          <cell r="I502">
            <v>659860.39</v>
          </cell>
          <cell r="J502">
            <v>659860.39</v>
          </cell>
          <cell r="K502">
            <v>64.53</v>
          </cell>
          <cell r="L502" t="str">
            <v>WHSU6380809</v>
          </cell>
          <cell r="M502">
            <v>4</v>
          </cell>
          <cell r="N502" t="str">
            <v>40HQ</v>
          </cell>
          <cell r="O502">
            <v>2</v>
          </cell>
          <cell r="P502">
            <v>45589</v>
          </cell>
          <cell r="Q502">
            <v>45593</v>
          </cell>
          <cell r="R502" t="str">
            <v>月</v>
          </cell>
          <cell r="S502" t="str">
            <v>AM8:00</v>
          </cell>
        </row>
        <row r="503">
          <cell r="A503">
            <v>8654</v>
          </cell>
          <cell r="B503" t="str">
            <v>山本 和弥</v>
          </cell>
          <cell r="C503" t="str">
            <v>KONOIKE</v>
          </cell>
          <cell r="D503">
            <v>45584</v>
          </cell>
          <cell r="E503" t="str">
            <v>24T1052</v>
          </cell>
          <cell r="F503" t="str">
            <v>I000013472</v>
          </cell>
          <cell r="H503" t="str">
            <v>40730542740</v>
          </cell>
          <cell r="I503">
            <v>2340.7199999999998</v>
          </cell>
          <cell r="J503">
            <v>2340.7199999999998</v>
          </cell>
          <cell r="K503">
            <v>0.25</v>
          </cell>
          <cell r="M503">
            <v>4</v>
          </cell>
          <cell r="N503" t="str">
            <v>AIR</v>
          </cell>
          <cell r="O503">
            <v>2</v>
          </cell>
          <cell r="Q503">
            <v>45587</v>
          </cell>
          <cell r="R503" t="str">
            <v>火</v>
          </cell>
          <cell r="S503" t="str">
            <v>AM8:00</v>
          </cell>
        </row>
        <row r="504">
          <cell r="A504">
            <v>8655</v>
          </cell>
          <cell r="B504" t="str">
            <v>山本 和弥</v>
          </cell>
          <cell r="C504" t="str">
            <v>TRADIA</v>
          </cell>
          <cell r="D504">
            <v>45584</v>
          </cell>
          <cell r="E504" t="str">
            <v>24P1004</v>
          </cell>
          <cell r="F504" t="str">
            <v>I000013462</v>
          </cell>
          <cell r="H504" t="str">
            <v>21574818520</v>
          </cell>
          <cell r="I504">
            <v>419778.24</v>
          </cell>
          <cell r="J504">
            <v>419778.24</v>
          </cell>
          <cell r="K504">
            <v>62.45</v>
          </cell>
          <cell r="L504" t="str">
            <v>WHSU6924986</v>
          </cell>
          <cell r="M504">
            <v>14</v>
          </cell>
          <cell r="N504" t="str">
            <v>40HQ</v>
          </cell>
          <cell r="O504">
            <v>2</v>
          </cell>
          <cell r="P504">
            <v>45589</v>
          </cell>
          <cell r="Q504">
            <v>45595</v>
          </cell>
          <cell r="R504" t="str">
            <v>水</v>
          </cell>
          <cell r="S504" t="str">
            <v>AM9:30</v>
          </cell>
        </row>
        <row r="505">
          <cell r="A505">
            <v>8656</v>
          </cell>
          <cell r="B505" t="str">
            <v>山本 和弥</v>
          </cell>
          <cell r="C505" t="str">
            <v>TRADIA</v>
          </cell>
          <cell r="D505">
            <v>45584</v>
          </cell>
          <cell r="E505" t="str">
            <v>24P1005</v>
          </cell>
          <cell r="F505" t="str">
            <v>I000013478</v>
          </cell>
          <cell r="H505" t="str">
            <v>41381879810</v>
          </cell>
          <cell r="I505">
            <v>437448.18</v>
          </cell>
          <cell r="J505">
            <v>437448.18</v>
          </cell>
          <cell r="K505">
            <v>63.72</v>
          </cell>
          <cell r="L505" t="str">
            <v>WHSU6610814</v>
          </cell>
          <cell r="M505">
            <v>11</v>
          </cell>
          <cell r="N505" t="str">
            <v>40HQ</v>
          </cell>
          <cell r="O505">
            <v>4</v>
          </cell>
          <cell r="P505">
            <v>45591</v>
          </cell>
          <cell r="Q505">
            <v>45602</v>
          </cell>
          <cell r="R505" t="str">
            <v>水</v>
          </cell>
          <cell r="S505" t="str">
            <v>AM7:30</v>
          </cell>
        </row>
        <row r="506">
          <cell r="A506">
            <v>8657</v>
          </cell>
          <cell r="B506" t="str">
            <v>山本 和弥</v>
          </cell>
          <cell r="C506" t="str">
            <v>TRADIA</v>
          </cell>
          <cell r="D506">
            <v>45590</v>
          </cell>
          <cell r="E506" t="str">
            <v>24K1008</v>
          </cell>
          <cell r="F506" t="str">
            <v>I000013450</v>
          </cell>
          <cell r="H506" t="str">
            <v>41380210420</v>
          </cell>
          <cell r="I506">
            <v>336282.88</v>
          </cell>
          <cell r="J506">
            <v>336282.88</v>
          </cell>
          <cell r="K506">
            <v>26.69</v>
          </cell>
          <cell r="L506" t="str">
            <v>WHLU0272186</v>
          </cell>
          <cell r="M506">
            <v>3</v>
          </cell>
          <cell r="N506" t="str">
            <v>20’</v>
          </cell>
          <cell r="O506">
            <v>2</v>
          </cell>
          <cell r="P506">
            <v>45589</v>
          </cell>
          <cell r="Q506">
            <v>45590</v>
          </cell>
          <cell r="R506" t="str">
            <v>金</v>
          </cell>
          <cell r="S506" t="str">
            <v>AM8:30</v>
          </cell>
        </row>
        <row r="507">
          <cell r="A507">
            <v>8658</v>
          </cell>
          <cell r="B507" t="str">
            <v>山本 和弥</v>
          </cell>
          <cell r="C507" t="str">
            <v>TRADIA</v>
          </cell>
          <cell r="D507">
            <v>45590</v>
          </cell>
          <cell r="E507" t="str">
            <v>24K1009</v>
          </cell>
          <cell r="F507" t="str">
            <v>I000013451</v>
          </cell>
          <cell r="H507" t="str">
            <v>41380210420</v>
          </cell>
          <cell r="I507">
            <v>301665.7</v>
          </cell>
          <cell r="J507">
            <v>301665.7</v>
          </cell>
          <cell r="K507">
            <v>26.93</v>
          </cell>
          <cell r="L507" t="str">
            <v>WHSU2379672</v>
          </cell>
          <cell r="M507">
            <v>3</v>
          </cell>
          <cell r="N507" t="str">
            <v>20’</v>
          </cell>
          <cell r="O507">
            <v>2</v>
          </cell>
          <cell r="P507">
            <v>45589</v>
          </cell>
          <cell r="Q507">
            <v>45590</v>
          </cell>
          <cell r="R507" t="str">
            <v>金</v>
          </cell>
          <cell r="S507" t="str">
            <v>AM8:30</v>
          </cell>
        </row>
        <row r="508">
          <cell r="A508">
            <v>8659</v>
          </cell>
          <cell r="B508" t="str">
            <v>山本 和弥</v>
          </cell>
          <cell r="C508" t="str">
            <v>TRADIA</v>
          </cell>
          <cell r="D508">
            <v>45590</v>
          </cell>
          <cell r="E508" t="str">
            <v>24K1010</v>
          </cell>
          <cell r="F508" t="str">
            <v>I000013456</v>
          </cell>
          <cell r="H508" t="str">
            <v>41380210420</v>
          </cell>
          <cell r="I508">
            <v>595473.69999999995</v>
          </cell>
          <cell r="J508">
            <v>595473.69999999995</v>
          </cell>
          <cell r="K508">
            <v>29.81</v>
          </cell>
          <cell r="L508" t="str">
            <v>WHSU2483795</v>
          </cell>
          <cell r="M508">
            <v>3</v>
          </cell>
          <cell r="N508" t="str">
            <v>20’</v>
          </cell>
          <cell r="O508">
            <v>2</v>
          </cell>
          <cell r="P508">
            <v>45589</v>
          </cell>
          <cell r="Q508">
            <v>45590</v>
          </cell>
          <cell r="R508" t="str">
            <v>金</v>
          </cell>
          <cell r="S508" t="str">
            <v>AM8:30</v>
          </cell>
        </row>
        <row r="509">
          <cell r="A509">
            <v>8660</v>
          </cell>
          <cell r="B509" t="str">
            <v>山本 和弥</v>
          </cell>
          <cell r="C509" t="str">
            <v>TRADIA</v>
          </cell>
          <cell r="D509">
            <v>45590</v>
          </cell>
          <cell r="E509" t="str">
            <v>24K1011</v>
          </cell>
          <cell r="F509" t="str">
            <v>I000013457</v>
          </cell>
          <cell r="H509" t="str">
            <v>41380210420</v>
          </cell>
          <cell r="I509">
            <v>404919.88</v>
          </cell>
          <cell r="J509">
            <v>404919.88</v>
          </cell>
          <cell r="K509">
            <v>25.64</v>
          </cell>
          <cell r="L509" t="str">
            <v>WHSU2915646</v>
          </cell>
          <cell r="M509">
            <v>3</v>
          </cell>
          <cell r="N509" t="str">
            <v>20’</v>
          </cell>
          <cell r="O509">
            <v>2</v>
          </cell>
          <cell r="P509">
            <v>45589</v>
          </cell>
          <cell r="Q509">
            <v>45590</v>
          </cell>
          <cell r="R509" t="str">
            <v>金</v>
          </cell>
          <cell r="S509" t="str">
            <v>AM8:30</v>
          </cell>
        </row>
        <row r="510">
          <cell r="A510">
            <v>8661</v>
          </cell>
          <cell r="B510" t="str">
            <v>山本 和弥</v>
          </cell>
          <cell r="C510" t="str">
            <v>FUZILOGIX</v>
          </cell>
          <cell r="D510">
            <v>45590</v>
          </cell>
          <cell r="E510" t="str">
            <v>24T1008</v>
          </cell>
          <cell r="F510" t="str">
            <v>I000013477</v>
          </cell>
          <cell r="H510" t="str">
            <v>41381640040</v>
          </cell>
          <cell r="I510">
            <v>675464.48</v>
          </cell>
          <cell r="J510">
            <v>675464.48</v>
          </cell>
          <cell r="K510">
            <v>64.17</v>
          </cell>
          <cell r="L510" t="str">
            <v>WHSU6622712</v>
          </cell>
          <cell r="M510">
            <v>4</v>
          </cell>
          <cell r="N510" t="str">
            <v>40HQ</v>
          </cell>
          <cell r="O510">
            <v>2</v>
          </cell>
          <cell r="P510">
            <v>45593</v>
          </cell>
          <cell r="Q510">
            <v>45595</v>
          </cell>
          <cell r="R510" t="str">
            <v>水</v>
          </cell>
          <cell r="S510" t="str">
            <v>AM8:00</v>
          </cell>
        </row>
        <row r="511">
          <cell r="A511">
            <v>8662</v>
          </cell>
          <cell r="B511" t="str">
            <v>山本 和弥</v>
          </cell>
          <cell r="C511" t="str">
            <v>FUZILOGIX</v>
          </cell>
          <cell r="D511">
            <v>45590</v>
          </cell>
          <cell r="E511" t="str">
            <v>24T1010</v>
          </cell>
          <cell r="F511" t="str">
            <v>I000013482</v>
          </cell>
          <cell r="G511">
            <v>435000</v>
          </cell>
          <cell r="H511" t="str">
            <v>41381640040</v>
          </cell>
          <cell r="I511">
            <v>726964.42</v>
          </cell>
          <cell r="J511">
            <v>726964.42</v>
          </cell>
          <cell r="K511">
            <v>65.400000000000006</v>
          </cell>
          <cell r="L511" t="str">
            <v>WHSU6908769</v>
          </cell>
          <cell r="M511">
            <v>4</v>
          </cell>
          <cell r="N511" t="str">
            <v>40HQ</v>
          </cell>
          <cell r="O511">
            <v>2</v>
          </cell>
          <cell r="P511">
            <v>45593</v>
          </cell>
          <cell r="Q511">
            <v>45595</v>
          </cell>
          <cell r="R511" t="str">
            <v>水</v>
          </cell>
          <cell r="S511" t="str">
            <v>AM8:00</v>
          </cell>
        </row>
        <row r="512">
          <cell r="A512">
            <v>8663</v>
          </cell>
          <cell r="B512" t="str">
            <v>山本 和弥</v>
          </cell>
          <cell r="C512" t="str">
            <v>FUZILOGIX</v>
          </cell>
          <cell r="D512">
            <v>45593</v>
          </cell>
          <cell r="E512" t="str">
            <v>24T1009</v>
          </cell>
          <cell r="F512" t="str">
            <v>I000013480</v>
          </cell>
          <cell r="H512" t="str">
            <v>11684243900</v>
          </cell>
          <cell r="J512">
            <v>636127.81999999995</v>
          </cell>
          <cell r="K512">
            <v>62.59</v>
          </cell>
          <cell r="L512" t="str">
            <v>WHSU6721891</v>
          </cell>
          <cell r="M512">
            <v>4</v>
          </cell>
          <cell r="N512" t="str">
            <v>40HQ</v>
          </cell>
          <cell r="O512">
            <v>5</v>
          </cell>
          <cell r="P512">
            <v>45595</v>
          </cell>
          <cell r="Q512">
            <v>45597</v>
          </cell>
          <cell r="R512" t="str">
            <v>金</v>
          </cell>
          <cell r="S512" t="str">
            <v>AM8:00</v>
          </cell>
        </row>
        <row r="513">
          <cell r="A513">
            <v>8664</v>
          </cell>
          <cell r="B513" t="str">
            <v>山本 和弥</v>
          </cell>
          <cell r="C513" t="str">
            <v>FUZILOGIX</v>
          </cell>
          <cell r="D513">
            <v>45593</v>
          </cell>
          <cell r="E513" t="str">
            <v>24T1011</v>
          </cell>
          <cell r="F513" t="str">
            <v>I000013486</v>
          </cell>
          <cell r="H513" t="str">
            <v>11684243900</v>
          </cell>
          <cell r="J513">
            <v>565568</v>
          </cell>
          <cell r="K513">
            <v>61.82</v>
          </cell>
          <cell r="L513" t="str">
            <v>WHSU6432306</v>
          </cell>
          <cell r="M513">
            <v>4</v>
          </cell>
          <cell r="N513" t="str">
            <v>40HQ</v>
          </cell>
          <cell r="O513">
            <v>5</v>
          </cell>
          <cell r="P513">
            <v>45595</v>
          </cell>
          <cell r="Q513">
            <v>45597</v>
          </cell>
          <cell r="R513" t="str">
            <v>金</v>
          </cell>
          <cell r="S513" t="str">
            <v>AM8:00</v>
          </cell>
        </row>
        <row r="514">
          <cell r="A514">
            <v>8665</v>
          </cell>
          <cell r="B514" t="str">
            <v>川瀬 有里</v>
          </cell>
          <cell r="C514" t="str">
            <v>TRADIA</v>
          </cell>
          <cell r="D514">
            <v>45593</v>
          </cell>
          <cell r="E514" t="str">
            <v>24K1012</v>
          </cell>
          <cell r="F514" t="str">
            <v>I000013481</v>
          </cell>
          <cell r="H514" t="str">
            <v>41381568310</v>
          </cell>
          <cell r="I514">
            <v>473251.4</v>
          </cell>
          <cell r="J514">
            <v>473251.4</v>
          </cell>
          <cell r="K514">
            <v>24.82</v>
          </cell>
          <cell r="L514" t="str">
            <v>WHSU2651100</v>
          </cell>
          <cell r="M514">
            <v>3</v>
          </cell>
          <cell r="N514" t="str">
            <v>20’</v>
          </cell>
          <cell r="O514">
            <v>2</v>
          </cell>
          <cell r="P514">
            <v>45591</v>
          </cell>
          <cell r="Q514">
            <v>45595</v>
          </cell>
          <cell r="R514" t="str">
            <v>水</v>
          </cell>
          <cell r="S514" t="str">
            <v>AM9:00</v>
          </cell>
        </row>
        <row r="515">
          <cell r="A515">
            <v>8666</v>
          </cell>
          <cell r="B515" t="str">
            <v>川瀬 有里</v>
          </cell>
          <cell r="C515" t="str">
            <v>TRADIA</v>
          </cell>
          <cell r="D515">
            <v>45593</v>
          </cell>
          <cell r="E515" t="str">
            <v>24K1013</v>
          </cell>
          <cell r="F515" t="str">
            <v>I000013484</v>
          </cell>
          <cell r="H515" t="str">
            <v>41382373640</v>
          </cell>
          <cell r="I515">
            <v>411557.26</v>
          </cell>
          <cell r="J515">
            <v>411557.26</v>
          </cell>
          <cell r="K515">
            <v>25.37</v>
          </cell>
          <cell r="L515" t="str">
            <v>WHLU0544725</v>
          </cell>
          <cell r="M515">
            <v>3</v>
          </cell>
          <cell r="N515" t="str">
            <v>20’</v>
          </cell>
          <cell r="O515">
            <v>2</v>
          </cell>
          <cell r="P515">
            <v>45594</v>
          </cell>
          <cell r="Q515">
            <v>45602</v>
          </cell>
          <cell r="R515" t="str">
            <v>水</v>
          </cell>
          <cell r="S515" t="str">
            <v>AM9:00</v>
          </cell>
        </row>
        <row r="516">
          <cell r="A516">
            <v>8667</v>
          </cell>
          <cell r="B516" t="str">
            <v>山本 和弥</v>
          </cell>
          <cell r="C516" t="str">
            <v>FUZILOGIX</v>
          </cell>
          <cell r="D516">
            <v>45593</v>
          </cell>
          <cell r="E516" t="str">
            <v>24T1012</v>
          </cell>
          <cell r="F516" t="str">
            <v>I000013491</v>
          </cell>
          <cell r="H516" t="str">
            <v>41383219720</v>
          </cell>
          <cell r="J516">
            <v>842750.22</v>
          </cell>
          <cell r="K516">
            <v>62.86</v>
          </cell>
          <cell r="L516" t="str">
            <v>WHSU6063419</v>
          </cell>
          <cell r="M516">
            <v>4</v>
          </cell>
          <cell r="N516" t="str">
            <v>40HQ</v>
          </cell>
          <cell r="O516">
            <v>2</v>
          </cell>
          <cell r="P516">
            <v>45596</v>
          </cell>
          <cell r="Q516">
            <v>45601</v>
          </cell>
          <cell r="R516" t="str">
            <v>火</v>
          </cell>
          <cell r="S516" t="str">
            <v>AM8:00</v>
          </cell>
        </row>
        <row r="517">
          <cell r="A517">
            <v>8668</v>
          </cell>
          <cell r="B517" t="str">
            <v>山本 和弥</v>
          </cell>
          <cell r="C517" t="str">
            <v>FUZILOGIX</v>
          </cell>
          <cell r="D517">
            <v>45593</v>
          </cell>
          <cell r="E517" t="str">
            <v>24T1013</v>
          </cell>
          <cell r="F517" t="str">
            <v>I000013496</v>
          </cell>
          <cell r="H517" t="str">
            <v>41383219720</v>
          </cell>
          <cell r="J517">
            <v>734726.18</v>
          </cell>
          <cell r="K517">
            <v>61.98</v>
          </cell>
          <cell r="L517" t="str">
            <v>WHSU6493723</v>
          </cell>
          <cell r="M517">
            <v>4</v>
          </cell>
          <cell r="N517" t="str">
            <v>40HQ</v>
          </cell>
          <cell r="O517">
            <v>2</v>
          </cell>
          <cell r="P517">
            <v>45596</v>
          </cell>
          <cell r="Q517">
            <v>45601</v>
          </cell>
          <cell r="R517" t="str">
            <v>火</v>
          </cell>
          <cell r="S517" t="str">
            <v>AM8:00</v>
          </cell>
        </row>
        <row r="518">
          <cell r="A518">
            <v>8669</v>
          </cell>
          <cell r="B518" t="str">
            <v>山本 和弥</v>
          </cell>
          <cell r="C518" t="str">
            <v>FUZILOGIX</v>
          </cell>
          <cell r="D518">
            <v>45593</v>
          </cell>
          <cell r="E518" t="str">
            <v>24T1014</v>
          </cell>
          <cell r="F518" t="str">
            <v>I000013497</v>
          </cell>
          <cell r="H518" t="str">
            <v>11686834600</v>
          </cell>
          <cell r="J518">
            <v>685390.78</v>
          </cell>
          <cell r="K518">
            <v>62.78</v>
          </cell>
          <cell r="L518" t="str">
            <v>TGBU8587501</v>
          </cell>
          <cell r="M518">
            <v>4</v>
          </cell>
          <cell r="N518" t="str">
            <v>40HQ</v>
          </cell>
          <cell r="O518">
            <v>5</v>
          </cell>
          <cell r="P518">
            <v>45598</v>
          </cell>
          <cell r="Q518">
            <v>45602</v>
          </cell>
          <cell r="R518" t="str">
            <v>水</v>
          </cell>
          <cell r="S518" t="str">
            <v>AM8:00</v>
          </cell>
        </row>
        <row r="519">
          <cell r="A519">
            <v>8670</v>
          </cell>
          <cell r="B519" t="str">
            <v>山本 和弥</v>
          </cell>
          <cell r="C519" t="str">
            <v>TRADIA</v>
          </cell>
          <cell r="D519">
            <v>45593</v>
          </cell>
          <cell r="E519" t="str">
            <v>24P1006</v>
          </cell>
          <cell r="F519" t="str">
            <v>I000013492</v>
          </cell>
          <cell r="H519" t="str">
            <v>21575853450</v>
          </cell>
          <cell r="I519">
            <v>471066.6</v>
          </cell>
          <cell r="J519">
            <v>471066.6</v>
          </cell>
          <cell r="K519">
            <v>66</v>
          </cell>
          <cell r="L519" t="str">
            <v>WHSU6250385</v>
          </cell>
          <cell r="M519">
            <v>11</v>
          </cell>
          <cell r="N519" t="str">
            <v>40HQ</v>
          </cell>
          <cell r="O519">
            <v>4</v>
          </cell>
          <cell r="P519">
            <v>45597</v>
          </cell>
          <cell r="Q519">
            <v>45602</v>
          </cell>
          <cell r="R519" t="str">
            <v>水</v>
          </cell>
          <cell r="S519" t="str">
            <v>AM7:30</v>
          </cell>
        </row>
        <row r="520">
          <cell r="A520">
            <v>8671</v>
          </cell>
          <cell r="B520" t="str">
            <v>山本 和弥</v>
          </cell>
          <cell r="C520" t="str">
            <v>TRADIA</v>
          </cell>
          <cell r="D520">
            <v>45593</v>
          </cell>
          <cell r="E520" t="str">
            <v>24P1007</v>
          </cell>
          <cell r="F520" t="str">
            <v>I000013504</v>
          </cell>
          <cell r="H520" t="str">
            <v>41384968430</v>
          </cell>
          <cell r="I520">
            <v>406600.02</v>
          </cell>
          <cell r="J520">
            <v>406600.02</v>
          </cell>
          <cell r="K520">
            <v>68.02</v>
          </cell>
          <cell r="L520" t="str">
            <v>WHSU6646761</v>
          </cell>
          <cell r="M520">
            <v>14</v>
          </cell>
          <cell r="N520" t="str">
            <v>40HQ</v>
          </cell>
          <cell r="O520">
            <v>2</v>
          </cell>
          <cell r="P520">
            <v>45600</v>
          </cell>
          <cell r="Q520">
            <v>45614</v>
          </cell>
          <cell r="R520" t="str">
            <v>月</v>
          </cell>
          <cell r="S520" t="str">
            <v>AM9:30</v>
          </cell>
        </row>
        <row r="521">
          <cell r="A521">
            <v>8672</v>
          </cell>
          <cell r="B521" t="str">
            <v>川瀬 有里</v>
          </cell>
          <cell r="C521" t="str">
            <v>TRADIA</v>
          </cell>
          <cell r="D521">
            <v>45595</v>
          </cell>
          <cell r="E521" t="str">
            <v>24K1014</v>
          </cell>
          <cell r="F521" t="str">
            <v>I000013493</v>
          </cell>
          <cell r="H521" t="str">
            <v>41383375450</v>
          </cell>
          <cell r="I521">
            <v>418609.2</v>
          </cell>
          <cell r="J521">
            <v>418609.2</v>
          </cell>
          <cell r="K521">
            <v>26.22</v>
          </cell>
          <cell r="L521" t="str">
            <v>WHLU0477313</v>
          </cell>
          <cell r="M521">
            <v>3</v>
          </cell>
          <cell r="N521" t="str">
            <v>20’</v>
          </cell>
          <cell r="O521">
            <v>2</v>
          </cell>
          <cell r="P521">
            <v>45596</v>
          </cell>
          <cell r="Q521">
            <v>45604</v>
          </cell>
          <cell r="R521" t="str">
            <v>金</v>
          </cell>
          <cell r="S521" t="str">
            <v>AM8:30</v>
          </cell>
        </row>
        <row r="522">
          <cell r="A522">
            <v>8673</v>
          </cell>
          <cell r="B522" t="str">
            <v>川瀬 有里</v>
          </cell>
          <cell r="C522" t="str">
            <v>TRADIA</v>
          </cell>
          <cell r="D522">
            <v>45595</v>
          </cell>
          <cell r="E522" t="str">
            <v>24K1015</v>
          </cell>
          <cell r="F522" t="str">
            <v>I000013502</v>
          </cell>
          <cell r="H522" t="str">
            <v>41384826810</v>
          </cell>
          <cell r="I522">
            <v>542265.59999999998</v>
          </cell>
          <cell r="J522">
            <v>542265.59999999998</v>
          </cell>
          <cell r="K522">
            <v>27.5</v>
          </cell>
          <cell r="L522" t="str">
            <v>TEMU5975294</v>
          </cell>
          <cell r="M522">
            <v>3</v>
          </cell>
          <cell r="N522" t="str">
            <v>20’</v>
          </cell>
          <cell r="O522">
            <v>2</v>
          </cell>
          <cell r="P522">
            <v>45600</v>
          </cell>
          <cell r="Q522">
            <v>45605</v>
          </cell>
          <cell r="R522" t="str">
            <v>土</v>
          </cell>
          <cell r="S522" t="str">
            <v>AM8:30</v>
          </cell>
        </row>
        <row r="523">
          <cell r="A523">
            <v>8674</v>
          </cell>
          <cell r="B523" t="str">
            <v>川瀬 有里</v>
          </cell>
          <cell r="C523" t="str">
            <v>TRADIA</v>
          </cell>
          <cell r="D523">
            <v>45595</v>
          </cell>
          <cell r="E523" t="str">
            <v>24K1016</v>
          </cell>
          <cell r="F523" t="str">
            <v>I000013505</v>
          </cell>
          <cell r="J523">
            <v>445713.57</v>
          </cell>
          <cell r="K523">
            <v>27.46</v>
          </cell>
          <cell r="L523" t="str">
            <v>WHSU0124380</v>
          </cell>
          <cell r="M523">
            <v>3</v>
          </cell>
          <cell r="N523" t="str">
            <v>20’</v>
          </cell>
          <cell r="O523">
            <v>2</v>
          </cell>
          <cell r="P523">
            <v>45600</v>
          </cell>
          <cell r="Q523">
            <v>45628</v>
          </cell>
          <cell r="R523" t="str">
            <v>月</v>
          </cell>
          <cell r="S523" t="str">
            <v>AM8:30</v>
          </cell>
        </row>
        <row r="524">
          <cell r="A524">
            <v>8675</v>
          </cell>
          <cell r="B524" t="str">
            <v>川瀬 有里</v>
          </cell>
          <cell r="C524" t="str">
            <v>TRADIA</v>
          </cell>
          <cell r="D524">
            <v>45595</v>
          </cell>
          <cell r="E524" t="str">
            <v>24K1017</v>
          </cell>
          <cell r="F524" t="str">
            <v>I000013511</v>
          </cell>
          <cell r="J524">
            <v>324454.65999999997</v>
          </cell>
          <cell r="K524">
            <v>27.59</v>
          </cell>
          <cell r="L524" t="str">
            <v>WHSU0301910</v>
          </cell>
          <cell r="M524">
            <v>3</v>
          </cell>
          <cell r="N524" t="str">
            <v>20’</v>
          </cell>
          <cell r="O524">
            <v>2</v>
          </cell>
          <cell r="P524">
            <v>45600</v>
          </cell>
          <cell r="Q524">
            <v>45614</v>
          </cell>
          <cell r="R524" t="str">
            <v>月</v>
          </cell>
          <cell r="S524" t="str">
            <v>AM8:30</v>
          </cell>
        </row>
        <row r="525">
          <cell r="A525">
            <v>8676</v>
          </cell>
          <cell r="B525" t="str">
            <v>川瀬 有里</v>
          </cell>
          <cell r="C525" t="str">
            <v>TRADIA</v>
          </cell>
          <cell r="D525">
            <v>45581</v>
          </cell>
          <cell r="E525" t="str">
            <v>24K1055</v>
          </cell>
          <cell r="F525" t="str">
            <v>I000013463</v>
          </cell>
          <cell r="J525">
            <v>141972.4</v>
          </cell>
          <cell r="K525">
            <v>7.33</v>
          </cell>
          <cell r="M525">
            <v>3</v>
          </cell>
          <cell r="N525" t="str">
            <v>AIR</v>
          </cell>
          <cell r="O525">
            <v>2</v>
          </cell>
          <cell r="P525">
            <v>45581</v>
          </cell>
          <cell r="Q525">
            <v>45583</v>
          </cell>
          <cell r="R525" t="str">
            <v>金</v>
          </cell>
          <cell r="S525" t="str">
            <v>AM8:30</v>
          </cell>
        </row>
        <row r="526">
          <cell r="A526">
            <v>8677</v>
          </cell>
          <cell r="B526" t="str">
            <v>川瀬 有里</v>
          </cell>
          <cell r="C526" t="str">
            <v>TRADIA</v>
          </cell>
          <cell r="D526">
            <v>45582</v>
          </cell>
          <cell r="E526" t="str">
            <v>24K1056</v>
          </cell>
          <cell r="F526" t="str">
            <v>I000013470</v>
          </cell>
          <cell r="J526">
            <v>116387.04</v>
          </cell>
          <cell r="K526">
            <v>5.12</v>
          </cell>
          <cell r="M526">
            <v>3</v>
          </cell>
          <cell r="N526" t="str">
            <v>AIR</v>
          </cell>
          <cell r="O526">
            <v>2</v>
          </cell>
          <cell r="P526">
            <v>45581</v>
          </cell>
          <cell r="Q526">
            <v>45586</v>
          </cell>
          <cell r="R526" t="str">
            <v>月</v>
          </cell>
          <cell r="S526" t="str">
            <v>AM8:30</v>
          </cell>
        </row>
        <row r="527">
          <cell r="A527">
            <v>8678</v>
          </cell>
          <cell r="B527" t="str">
            <v>川瀬 有里</v>
          </cell>
          <cell r="C527" t="str">
            <v>TRADIA</v>
          </cell>
          <cell r="D527">
            <v>45572</v>
          </cell>
          <cell r="E527" t="str">
            <v>24K1051</v>
          </cell>
          <cell r="F527" t="str">
            <v>I000013422</v>
          </cell>
          <cell r="J527">
            <v>5160</v>
          </cell>
          <cell r="K527">
            <v>0.04</v>
          </cell>
          <cell r="M527">
            <v>3</v>
          </cell>
          <cell r="N527" t="str">
            <v>AIR</v>
          </cell>
          <cell r="O527">
            <v>2</v>
          </cell>
          <cell r="P527">
            <v>45572</v>
          </cell>
          <cell r="Q527">
            <v>45573</v>
          </cell>
          <cell r="R527" t="str">
            <v>火</v>
          </cell>
          <cell r="S527" t="str">
            <v>AM8:30</v>
          </cell>
        </row>
        <row r="528">
          <cell r="A528">
            <v>8679</v>
          </cell>
          <cell r="B528" t="str">
            <v>山本 和弥</v>
          </cell>
          <cell r="C528" t="str">
            <v>FUZILOGIX</v>
          </cell>
          <cell r="D528">
            <v>45597</v>
          </cell>
          <cell r="E528" t="str">
            <v>24T1015</v>
          </cell>
          <cell r="F528" t="str">
            <v>I000013501</v>
          </cell>
          <cell r="H528" t="str">
            <v>41385480831</v>
          </cell>
          <cell r="J528">
            <v>685138.86</v>
          </cell>
          <cell r="K528">
            <v>62.73</v>
          </cell>
          <cell r="L528" t="str">
            <v>WHSU6486010</v>
          </cell>
          <cell r="M528">
            <v>4</v>
          </cell>
          <cell r="N528" t="str">
            <v>40HQ</v>
          </cell>
          <cell r="O528">
            <v>2</v>
          </cell>
          <cell r="P528">
            <v>45602</v>
          </cell>
          <cell r="Q528">
            <v>45604</v>
          </cell>
          <cell r="R528" t="str">
            <v>金</v>
          </cell>
          <cell r="S528" t="str">
            <v>AM8:00</v>
          </cell>
        </row>
        <row r="529">
          <cell r="A529">
            <v>8680</v>
          </cell>
          <cell r="B529" t="str">
            <v>山本 和弥</v>
          </cell>
          <cell r="C529" t="str">
            <v>FUZILOGIX</v>
          </cell>
          <cell r="D529">
            <v>45597</v>
          </cell>
          <cell r="E529" t="str">
            <v>24T1017</v>
          </cell>
          <cell r="F529" t="str">
            <v>I000013519</v>
          </cell>
          <cell r="G529">
            <v>5200</v>
          </cell>
          <cell r="H529" t="str">
            <v>41385480831</v>
          </cell>
          <cell r="J529">
            <v>833769.18</v>
          </cell>
          <cell r="K529">
            <v>62.15</v>
          </cell>
          <cell r="L529" t="str">
            <v>WHSU6325360</v>
          </cell>
          <cell r="M529">
            <v>4</v>
          </cell>
          <cell r="N529" t="str">
            <v>40HQ</v>
          </cell>
          <cell r="O529">
            <v>2</v>
          </cell>
          <cell r="P529">
            <v>45602</v>
          </cell>
          <cell r="Q529">
            <v>45604</v>
          </cell>
          <cell r="R529" t="str">
            <v>金</v>
          </cell>
          <cell r="S529" t="str">
            <v>AM8:00</v>
          </cell>
        </row>
        <row r="530">
          <cell r="A530">
            <v>8681</v>
          </cell>
          <cell r="B530" t="str">
            <v>山本 和弥</v>
          </cell>
          <cell r="C530" t="str">
            <v>FUZILOGIX</v>
          </cell>
          <cell r="D530">
            <v>45602</v>
          </cell>
          <cell r="E530" t="str">
            <v>24T1016</v>
          </cell>
          <cell r="F530" t="str">
            <v>I000013503</v>
          </cell>
          <cell r="H530" t="str">
            <v>11686948440</v>
          </cell>
          <cell r="J530">
            <v>632526.18000000005</v>
          </cell>
          <cell r="K530">
            <v>61.53</v>
          </cell>
          <cell r="L530" t="str">
            <v>WHSU6424532</v>
          </cell>
          <cell r="M530">
            <v>4</v>
          </cell>
          <cell r="N530" t="str">
            <v>40HQ</v>
          </cell>
          <cell r="O530">
            <v>5</v>
          </cell>
          <cell r="P530">
            <v>45604</v>
          </cell>
          <cell r="Q530">
            <v>45608</v>
          </cell>
          <cell r="R530" t="str">
            <v>火</v>
          </cell>
          <cell r="S530" t="str">
            <v>AM8:00</v>
          </cell>
        </row>
        <row r="531">
          <cell r="A531">
            <v>8682</v>
          </cell>
          <cell r="B531" t="str">
            <v>山本 和弥</v>
          </cell>
          <cell r="C531" t="str">
            <v>FUZILOGIX</v>
          </cell>
          <cell r="D531">
            <v>45602</v>
          </cell>
          <cell r="E531" t="str">
            <v>24T1018</v>
          </cell>
          <cell r="F531" t="str">
            <v>I000013510</v>
          </cell>
          <cell r="H531" t="str">
            <v>11687395150</v>
          </cell>
          <cell r="J531">
            <v>528554.16</v>
          </cell>
          <cell r="K531">
            <v>64.97</v>
          </cell>
          <cell r="L531" t="str">
            <v>WHSU6278464</v>
          </cell>
          <cell r="M531">
            <v>4</v>
          </cell>
          <cell r="N531" t="str">
            <v>40HQ</v>
          </cell>
          <cell r="O531">
            <v>5</v>
          </cell>
          <cell r="P531">
            <v>45605</v>
          </cell>
          <cell r="Q531">
            <v>45609</v>
          </cell>
          <cell r="R531" t="str">
            <v>水</v>
          </cell>
          <cell r="S531" t="str">
            <v>AM8:00</v>
          </cell>
        </row>
        <row r="532">
          <cell r="A532">
            <v>8683</v>
          </cell>
          <cell r="B532" t="str">
            <v>山本 和弥</v>
          </cell>
          <cell r="C532" t="str">
            <v>FUZILOGIX</v>
          </cell>
          <cell r="D532">
            <v>45602</v>
          </cell>
          <cell r="E532" t="str">
            <v>24T1021</v>
          </cell>
          <cell r="F532" t="str">
            <v>I000013522</v>
          </cell>
          <cell r="H532" t="str">
            <v>11687395150</v>
          </cell>
          <cell r="J532">
            <v>612499.26</v>
          </cell>
          <cell r="K532">
            <v>64.069999999999993</v>
          </cell>
          <cell r="L532" t="str">
            <v>WHSU5868851</v>
          </cell>
          <cell r="M532">
            <v>4</v>
          </cell>
          <cell r="N532" t="str">
            <v>40HQ</v>
          </cell>
          <cell r="O532">
            <v>5</v>
          </cell>
          <cell r="P532">
            <v>45605</v>
          </cell>
          <cell r="Q532">
            <v>45609</v>
          </cell>
          <cell r="R532" t="str">
            <v>水</v>
          </cell>
          <cell r="S532" t="str">
            <v>AM8:00</v>
          </cell>
        </row>
        <row r="533">
          <cell r="A533">
            <v>8684</v>
          </cell>
          <cell r="B533" t="str">
            <v>山本 和弥</v>
          </cell>
          <cell r="C533" t="str">
            <v>FUZILOGIX</v>
          </cell>
          <cell r="D533">
            <v>45602</v>
          </cell>
          <cell r="E533" t="str">
            <v>24T1020</v>
          </cell>
          <cell r="F533" t="str">
            <v>I000013525</v>
          </cell>
          <cell r="H533" t="str">
            <v>41386156330</v>
          </cell>
          <cell r="J533">
            <v>828832.48</v>
          </cell>
          <cell r="K533">
            <v>56.31</v>
          </cell>
          <cell r="L533" t="str">
            <v>WHSU6421739</v>
          </cell>
          <cell r="M533">
            <v>4</v>
          </cell>
          <cell r="N533" t="str">
            <v>40HQ</v>
          </cell>
          <cell r="O533">
            <v>2</v>
          </cell>
          <cell r="P533">
            <v>45603</v>
          </cell>
          <cell r="Q533">
            <v>45607</v>
          </cell>
          <cell r="R533" t="str">
            <v>月</v>
          </cell>
          <cell r="S533" t="str">
            <v>AM8:00</v>
          </cell>
        </row>
        <row r="534">
          <cell r="A534">
            <v>8685</v>
          </cell>
          <cell r="B534" t="str">
            <v>山本 和弥</v>
          </cell>
          <cell r="C534" t="str">
            <v>FUZILOGIX</v>
          </cell>
          <cell r="D534">
            <v>45603</v>
          </cell>
          <cell r="E534" t="str">
            <v>24T1101</v>
          </cell>
          <cell r="F534" t="str">
            <v>I000013530</v>
          </cell>
          <cell r="H534" t="str">
            <v>41385810900</v>
          </cell>
          <cell r="J534">
            <v>588992.43999999994</v>
          </cell>
          <cell r="K534">
            <v>60.4</v>
          </cell>
          <cell r="L534" t="str">
            <v>WHSU6385225</v>
          </cell>
          <cell r="M534">
            <v>4</v>
          </cell>
          <cell r="N534" t="str">
            <v>40HQ</v>
          </cell>
          <cell r="O534">
            <v>2</v>
          </cell>
          <cell r="P534">
            <v>45607</v>
          </cell>
          <cell r="Q534">
            <v>45609</v>
          </cell>
          <cell r="R534" t="str">
            <v>水</v>
          </cell>
          <cell r="S534" t="str">
            <v>AM8:00</v>
          </cell>
        </row>
        <row r="535">
          <cell r="A535">
            <v>8686</v>
          </cell>
          <cell r="B535" t="str">
            <v>山本 和弥</v>
          </cell>
          <cell r="C535" t="str">
            <v>FUZILOGIX</v>
          </cell>
          <cell r="D535">
            <v>45603</v>
          </cell>
          <cell r="E535" t="str">
            <v>24T1102</v>
          </cell>
          <cell r="F535" t="str">
            <v>I000013532</v>
          </cell>
          <cell r="H535" t="str">
            <v>41385810900</v>
          </cell>
          <cell r="J535">
            <v>566474.59</v>
          </cell>
          <cell r="K535">
            <v>63.43</v>
          </cell>
          <cell r="L535" t="str">
            <v>WHSU6169993</v>
          </cell>
          <cell r="M535">
            <v>4</v>
          </cell>
          <cell r="N535" t="str">
            <v>40HQ</v>
          </cell>
          <cell r="O535">
            <v>2</v>
          </cell>
          <cell r="P535">
            <v>45607</v>
          </cell>
          <cell r="Q535">
            <v>45609</v>
          </cell>
          <cell r="R535" t="str">
            <v>水</v>
          </cell>
          <cell r="S535" t="str">
            <v>AM8:00</v>
          </cell>
        </row>
        <row r="536">
          <cell r="A536">
            <v>8687</v>
          </cell>
          <cell r="B536" t="str">
            <v>山本 和弥</v>
          </cell>
          <cell r="C536" t="str">
            <v>TRADIA</v>
          </cell>
          <cell r="D536">
            <v>45607</v>
          </cell>
          <cell r="E536" t="str">
            <v>24P1101</v>
          </cell>
          <cell r="F536" t="str">
            <v>I000013528</v>
          </cell>
          <cell r="H536" t="str">
            <v>21578387560</v>
          </cell>
          <cell r="I536">
            <v>425771.4</v>
          </cell>
          <cell r="J536">
            <v>425771.4</v>
          </cell>
          <cell r="K536">
            <v>64.48</v>
          </cell>
          <cell r="L536" t="str">
            <v>WHSU8181895</v>
          </cell>
          <cell r="M536">
            <v>11</v>
          </cell>
          <cell r="N536" t="str">
            <v>40HQ</v>
          </cell>
          <cell r="O536">
            <v>4</v>
          </cell>
          <cell r="P536">
            <v>45608</v>
          </cell>
          <cell r="Q536">
            <v>45618</v>
          </cell>
          <cell r="R536" t="str">
            <v>金</v>
          </cell>
          <cell r="S536" t="str">
            <v>AM7:30</v>
          </cell>
        </row>
        <row r="537">
          <cell r="A537">
            <v>8688</v>
          </cell>
          <cell r="B537" t="str">
            <v>山本 和弥</v>
          </cell>
          <cell r="C537" t="str">
            <v>TRADIA</v>
          </cell>
          <cell r="D537">
            <v>45607</v>
          </cell>
          <cell r="E537" t="str">
            <v>24P1102</v>
          </cell>
          <cell r="F537" t="str">
            <v>I000013545</v>
          </cell>
          <cell r="H537" t="str">
            <v>41388166620</v>
          </cell>
          <cell r="I537">
            <v>444087.9</v>
          </cell>
          <cell r="J537">
            <v>444087.9</v>
          </cell>
          <cell r="K537">
            <v>64.84</v>
          </cell>
          <cell r="L537" t="str">
            <v>WHSU6336196</v>
          </cell>
          <cell r="M537">
            <v>14</v>
          </cell>
          <cell r="N537" t="str">
            <v>40HQ</v>
          </cell>
          <cell r="O537">
            <v>2</v>
          </cell>
          <cell r="P537">
            <v>45611</v>
          </cell>
          <cell r="Q537">
            <v>45622</v>
          </cell>
          <cell r="R537" t="str">
            <v>火</v>
          </cell>
          <cell r="S537" t="str">
            <v>AM9:30</v>
          </cell>
        </row>
        <row r="538">
          <cell r="A538">
            <v>8689</v>
          </cell>
          <cell r="B538" t="str">
            <v>山本 和弥</v>
          </cell>
          <cell r="C538" t="str">
            <v>FUZILOGIX</v>
          </cell>
          <cell r="D538">
            <v>45607</v>
          </cell>
          <cell r="E538" t="str">
            <v>24T1103</v>
          </cell>
          <cell r="F538" t="str">
            <v>I000013539</v>
          </cell>
          <cell r="H538" t="str">
            <v>41388755540</v>
          </cell>
          <cell r="J538">
            <v>834634.71</v>
          </cell>
          <cell r="K538">
            <v>64.53</v>
          </cell>
          <cell r="L538" t="str">
            <v>WHSU6019714</v>
          </cell>
          <cell r="M538">
            <v>4</v>
          </cell>
          <cell r="N538" t="str">
            <v>40HQ</v>
          </cell>
          <cell r="O538">
            <v>2</v>
          </cell>
          <cell r="P538">
            <v>45612</v>
          </cell>
          <cell r="Q538">
            <v>45615</v>
          </cell>
          <cell r="R538" t="str">
            <v>火</v>
          </cell>
          <cell r="S538" t="str">
            <v>AM8:00</v>
          </cell>
        </row>
        <row r="539">
          <cell r="A539">
            <v>8690</v>
          </cell>
          <cell r="B539" t="str">
            <v>山本 和弥</v>
          </cell>
          <cell r="C539" t="str">
            <v>FUZILOGIX</v>
          </cell>
          <cell r="D539">
            <v>45607</v>
          </cell>
          <cell r="E539" t="str">
            <v>24T1104</v>
          </cell>
          <cell r="F539" t="str">
            <v>I000013540</v>
          </cell>
          <cell r="H539" t="str">
            <v>11691014521</v>
          </cell>
          <cell r="J539">
            <v>560588.02</v>
          </cell>
          <cell r="K539">
            <v>64.98</v>
          </cell>
          <cell r="L539" t="str">
            <v>WHSU6518879</v>
          </cell>
          <cell r="M539">
            <v>4</v>
          </cell>
          <cell r="N539" t="str">
            <v>40HQ</v>
          </cell>
          <cell r="O539">
            <v>5</v>
          </cell>
          <cell r="P539">
            <v>45616</v>
          </cell>
          <cell r="Q539">
            <v>45618</v>
          </cell>
          <cell r="R539" t="str">
            <v>金</v>
          </cell>
          <cell r="S539" t="str">
            <v>AM8:00</v>
          </cell>
        </row>
        <row r="540">
          <cell r="A540">
            <v>8691</v>
          </cell>
          <cell r="B540" t="str">
            <v>山本 和弥</v>
          </cell>
          <cell r="C540" t="str">
            <v>TRADIA</v>
          </cell>
          <cell r="D540">
            <v>45608</v>
          </cell>
          <cell r="E540" t="str">
            <v>24P1103</v>
          </cell>
          <cell r="F540" t="str">
            <v>I000013560</v>
          </cell>
          <cell r="H540" t="str">
            <v>21579642700</v>
          </cell>
          <cell r="I540">
            <v>423574.5</v>
          </cell>
          <cell r="J540">
            <v>423574.5</v>
          </cell>
          <cell r="K540">
            <v>63.76</v>
          </cell>
          <cell r="L540" t="str">
            <v>TSSU5095180</v>
          </cell>
          <cell r="M540">
            <v>11</v>
          </cell>
          <cell r="N540" t="str">
            <v>40HQ</v>
          </cell>
          <cell r="O540">
            <v>4</v>
          </cell>
          <cell r="P540">
            <v>45616</v>
          </cell>
          <cell r="Q540">
            <v>45625</v>
          </cell>
          <cell r="R540" t="str">
            <v>金</v>
          </cell>
          <cell r="S540" t="str">
            <v>AM7:30</v>
          </cell>
        </row>
        <row r="541">
          <cell r="A541">
            <v>8692</v>
          </cell>
          <cell r="B541" t="str">
            <v>山本 和弥</v>
          </cell>
          <cell r="C541" t="str">
            <v>FUZILOGIX</v>
          </cell>
          <cell r="D541">
            <v>45608</v>
          </cell>
          <cell r="E541" t="str">
            <v>24T1105</v>
          </cell>
          <cell r="F541" t="str">
            <v>I000013556</v>
          </cell>
          <cell r="H541" t="str">
            <v>41389645830</v>
          </cell>
          <cell r="J541">
            <v>722111.67</v>
          </cell>
          <cell r="K541">
            <v>64.819999999999993</v>
          </cell>
          <cell r="L541" t="str">
            <v>WHSU8186541</v>
          </cell>
          <cell r="M541">
            <v>4</v>
          </cell>
          <cell r="N541" t="str">
            <v>40HQ</v>
          </cell>
          <cell r="O541">
            <v>2</v>
          </cell>
          <cell r="P541">
            <v>45616</v>
          </cell>
          <cell r="Q541">
            <v>45618</v>
          </cell>
          <cell r="R541" t="str">
            <v>金</v>
          </cell>
          <cell r="S541" t="str">
            <v>AM8:00</v>
          </cell>
        </row>
        <row r="542">
          <cell r="A542">
            <v>8693</v>
          </cell>
          <cell r="B542" t="str">
            <v>山本 和弥</v>
          </cell>
          <cell r="C542" t="str">
            <v>FUZILOGIX</v>
          </cell>
          <cell r="D542">
            <v>45608</v>
          </cell>
          <cell r="E542" t="str">
            <v>24T1107</v>
          </cell>
          <cell r="F542" t="str">
            <v>I000013559</v>
          </cell>
          <cell r="H542" t="str">
            <v>41389645830</v>
          </cell>
          <cell r="J542">
            <v>623538.94999999995</v>
          </cell>
          <cell r="K542">
            <v>64.53</v>
          </cell>
          <cell r="L542" t="str">
            <v>WHSU6888370</v>
          </cell>
          <cell r="M542">
            <v>4</v>
          </cell>
          <cell r="N542" t="str">
            <v>40HQ</v>
          </cell>
          <cell r="O542">
            <v>2</v>
          </cell>
          <cell r="P542">
            <v>45616</v>
          </cell>
          <cell r="Q542">
            <v>45618</v>
          </cell>
          <cell r="R542" t="str">
            <v>金</v>
          </cell>
          <cell r="S542" t="str">
            <v>AM8:00</v>
          </cell>
        </row>
        <row r="543">
          <cell r="A543">
            <v>8694</v>
          </cell>
          <cell r="B543" t="str">
            <v>山本 和弥</v>
          </cell>
          <cell r="C543" t="str">
            <v>TRADIA</v>
          </cell>
          <cell r="D543">
            <v>45610</v>
          </cell>
          <cell r="E543" t="str">
            <v>24K1101</v>
          </cell>
          <cell r="F543" t="str">
            <v>I000013531</v>
          </cell>
          <cell r="H543" t="str">
            <v>41386944421</v>
          </cell>
          <cell r="I543">
            <v>479235.28</v>
          </cell>
          <cell r="J543">
            <v>479235.28</v>
          </cell>
          <cell r="K543">
            <v>26.02</v>
          </cell>
          <cell r="L543" t="str">
            <v>TCLU3331438</v>
          </cell>
          <cell r="M543">
            <v>3</v>
          </cell>
          <cell r="N543" t="str">
            <v>20’</v>
          </cell>
          <cell r="O543">
            <v>2</v>
          </cell>
          <cell r="P543">
            <v>45609</v>
          </cell>
          <cell r="Q543">
            <v>45611</v>
          </cell>
          <cell r="R543" t="str">
            <v>金</v>
          </cell>
          <cell r="S543" t="str">
            <v>AM8:30</v>
          </cell>
        </row>
        <row r="544">
          <cell r="A544">
            <v>8695</v>
          </cell>
          <cell r="B544" t="str">
            <v>山本 和弥</v>
          </cell>
          <cell r="C544" t="str">
            <v>FUZILOGIX</v>
          </cell>
          <cell r="D544">
            <v>45610</v>
          </cell>
          <cell r="E544" t="str">
            <v>24T1110</v>
          </cell>
          <cell r="F544" t="str">
            <v>I000013565</v>
          </cell>
          <cell r="H544" t="str">
            <v>11694091500</v>
          </cell>
          <cell r="J544">
            <v>646842.64</v>
          </cell>
          <cell r="K544">
            <v>63.68</v>
          </cell>
          <cell r="L544" t="str">
            <v>WHSU5961964</v>
          </cell>
          <cell r="M544">
            <v>4</v>
          </cell>
          <cell r="N544" t="str">
            <v>40HQ</v>
          </cell>
          <cell r="O544">
            <v>5</v>
          </cell>
          <cell r="P544">
            <v>45620</v>
          </cell>
          <cell r="Q544">
            <v>45622</v>
          </cell>
          <cell r="R544" t="str">
            <v>火</v>
          </cell>
          <cell r="S544" t="str">
            <v>AM8:00</v>
          </cell>
        </row>
        <row r="545">
          <cell r="A545">
            <v>8696</v>
          </cell>
          <cell r="B545" t="str">
            <v>山本 和弥</v>
          </cell>
          <cell r="C545" t="str">
            <v>FUZILOGIX</v>
          </cell>
          <cell r="D545">
            <v>45611</v>
          </cell>
          <cell r="E545" t="str">
            <v>24T1109</v>
          </cell>
          <cell r="F545" t="str">
            <v>I000013569</v>
          </cell>
          <cell r="H545" t="str">
            <v>41390580110</v>
          </cell>
          <cell r="J545">
            <v>838183.91</v>
          </cell>
          <cell r="K545">
            <v>66.16</v>
          </cell>
          <cell r="L545" t="str">
            <v>WHSU6760326</v>
          </cell>
          <cell r="M545">
            <v>4</v>
          </cell>
          <cell r="N545" t="str">
            <v>40HQ</v>
          </cell>
          <cell r="O545">
            <v>2</v>
          </cell>
          <cell r="P545">
            <v>45617</v>
          </cell>
          <cell r="Q545">
            <v>45621</v>
          </cell>
          <cell r="R545" t="str">
            <v>月</v>
          </cell>
          <cell r="S545" t="str">
            <v>AM8:00</v>
          </cell>
        </row>
        <row r="546">
          <cell r="A546">
            <v>8697</v>
          </cell>
          <cell r="B546" t="str">
            <v>山本 和弥</v>
          </cell>
          <cell r="C546" t="str">
            <v>TRADIA</v>
          </cell>
          <cell r="D546">
            <v>45614</v>
          </cell>
          <cell r="E546" t="str">
            <v>24K1102</v>
          </cell>
          <cell r="F546" t="str">
            <v>I000013534</v>
          </cell>
          <cell r="H546" t="str">
            <v>41387865140</v>
          </cell>
          <cell r="I546">
            <v>326523.59999999998</v>
          </cell>
          <cell r="J546">
            <v>326523.59999999998</v>
          </cell>
          <cell r="K546">
            <v>26.81</v>
          </cell>
          <cell r="L546" t="str">
            <v>WHSU2216607</v>
          </cell>
          <cell r="M546">
            <v>3</v>
          </cell>
          <cell r="N546" t="str">
            <v>20’</v>
          </cell>
          <cell r="O546">
            <v>2</v>
          </cell>
          <cell r="P546">
            <v>45607</v>
          </cell>
          <cell r="Q546">
            <v>45617</v>
          </cell>
          <cell r="R546" t="str">
            <v>木</v>
          </cell>
          <cell r="S546" t="str">
            <v>AM8:30</v>
          </cell>
        </row>
        <row r="547">
          <cell r="A547">
            <v>8698</v>
          </cell>
          <cell r="B547" t="str">
            <v>山本 和弥</v>
          </cell>
          <cell r="C547" t="str">
            <v>TRADIA</v>
          </cell>
          <cell r="D547">
            <v>45614</v>
          </cell>
          <cell r="E547" t="str">
            <v>24K1103</v>
          </cell>
          <cell r="F547" t="str">
            <v>I000013538</v>
          </cell>
          <cell r="H547" t="str">
            <v>41387865140</v>
          </cell>
          <cell r="I547">
            <v>370173.7</v>
          </cell>
          <cell r="J547">
            <v>370173.7</v>
          </cell>
          <cell r="K547">
            <v>27.39</v>
          </cell>
          <cell r="L547" t="str">
            <v>FBIU0250008</v>
          </cell>
          <cell r="M547">
            <v>3</v>
          </cell>
          <cell r="N547" t="str">
            <v>20’</v>
          </cell>
          <cell r="O547">
            <v>2</v>
          </cell>
          <cell r="P547">
            <v>45608</v>
          </cell>
          <cell r="Q547">
            <v>45621</v>
          </cell>
          <cell r="R547" t="str">
            <v>月</v>
          </cell>
          <cell r="S547" t="str">
            <v>AM8:30</v>
          </cell>
        </row>
        <row r="548">
          <cell r="A548">
            <v>8699</v>
          </cell>
          <cell r="B548" t="str">
            <v>山本 和弥</v>
          </cell>
          <cell r="C548" t="str">
            <v>FUZILOGIX</v>
          </cell>
          <cell r="D548">
            <v>45615</v>
          </cell>
          <cell r="E548" t="str">
            <v>24T1106</v>
          </cell>
          <cell r="F548" t="str">
            <v>I000013574</v>
          </cell>
          <cell r="H548" t="str">
            <v>11694078860</v>
          </cell>
          <cell r="J548">
            <v>697582.36</v>
          </cell>
          <cell r="K548">
            <v>64.180000000000007</v>
          </cell>
          <cell r="L548" t="str">
            <v>WHSU6771070</v>
          </cell>
          <cell r="M548">
            <v>4</v>
          </cell>
          <cell r="N548" t="str">
            <v>40HQ</v>
          </cell>
          <cell r="O548">
            <v>5</v>
          </cell>
          <cell r="P548">
            <v>45622</v>
          </cell>
          <cell r="Q548">
            <v>45624</v>
          </cell>
          <cell r="R548" t="str">
            <v>木</v>
          </cell>
          <cell r="S548" t="str">
            <v>AM8:00</v>
          </cell>
        </row>
        <row r="549">
          <cell r="A549">
            <v>8700</v>
          </cell>
          <cell r="B549" t="str">
            <v>山本 和弥</v>
          </cell>
          <cell r="C549" t="str">
            <v>FUZILOGIX</v>
          </cell>
          <cell r="D549">
            <v>45615</v>
          </cell>
          <cell r="E549" t="str">
            <v>24T1112</v>
          </cell>
          <cell r="F549" t="str">
            <v>I000013578</v>
          </cell>
          <cell r="H549" t="str">
            <v>41391779760</v>
          </cell>
          <cell r="J549">
            <v>738059.86</v>
          </cell>
          <cell r="K549">
            <v>64.78</v>
          </cell>
          <cell r="L549" t="str">
            <v>WHSU6846902</v>
          </cell>
          <cell r="M549">
            <v>4</v>
          </cell>
          <cell r="N549" t="str">
            <v>40HQ</v>
          </cell>
          <cell r="O549">
            <v>2</v>
          </cell>
          <cell r="P549">
            <v>45621</v>
          </cell>
          <cell r="Q549">
            <v>45623</v>
          </cell>
          <cell r="R549" t="str">
            <v>水</v>
          </cell>
          <cell r="S549" t="str">
            <v>AM8:00</v>
          </cell>
        </row>
        <row r="550">
          <cell r="A550">
            <v>8701</v>
          </cell>
          <cell r="B550" t="str">
            <v>山本 和弥</v>
          </cell>
          <cell r="C550" t="str">
            <v>TRADIA</v>
          </cell>
          <cell r="D550">
            <v>45615</v>
          </cell>
          <cell r="E550" t="str">
            <v>24P1104</v>
          </cell>
          <cell r="F550" t="str">
            <v>I000013580</v>
          </cell>
          <cell r="H550" t="str">
            <v>41392736700</v>
          </cell>
          <cell r="I550">
            <v>398529.84</v>
          </cell>
          <cell r="J550">
            <v>398529.84</v>
          </cell>
          <cell r="K550">
            <v>67.89</v>
          </cell>
          <cell r="L550" t="str">
            <v>WHSU6879531</v>
          </cell>
          <cell r="M550">
            <v>14</v>
          </cell>
          <cell r="N550" t="str">
            <v>40HQ</v>
          </cell>
          <cell r="O550">
            <v>2</v>
          </cell>
          <cell r="P550">
            <v>45621</v>
          </cell>
          <cell r="Q550">
            <v>45631</v>
          </cell>
          <cell r="R550" t="str">
            <v>木</v>
          </cell>
          <cell r="S550" t="str">
            <v>AM9:30</v>
          </cell>
        </row>
        <row r="551">
          <cell r="A551">
            <v>8702</v>
          </cell>
          <cell r="B551" t="str">
            <v>山本 和弥</v>
          </cell>
          <cell r="C551" t="str">
            <v>FUZILOGIX</v>
          </cell>
          <cell r="D551">
            <v>45617</v>
          </cell>
          <cell r="E551" t="str">
            <v>24T1113</v>
          </cell>
          <cell r="F551" t="str">
            <v>I000013582</v>
          </cell>
          <cell r="H551" t="str">
            <v>11695501630</v>
          </cell>
          <cell r="J551">
            <v>560117.54</v>
          </cell>
          <cell r="K551">
            <v>64.88</v>
          </cell>
          <cell r="L551" t="str">
            <v>WHSU6798358</v>
          </cell>
          <cell r="M551">
            <v>4</v>
          </cell>
          <cell r="N551" t="str">
            <v>40HQ</v>
          </cell>
          <cell r="O551">
            <v>5</v>
          </cell>
          <cell r="P551">
            <v>45624</v>
          </cell>
          <cell r="Q551">
            <v>45628</v>
          </cell>
          <cell r="R551" t="str">
            <v>月</v>
          </cell>
          <cell r="S551" t="str">
            <v>AM8:00</v>
          </cell>
        </row>
        <row r="552">
          <cell r="A552">
            <v>8703</v>
          </cell>
          <cell r="B552" t="str">
            <v>山本 和弥</v>
          </cell>
          <cell r="C552" t="str">
            <v>TRADIA</v>
          </cell>
          <cell r="D552">
            <v>45621</v>
          </cell>
          <cell r="E552" t="str">
            <v>24K1105</v>
          </cell>
          <cell r="F552" t="str">
            <v>I000013554</v>
          </cell>
          <cell r="H552" t="str">
            <v>41390168621</v>
          </cell>
          <cell r="I552">
            <v>525182.64</v>
          </cell>
          <cell r="J552">
            <v>525182.64</v>
          </cell>
          <cell r="K552">
            <v>27.08</v>
          </cell>
          <cell r="L552" t="str">
            <v>WHSU2269839</v>
          </cell>
          <cell r="M552">
            <v>3</v>
          </cell>
          <cell r="N552" t="str">
            <v>20’</v>
          </cell>
          <cell r="O552">
            <v>2</v>
          </cell>
          <cell r="P552">
            <v>45618</v>
          </cell>
          <cell r="Q552">
            <v>1125</v>
          </cell>
          <cell r="R552" t="str">
            <v>月</v>
          </cell>
          <cell r="S552" t="str">
            <v>PM</v>
          </cell>
        </row>
        <row r="553">
          <cell r="A553">
            <v>8704</v>
          </cell>
          <cell r="B553" t="str">
            <v>山本 和弥</v>
          </cell>
          <cell r="C553" t="str">
            <v>TRADIA</v>
          </cell>
          <cell r="D553">
            <v>45621</v>
          </cell>
          <cell r="E553" t="str">
            <v>24K1108</v>
          </cell>
          <cell r="F553" t="str">
            <v>I000013561</v>
          </cell>
          <cell r="H553" t="str">
            <v>41390168621</v>
          </cell>
          <cell r="I553">
            <v>375890.9</v>
          </cell>
          <cell r="J553">
            <v>375890.9</v>
          </cell>
          <cell r="K553">
            <v>27.59</v>
          </cell>
          <cell r="L553" t="str">
            <v>WHSU2904467</v>
          </cell>
          <cell r="M553">
            <v>3</v>
          </cell>
          <cell r="N553" t="str">
            <v>20’</v>
          </cell>
          <cell r="O553">
            <v>2</v>
          </cell>
          <cell r="P553">
            <v>45618</v>
          </cell>
          <cell r="Q553">
            <v>45622</v>
          </cell>
          <cell r="R553" t="str">
            <v>火</v>
          </cell>
          <cell r="S553" t="str">
            <v>AM8:00</v>
          </cell>
        </row>
        <row r="554">
          <cell r="A554">
            <v>8705</v>
          </cell>
          <cell r="B554" t="str">
            <v>山本 和弥</v>
          </cell>
          <cell r="C554" t="str">
            <v>TRADIA</v>
          </cell>
          <cell r="D554">
            <v>45621</v>
          </cell>
          <cell r="E554" t="str">
            <v>24P1105</v>
          </cell>
          <cell r="F554" t="str">
            <v>I000013592</v>
          </cell>
          <cell r="H554" t="str">
            <v>21581158420</v>
          </cell>
          <cell r="I554">
            <v>436429.08</v>
          </cell>
          <cell r="J554">
            <v>436429.08</v>
          </cell>
          <cell r="K554">
            <v>65.34</v>
          </cell>
          <cell r="L554" t="str">
            <v>TSSU5159582</v>
          </cell>
          <cell r="M554">
            <v>11</v>
          </cell>
          <cell r="N554" t="str">
            <v>40HQ</v>
          </cell>
          <cell r="O554">
            <v>4</v>
          </cell>
          <cell r="P554">
            <v>45617</v>
          </cell>
          <cell r="Q554">
            <v>45635</v>
          </cell>
          <cell r="R554" t="str">
            <v>月</v>
          </cell>
          <cell r="S554" t="str">
            <v>AM7:30</v>
          </cell>
        </row>
        <row r="555">
          <cell r="A555">
            <v>8706</v>
          </cell>
          <cell r="B555" t="str">
            <v>山本 和弥</v>
          </cell>
          <cell r="C555" t="str">
            <v>TRADIA</v>
          </cell>
          <cell r="D555">
            <v>45621</v>
          </cell>
          <cell r="E555" t="str">
            <v>24P1106</v>
          </cell>
          <cell r="F555" t="str">
            <v>I000013603</v>
          </cell>
          <cell r="H555" t="str">
            <v>41396962600</v>
          </cell>
          <cell r="I555">
            <v>427049.28</v>
          </cell>
          <cell r="J555">
            <v>427049.28</v>
          </cell>
          <cell r="K555">
            <v>65.81</v>
          </cell>
          <cell r="L555" t="str">
            <v>TSSU5154575</v>
          </cell>
          <cell r="M555">
            <v>14</v>
          </cell>
          <cell r="N555" t="str">
            <v>40HQ</v>
          </cell>
          <cell r="O555">
            <v>2</v>
          </cell>
          <cell r="P555">
            <v>45621</v>
          </cell>
          <cell r="Q555">
            <v>45639</v>
          </cell>
          <cell r="R555" t="str">
            <v>金</v>
          </cell>
          <cell r="S555" t="str">
            <v>AM9:30</v>
          </cell>
        </row>
        <row r="556">
          <cell r="A556">
            <v>8707</v>
          </cell>
          <cell r="B556" t="str">
            <v>梅田 勝太</v>
          </cell>
          <cell r="C556" t="str">
            <v>TRADIA</v>
          </cell>
          <cell r="D556">
            <v>45621</v>
          </cell>
          <cell r="E556" t="str">
            <v>24K1104</v>
          </cell>
          <cell r="F556" t="str">
            <v>I000013548</v>
          </cell>
          <cell r="H556" t="str">
            <v>41392736700</v>
          </cell>
          <cell r="I556">
            <v>359750.56</v>
          </cell>
          <cell r="J556">
            <v>359750.56</v>
          </cell>
          <cell r="K556">
            <v>27.77</v>
          </cell>
          <cell r="L556" t="str">
            <v>WHSU2931550</v>
          </cell>
          <cell r="M556">
            <v>3</v>
          </cell>
          <cell r="N556" t="str">
            <v>20’</v>
          </cell>
          <cell r="O556">
            <v>2</v>
          </cell>
          <cell r="P556">
            <v>45614</v>
          </cell>
          <cell r="Q556">
            <v>45615</v>
          </cell>
          <cell r="R556" t="str">
            <v>火</v>
          </cell>
          <cell r="S556" t="str">
            <v>AM8:30</v>
          </cell>
        </row>
        <row r="557">
          <cell r="A557">
            <v>8708</v>
          </cell>
          <cell r="B557" t="str">
            <v>梅田 勝太</v>
          </cell>
          <cell r="C557" t="str">
            <v>TRADIA</v>
          </cell>
          <cell r="D557">
            <v>45621</v>
          </cell>
          <cell r="E557" t="str">
            <v>24K1106</v>
          </cell>
          <cell r="F557" t="str">
            <v>I000013557</v>
          </cell>
          <cell r="H557" t="str">
            <v>41396962600</v>
          </cell>
          <cell r="I557">
            <v>350679.44</v>
          </cell>
          <cell r="J557">
            <v>350679.44</v>
          </cell>
          <cell r="K557">
            <v>27.06</v>
          </cell>
          <cell r="L557" t="str">
            <v>TSSU2038041</v>
          </cell>
          <cell r="M557">
            <v>3</v>
          </cell>
          <cell r="N557" t="str">
            <v>20’</v>
          </cell>
          <cell r="O557">
            <v>2</v>
          </cell>
          <cell r="P557">
            <v>45616</v>
          </cell>
          <cell r="Q557">
            <v>45622</v>
          </cell>
          <cell r="R557" t="str">
            <v>火</v>
          </cell>
          <cell r="S557" t="str">
            <v>AM9:00</v>
          </cell>
        </row>
        <row r="558">
          <cell r="A558">
            <v>8709</v>
          </cell>
          <cell r="B558" t="str">
            <v>梅田 勝太</v>
          </cell>
          <cell r="C558" t="str">
            <v>TRADIA</v>
          </cell>
          <cell r="D558">
            <v>45621</v>
          </cell>
          <cell r="E558" t="str">
            <v>24K1107</v>
          </cell>
          <cell r="F558" t="str">
            <v>I000013558</v>
          </cell>
          <cell r="H558" t="str">
            <v>21583289810</v>
          </cell>
          <cell r="I558">
            <v>337731.6</v>
          </cell>
          <cell r="J558">
            <v>337731.6</v>
          </cell>
          <cell r="K558">
            <v>24.55</v>
          </cell>
          <cell r="L558" t="str">
            <v>TSSU2285102</v>
          </cell>
          <cell r="M558">
            <v>3</v>
          </cell>
          <cell r="N558" t="str">
            <v>20’</v>
          </cell>
          <cell r="O558">
            <v>2</v>
          </cell>
          <cell r="P558">
            <v>45616</v>
          </cell>
          <cell r="Q558">
            <v>45623</v>
          </cell>
          <cell r="R558" t="str">
            <v>水</v>
          </cell>
          <cell r="S558" t="str">
            <v>AM8:30</v>
          </cell>
        </row>
        <row r="559">
          <cell r="A559">
            <v>8710</v>
          </cell>
          <cell r="B559" t="str">
            <v>梅田 勝太</v>
          </cell>
          <cell r="C559" t="str">
            <v>TRADIA</v>
          </cell>
          <cell r="D559">
            <v>45621</v>
          </cell>
          <cell r="E559" t="str">
            <v>24K1109</v>
          </cell>
          <cell r="F559" t="str">
            <v>I000013563</v>
          </cell>
          <cell r="H559" t="str">
            <v>41390484430</v>
          </cell>
          <cell r="I559">
            <v>341828.48</v>
          </cell>
          <cell r="J559">
            <v>31828.48</v>
          </cell>
          <cell r="K559">
            <v>24.53</v>
          </cell>
          <cell r="L559" t="str">
            <v>TSSU2267496</v>
          </cell>
          <cell r="M559">
            <v>3</v>
          </cell>
          <cell r="N559" t="str">
            <v>20’</v>
          </cell>
          <cell r="O559">
            <v>2</v>
          </cell>
          <cell r="P559">
            <v>45622</v>
          </cell>
          <cell r="Q559">
            <v>45629</v>
          </cell>
          <cell r="R559" t="str">
            <v>火</v>
          </cell>
          <cell r="S559" t="str">
            <v>AM8:30</v>
          </cell>
        </row>
        <row r="560">
          <cell r="A560">
            <v>8711</v>
          </cell>
          <cell r="B560" t="str">
            <v>梅田 勝太</v>
          </cell>
          <cell r="C560" t="str">
            <v>TRADIA</v>
          </cell>
          <cell r="D560">
            <v>45621</v>
          </cell>
          <cell r="E560" t="str">
            <v>24K1110</v>
          </cell>
          <cell r="F560" t="str">
            <v>I000013570</v>
          </cell>
          <cell r="H560" t="str">
            <v>41393043630</v>
          </cell>
          <cell r="I560">
            <v>409178.64</v>
          </cell>
          <cell r="J560">
            <v>409178.64</v>
          </cell>
          <cell r="K560">
            <v>25.69</v>
          </cell>
          <cell r="L560" t="str">
            <v>WHSU2991163</v>
          </cell>
          <cell r="M560">
            <v>3</v>
          </cell>
          <cell r="N560" t="str">
            <v>20’</v>
          </cell>
          <cell r="O560">
            <v>2</v>
          </cell>
          <cell r="P560">
            <v>45621</v>
          </cell>
          <cell r="Q560">
            <v>45636</v>
          </cell>
          <cell r="R560" t="str">
            <v>火</v>
          </cell>
          <cell r="S560" t="str">
            <v>AM8:00</v>
          </cell>
        </row>
        <row r="561">
          <cell r="A561">
            <v>8712</v>
          </cell>
          <cell r="B561" t="str">
            <v>梅田 勝太</v>
          </cell>
          <cell r="C561" t="str">
            <v>TRADIA</v>
          </cell>
          <cell r="D561">
            <v>45621</v>
          </cell>
          <cell r="E561" t="str">
            <v>24K1111</v>
          </cell>
          <cell r="F561" t="str">
            <v>I000013573</v>
          </cell>
          <cell r="J561">
            <v>337001.9</v>
          </cell>
          <cell r="K561">
            <v>24.3</v>
          </cell>
          <cell r="L561" t="str">
            <v>WHSU0296645</v>
          </cell>
          <cell r="M561">
            <v>3</v>
          </cell>
          <cell r="N561" t="str">
            <v>20’</v>
          </cell>
          <cell r="O561">
            <v>2</v>
          </cell>
          <cell r="P561">
            <v>45621</v>
          </cell>
          <cell r="Q561">
            <v>45637</v>
          </cell>
          <cell r="R561" t="str">
            <v>水</v>
          </cell>
          <cell r="S561" t="str">
            <v>AM8:30</v>
          </cell>
        </row>
        <row r="562">
          <cell r="A562">
            <v>8713</v>
          </cell>
          <cell r="B562" t="str">
            <v>梅田 勝太</v>
          </cell>
          <cell r="C562" t="str">
            <v>TRADIA</v>
          </cell>
          <cell r="D562">
            <v>45621</v>
          </cell>
          <cell r="E562" t="str">
            <v>24K1112</v>
          </cell>
          <cell r="F562" t="str">
            <v>I000013577</v>
          </cell>
          <cell r="H562" t="str">
            <v>41392997800</v>
          </cell>
          <cell r="I562">
            <v>411685.48</v>
          </cell>
          <cell r="J562">
            <v>411685.48</v>
          </cell>
          <cell r="K562">
            <v>26.78</v>
          </cell>
          <cell r="L562" t="str">
            <v>WHSU2183150</v>
          </cell>
          <cell r="M562">
            <v>3</v>
          </cell>
          <cell r="N562" t="str">
            <v>20’</v>
          </cell>
          <cell r="O562">
            <v>2</v>
          </cell>
          <cell r="P562">
            <v>45623</v>
          </cell>
          <cell r="Q562">
            <v>45635</v>
          </cell>
          <cell r="R562" t="str">
            <v>月</v>
          </cell>
          <cell r="S562" t="str">
            <v>AM8:30</v>
          </cell>
        </row>
        <row r="563">
          <cell r="A563">
            <v>8714</v>
          </cell>
          <cell r="B563" t="str">
            <v>梅田 勝太</v>
          </cell>
          <cell r="C563" t="str">
            <v>TRADIA</v>
          </cell>
          <cell r="D563">
            <v>45621</v>
          </cell>
          <cell r="E563" t="str">
            <v>24K1113</v>
          </cell>
          <cell r="F563" t="str">
            <v>I000013579</v>
          </cell>
          <cell r="H563" t="str">
            <v>41392997800</v>
          </cell>
          <cell r="I563">
            <v>360401.18</v>
          </cell>
          <cell r="J563">
            <v>360401.18</v>
          </cell>
          <cell r="K563">
            <v>25.32</v>
          </cell>
          <cell r="L563" t="str">
            <v>WHSU0083531</v>
          </cell>
          <cell r="M563">
            <v>3</v>
          </cell>
          <cell r="N563" t="str">
            <v>20’</v>
          </cell>
          <cell r="O563">
            <v>2</v>
          </cell>
          <cell r="P563">
            <v>45623</v>
          </cell>
          <cell r="Q563">
            <v>45636</v>
          </cell>
          <cell r="R563" t="str">
            <v>火</v>
          </cell>
          <cell r="S563" t="str">
            <v>AM9:00</v>
          </cell>
        </row>
        <row r="564">
          <cell r="A564">
            <v>8715</v>
          </cell>
          <cell r="B564" t="str">
            <v>梅田 勝太</v>
          </cell>
          <cell r="C564" t="str">
            <v>TRADIA</v>
          </cell>
          <cell r="D564">
            <v>45621</v>
          </cell>
          <cell r="E564" t="str">
            <v>24K1114</v>
          </cell>
          <cell r="F564" t="str">
            <v>I000013586</v>
          </cell>
          <cell r="H564" t="str">
            <v>41395385830</v>
          </cell>
          <cell r="I564">
            <v>535283.9</v>
          </cell>
          <cell r="J564">
            <v>535283.9</v>
          </cell>
          <cell r="K564">
            <v>23.47</v>
          </cell>
          <cell r="L564" t="str">
            <v>WHSU2118410</v>
          </cell>
          <cell r="M564">
            <v>3</v>
          </cell>
          <cell r="N564" t="str">
            <v>20’</v>
          </cell>
          <cell r="O564">
            <v>2</v>
          </cell>
          <cell r="P564">
            <v>45626</v>
          </cell>
          <cell r="Q564">
            <v>45639</v>
          </cell>
          <cell r="R564" t="str">
            <v>金</v>
          </cell>
          <cell r="S564" t="str">
            <v>AM8:30</v>
          </cell>
        </row>
        <row r="565">
          <cell r="A565">
            <v>8716</v>
          </cell>
          <cell r="B565" t="str">
            <v>梅田 勝太</v>
          </cell>
          <cell r="C565" t="str">
            <v>TRADIA</v>
          </cell>
          <cell r="D565">
            <v>45621</v>
          </cell>
          <cell r="E565" t="str">
            <v>24K1115</v>
          </cell>
          <cell r="F565" t="str">
            <v>I000013596</v>
          </cell>
          <cell r="H565" t="str">
            <v>41393121220</v>
          </cell>
          <cell r="I565">
            <v>452591.18</v>
          </cell>
          <cell r="J565">
            <v>452591.18</v>
          </cell>
          <cell r="K565">
            <v>29.4</v>
          </cell>
          <cell r="L565" t="str">
            <v>WHSU0158878</v>
          </cell>
          <cell r="M565">
            <v>3</v>
          </cell>
          <cell r="N565" t="str">
            <v>20’</v>
          </cell>
          <cell r="O565">
            <v>2</v>
          </cell>
          <cell r="P565">
            <v>45625</v>
          </cell>
          <cell r="Q565">
            <v>45630</v>
          </cell>
          <cell r="R565" t="str">
            <v>水</v>
          </cell>
          <cell r="S565" t="str">
            <v>AM8:30</v>
          </cell>
        </row>
        <row r="566">
          <cell r="A566">
            <v>8717</v>
          </cell>
          <cell r="B566" t="str">
            <v>山本 和弥</v>
          </cell>
          <cell r="C566" t="str">
            <v>FUZILOGIX</v>
          </cell>
          <cell r="D566">
            <v>45621</v>
          </cell>
          <cell r="E566" t="str">
            <v>24T1114</v>
          </cell>
          <cell r="F566" t="str">
            <v>I000013585</v>
          </cell>
          <cell r="H566" t="str">
            <v>41393582040</v>
          </cell>
          <cell r="J566">
            <v>880455.03</v>
          </cell>
          <cell r="K566">
            <v>63.23</v>
          </cell>
          <cell r="L566" t="str">
            <v>WHSU6741075</v>
          </cell>
          <cell r="M566">
            <v>4</v>
          </cell>
          <cell r="N566" t="str">
            <v>40HQ</v>
          </cell>
          <cell r="O566">
            <v>2</v>
          </cell>
          <cell r="P566">
            <v>45624</v>
          </cell>
          <cell r="Q566">
            <v>45628</v>
          </cell>
          <cell r="R566" t="str">
            <v>月</v>
          </cell>
          <cell r="S566" t="str">
            <v>AM8:00</v>
          </cell>
        </row>
        <row r="567">
          <cell r="A567">
            <v>8718</v>
          </cell>
          <cell r="B567" t="str">
            <v>山本 和弥</v>
          </cell>
          <cell r="C567" t="str">
            <v>FUZILOGIX</v>
          </cell>
          <cell r="D567">
            <v>45621</v>
          </cell>
          <cell r="E567" t="str">
            <v>24T1118</v>
          </cell>
          <cell r="F567" t="str">
            <v>I000013591</v>
          </cell>
          <cell r="H567" t="str">
            <v>41393582040</v>
          </cell>
          <cell r="J567">
            <v>688140.96</v>
          </cell>
          <cell r="K567">
            <v>65.02</v>
          </cell>
          <cell r="L567" t="str">
            <v>WHSU6792386</v>
          </cell>
          <cell r="M567">
            <v>4</v>
          </cell>
          <cell r="N567" t="str">
            <v>40HQ</v>
          </cell>
          <cell r="O567">
            <v>2</v>
          </cell>
          <cell r="P567">
            <v>45624</v>
          </cell>
          <cell r="Q567">
            <v>45628</v>
          </cell>
          <cell r="R567" t="str">
            <v>月</v>
          </cell>
          <cell r="S567" t="str">
            <v>AM8:00</v>
          </cell>
        </row>
        <row r="568">
          <cell r="A568">
            <v>8719</v>
          </cell>
          <cell r="B568" t="str">
            <v>山本 和弥</v>
          </cell>
          <cell r="C568" t="str">
            <v>FUZILOGIX</v>
          </cell>
          <cell r="D568">
            <v>45623</v>
          </cell>
          <cell r="E568" t="str">
            <v>24T1117</v>
          </cell>
          <cell r="F568" t="str">
            <v>I000013599</v>
          </cell>
          <cell r="H568" t="str">
            <v>11696214230</v>
          </cell>
          <cell r="J568">
            <v>674642.62</v>
          </cell>
          <cell r="K568">
            <v>64.319999999999993</v>
          </cell>
          <cell r="L568" t="str">
            <v>WHSU6589276</v>
          </cell>
          <cell r="M568">
            <v>4</v>
          </cell>
          <cell r="N568" t="str">
            <v>40HQ</v>
          </cell>
          <cell r="O568">
            <v>5</v>
          </cell>
          <cell r="P568">
            <v>45628</v>
          </cell>
          <cell r="Q568">
            <v>45630</v>
          </cell>
          <cell r="R568" t="str">
            <v>水</v>
          </cell>
          <cell r="S568" t="str">
            <v>AM8:00</v>
          </cell>
        </row>
        <row r="569">
          <cell r="A569">
            <v>8720</v>
          </cell>
          <cell r="B569" t="str">
            <v>山本 和弥</v>
          </cell>
          <cell r="C569" t="str">
            <v>FUZILOGIX</v>
          </cell>
          <cell r="D569">
            <v>45623</v>
          </cell>
          <cell r="E569" t="str">
            <v>24T1119</v>
          </cell>
          <cell r="F569" t="str">
            <v>I000013601</v>
          </cell>
          <cell r="H569" t="str">
            <v>41393760800</v>
          </cell>
          <cell r="J569">
            <v>758575.8</v>
          </cell>
          <cell r="K569">
            <v>64.62</v>
          </cell>
          <cell r="L569" t="str">
            <v>WHSU5745219</v>
          </cell>
          <cell r="M569">
            <v>4</v>
          </cell>
          <cell r="N569" t="str">
            <v>40HQ</v>
          </cell>
          <cell r="O569">
            <v>2</v>
          </cell>
          <cell r="P569">
            <v>45628</v>
          </cell>
          <cell r="Q569">
            <v>45630</v>
          </cell>
          <cell r="R569" t="str">
            <v>水</v>
          </cell>
          <cell r="S569" t="str">
            <v>AM8:00</v>
          </cell>
        </row>
        <row r="570">
          <cell r="A570">
            <v>8721</v>
          </cell>
          <cell r="B570" t="str">
            <v>山本 和弥</v>
          </cell>
          <cell r="C570" t="str">
            <v>FUZILOGIX</v>
          </cell>
          <cell r="D570">
            <v>45623</v>
          </cell>
          <cell r="E570" t="str">
            <v>24T1120</v>
          </cell>
          <cell r="F570" t="str">
            <v>I000013606</v>
          </cell>
          <cell r="H570" t="str">
            <v>41393760800</v>
          </cell>
          <cell r="J570">
            <v>666397.56000000006</v>
          </cell>
          <cell r="K570">
            <v>65.23</v>
          </cell>
          <cell r="L570" t="str">
            <v>WHSU6502126</v>
          </cell>
          <cell r="M570">
            <v>4</v>
          </cell>
          <cell r="N570" t="str">
            <v>40HQ</v>
          </cell>
          <cell r="O570">
            <v>2</v>
          </cell>
          <cell r="P570">
            <v>45628</v>
          </cell>
          <cell r="Q570">
            <v>45630</v>
          </cell>
          <cell r="R570" t="str">
            <v>水</v>
          </cell>
          <cell r="S570" t="str">
            <v>AM8:00</v>
          </cell>
        </row>
        <row r="571">
          <cell r="A571">
            <v>8722</v>
          </cell>
          <cell r="B571" t="str">
            <v>山本 和弥</v>
          </cell>
          <cell r="C571" t="str">
            <v>FUZILOGIX</v>
          </cell>
          <cell r="D571">
            <v>45623</v>
          </cell>
          <cell r="E571" t="str">
            <v>24T1120-1</v>
          </cell>
          <cell r="F571" t="str">
            <v>24T1120</v>
          </cell>
          <cell r="H571" t="str">
            <v>41393760800</v>
          </cell>
          <cell r="J571">
            <v>803.1</v>
          </cell>
          <cell r="K571">
            <v>0.2</v>
          </cell>
          <cell r="M571">
            <v>4</v>
          </cell>
          <cell r="N571" t="str">
            <v>40HQ</v>
          </cell>
          <cell r="O571">
            <v>2</v>
          </cell>
          <cell r="P571">
            <v>45628</v>
          </cell>
          <cell r="Q571">
            <v>45630</v>
          </cell>
          <cell r="R571" t="str">
            <v>水</v>
          </cell>
          <cell r="S571" t="str">
            <v>AM8:00</v>
          </cell>
        </row>
        <row r="572">
          <cell r="A572">
            <v>8723</v>
          </cell>
          <cell r="B572" t="str">
            <v>山本 和弥</v>
          </cell>
          <cell r="C572" t="str">
            <v>FUZILOGIX</v>
          </cell>
          <cell r="D572">
            <v>45625</v>
          </cell>
          <cell r="E572" t="str">
            <v>24T1019</v>
          </cell>
          <cell r="F572" t="str">
            <v>T000000001</v>
          </cell>
          <cell r="J572">
            <v>611625.12</v>
          </cell>
          <cell r="K572">
            <v>63.24</v>
          </cell>
          <cell r="L572" t="str">
            <v>BEAU4801140</v>
          </cell>
          <cell r="N572" t="str">
            <v>40HQ</v>
          </cell>
          <cell r="P572">
            <v>45635</v>
          </cell>
        </row>
        <row r="573">
          <cell r="A573">
            <v>8724</v>
          </cell>
          <cell r="B573" t="str">
            <v>山本 和弥</v>
          </cell>
          <cell r="C573" t="str">
            <v>FUZILOGIX</v>
          </cell>
          <cell r="D573">
            <v>45625</v>
          </cell>
          <cell r="E573" t="str">
            <v>24T1108</v>
          </cell>
          <cell r="F573" t="str">
            <v>T000000002</v>
          </cell>
          <cell r="J573">
            <v>573811.04</v>
          </cell>
          <cell r="K573">
            <v>59.31</v>
          </cell>
          <cell r="L573" t="str">
            <v>CAIU9550890</v>
          </cell>
          <cell r="N573" t="str">
            <v>40HQ</v>
          </cell>
          <cell r="P573">
            <v>45635</v>
          </cell>
        </row>
        <row r="574">
          <cell r="A574">
            <v>8725</v>
          </cell>
          <cell r="B574" t="str">
            <v>山本 和弥</v>
          </cell>
          <cell r="C574" t="str">
            <v>FUZILOGIX</v>
          </cell>
          <cell r="D574">
            <v>45625</v>
          </cell>
          <cell r="E574" t="str">
            <v>24T1111</v>
          </cell>
          <cell r="F574" t="str">
            <v>T000000003</v>
          </cell>
          <cell r="J574">
            <v>296390</v>
          </cell>
          <cell r="K574">
            <v>30.63</v>
          </cell>
          <cell r="L574" t="str">
            <v>CAIU9550890</v>
          </cell>
          <cell r="N574" t="str">
            <v>40HQ</v>
          </cell>
          <cell r="P574">
            <v>45635</v>
          </cell>
        </row>
        <row r="575">
          <cell r="A575">
            <v>8726</v>
          </cell>
          <cell r="B575" t="str">
            <v>山本 和弥</v>
          </cell>
          <cell r="C575" t="str">
            <v>FUZILOGIX</v>
          </cell>
          <cell r="D575">
            <v>45625</v>
          </cell>
          <cell r="E575" t="str">
            <v>24T1121</v>
          </cell>
          <cell r="F575" t="str">
            <v>I000013625</v>
          </cell>
          <cell r="H575" t="str">
            <v>11698586160</v>
          </cell>
          <cell r="J575">
            <v>590848.42000000004</v>
          </cell>
          <cell r="K575">
            <v>65.680000000000007</v>
          </cell>
          <cell r="L575" t="str">
            <v>WHSU6548512</v>
          </cell>
          <cell r="M575">
            <v>4</v>
          </cell>
          <cell r="N575" t="str">
            <v>40HQ</v>
          </cell>
          <cell r="O575">
            <v>5</v>
          </cell>
          <cell r="P575">
            <v>45631</v>
          </cell>
          <cell r="Q575">
            <v>45635</v>
          </cell>
          <cell r="R575" t="str">
            <v>月</v>
          </cell>
          <cell r="S575" t="str">
            <v>AM8:00</v>
          </cell>
        </row>
        <row r="576">
          <cell r="A576">
            <v>8727</v>
          </cell>
          <cell r="B576" t="str">
            <v>山本 和弥</v>
          </cell>
          <cell r="C576" t="str">
            <v>FUZILOGIX</v>
          </cell>
          <cell r="D576">
            <v>45625</v>
          </cell>
          <cell r="E576" t="str">
            <v>24T1122</v>
          </cell>
          <cell r="F576" t="str">
            <v>I000013610</v>
          </cell>
          <cell r="H576" t="str">
            <v>41396090250</v>
          </cell>
          <cell r="J576">
            <v>684267.76</v>
          </cell>
          <cell r="K576">
            <v>60.61</v>
          </cell>
          <cell r="L576" t="str">
            <v>WHSU6848947</v>
          </cell>
          <cell r="M576">
            <v>4</v>
          </cell>
          <cell r="N576" t="str">
            <v>40HQ</v>
          </cell>
          <cell r="O576">
            <v>2</v>
          </cell>
          <cell r="P576">
            <v>45632</v>
          </cell>
          <cell r="Q576">
            <v>45636</v>
          </cell>
          <cell r="R576" t="str">
            <v>火</v>
          </cell>
          <cell r="S576" t="str">
            <v>AM8:00</v>
          </cell>
        </row>
        <row r="577">
          <cell r="A577">
            <v>8728</v>
          </cell>
          <cell r="B577" t="str">
            <v>山本 和弥</v>
          </cell>
          <cell r="C577" t="str">
            <v>FUZILOGIX</v>
          </cell>
          <cell r="D577">
            <v>45628</v>
          </cell>
          <cell r="E577" t="str">
            <v>24T1123</v>
          </cell>
          <cell r="F577" t="str">
            <v>I000013630</v>
          </cell>
          <cell r="H577" t="str">
            <v>41397020440</v>
          </cell>
          <cell r="J577">
            <v>630348.69999999995</v>
          </cell>
          <cell r="K577">
            <v>65.33</v>
          </cell>
          <cell r="L577" t="str">
            <v>WHSU8013340</v>
          </cell>
          <cell r="M577">
            <v>4</v>
          </cell>
          <cell r="N577" t="str">
            <v>40HQ</v>
          </cell>
          <cell r="O577">
            <v>2</v>
          </cell>
          <cell r="P577">
            <v>45635</v>
          </cell>
          <cell r="Q577">
            <v>45637</v>
          </cell>
          <cell r="R577" t="str">
            <v>火</v>
          </cell>
          <cell r="S577" t="str">
            <v>AM8:00</v>
          </cell>
        </row>
        <row r="578">
          <cell r="A578">
            <v>8729</v>
          </cell>
          <cell r="B578" t="str">
            <v>山本 和弥</v>
          </cell>
          <cell r="C578" t="str">
            <v>FUZILOGIX</v>
          </cell>
          <cell r="D578">
            <v>45628</v>
          </cell>
          <cell r="E578" t="str">
            <v>24T1124</v>
          </cell>
          <cell r="F578" t="str">
            <v>I000013635</v>
          </cell>
          <cell r="H578" t="str">
            <v>41397020440</v>
          </cell>
          <cell r="J578">
            <v>815917.66</v>
          </cell>
          <cell r="K578">
            <v>57.34</v>
          </cell>
          <cell r="L578" t="str">
            <v>WHSU6591165</v>
          </cell>
          <cell r="M578">
            <v>4</v>
          </cell>
          <cell r="N578" t="str">
            <v>40HQ</v>
          </cell>
          <cell r="O578">
            <v>2</v>
          </cell>
          <cell r="P578">
            <v>45635</v>
          </cell>
          <cell r="Q578">
            <v>45637</v>
          </cell>
          <cell r="R578" t="str">
            <v>火</v>
          </cell>
          <cell r="S578" t="str">
            <v>AM8:00</v>
          </cell>
        </row>
        <row r="579">
          <cell r="A579">
            <v>8730</v>
          </cell>
          <cell r="B579" t="str">
            <v>山本 和弥</v>
          </cell>
          <cell r="C579" t="str">
            <v>FUZILOGIX</v>
          </cell>
          <cell r="D579">
            <v>45631</v>
          </cell>
          <cell r="E579" t="str">
            <v>24T1201</v>
          </cell>
          <cell r="F579" t="str">
            <v>I000013637</v>
          </cell>
          <cell r="H579" t="str">
            <v>41402157410</v>
          </cell>
          <cell r="J579">
            <v>718465.65</v>
          </cell>
          <cell r="K579">
            <v>60.79</v>
          </cell>
          <cell r="L579" t="str">
            <v>WHSU6623730</v>
          </cell>
          <cell r="M579">
            <v>4</v>
          </cell>
          <cell r="N579" t="str">
            <v>40HQ</v>
          </cell>
          <cell r="O579">
            <v>2</v>
          </cell>
          <cell r="P579">
            <v>45638</v>
          </cell>
          <cell r="Q579">
            <v>45642</v>
          </cell>
          <cell r="R579" t="str">
            <v>月</v>
          </cell>
          <cell r="S579" t="str">
            <v>AM8:00</v>
          </cell>
        </row>
        <row r="580">
          <cell r="A580">
            <v>8731</v>
          </cell>
          <cell r="B580" t="str">
            <v>山本 和弥</v>
          </cell>
          <cell r="C580" t="str">
            <v>FUZILOGIX</v>
          </cell>
          <cell r="D580">
            <v>45631</v>
          </cell>
          <cell r="E580" t="str">
            <v>24T1203</v>
          </cell>
          <cell r="F580" t="str">
            <v>I000013643</v>
          </cell>
          <cell r="H580" t="str">
            <v>41398179900</v>
          </cell>
          <cell r="J580">
            <v>646385.98</v>
          </cell>
          <cell r="K580">
            <v>63.2</v>
          </cell>
          <cell r="L580" t="str">
            <v>FFAU6255830</v>
          </cell>
          <cell r="M580">
            <v>4</v>
          </cell>
          <cell r="N580" t="str">
            <v>40HQ</v>
          </cell>
          <cell r="O580">
            <v>2</v>
          </cell>
          <cell r="P580">
            <v>45639</v>
          </cell>
          <cell r="Q580">
            <v>45643</v>
          </cell>
          <cell r="R580" t="str">
            <v>火</v>
          </cell>
          <cell r="S580" t="str">
            <v>AM8:00</v>
          </cell>
        </row>
        <row r="581">
          <cell r="A581">
            <v>8732</v>
          </cell>
          <cell r="B581" t="str">
            <v>山本 和弥</v>
          </cell>
          <cell r="C581" t="str">
            <v>TRADIA</v>
          </cell>
          <cell r="D581">
            <v>45631</v>
          </cell>
          <cell r="E581" t="str">
            <v>24K1116</v>
          </cell>
          <cell r="F581" t="str">
            <v>I000013600</v>
          </cell>
          <cell r="H581" t="str">
            <v>41395017300</v>
          </cell>
          <cell r="I581">
            <v>889289.1</v>
          </cell>
          <cell r="J581">
            <v>439120.1</v>
          </cell>
          <cell r="K581">
            <v>26.19</v>
          </cell>
          <cell r="L581" t="str">
            <v>WHSU0044746</v>
          </cell>
          <cell r="M581">
            <v>3</v>
          </cell>
          <cell r="N581" t="str">
            <v>20’</v>
          </cell>
          <cell r="O581">
            <v>2</v>
          </cell>
          <cell r="P581">
            <v>45628</v>
          </cell>
          <cell r="Q581">
            <v>45638</v>
          </cell>
          <cell r="R581" t="str">
            <v>木</v>
          </cell>
          <cell r="S581" t="str">
            <v>AM8:30</v>
          </cell>
        </row>
        <row r="582">
          <cell r="A582">
            <v>8733</v>
          </cell>
          <cell r="B582" t="str">
            <v>山本 和弥</v>
          </cell>
          <cell r="C582" t="str">
            <v>TRADIA</v>
          </cell>
          <cell r="D582">
            <v>45631</v>
          </cell>
          <cell r="E582" t="str">
            <v>24K1117</v>
          </cell>
          <cell r="F582" t="str">
            <v>I000013605</v>
          </cell>
          <cell r="H582" t="str">
            <v>41395017300</v>
          </cell>
          <cell r="J582">
            <v>450169</v>
          </cell>
          <cell r="K582">
            <v>26.24</v>
          </cell>
          <cell r="L582" t="str">
            <v>WHSU0229462</v>
          </cell>
          <cell r="M582">
            <v>3</v>
          </cell>
          <cell r="N582" t="str">
            <v>20’</v>
          </cell>
          <cell r="O582">
            <v>2</v>
          </cell>
          <cell r="P582">
            <v>45628</v>
          </cell>
          <cell r="Q582">
            <v>45635</v>
          </cell>
          <cell r="R582" t="str">
            <v>月</v>
          </cell>
          <cell r="S582" t="str">
            <v>AM8:30</v>
          </cell>
        </row>
        <row r="583">
          <cell r="A583">
            <v>8734</v>
          </cell>
          <cell r="B583" t="str">
            <v>山本 和弥</v>
          </cell>
          <cell r="C583" t="str">
            <v>FUZILOGIX</v>
          </cell>
          <cell r="D583">
            <v>45635</v>
          </cell>
          <cell r="E583" t="str">
            <v>24T1204</v>
          </cell>
          <cell r="F583" t="str">
            <v>I000013651</v>
          </cell>
          <cell r="H583" t="str">
            <v>41397876910</v>
          </cell>
          <cell r="J583">
            <v>666656.30000000005</v>
          </cell>
          <cell r="K583">
            <v>64.540000000000006</v>
          </cell>
          <cell r="L583" t="str">
            <v>WHSU6311562</v>
          </cell>
          <cell r="M583">
            <v>4</v>
          </cell>
          <cell r="N583" t="str">
            <v>40HQ</v>
          </cell>
          <cell r="O583">
            <v>2</v>
          </cell>
          <cell r="P583">
            <v>45640</v>
          </cell>
          <cell r="Q583">
            <v>45643</v>
          </cell>
          <cell r="R583" t="str">
            <v>火</v>
          </cell>
          <cell r="S583" t="str">
            <v>AM8:00</v>
          </cell>
        </row>
        <row r="584">
          <cell r="A584">
            <v>8735</v>
          </cell>
          <cell r="B584" t="str">
            <v>山本 和弥</v>
          </cell>
          <cell r="C584" t="str">
            <v>FUZILOGIX</v>
          </cell>
          <cell r="D584">
            <v>45636</v>
          </cell>
          <cell r="E584" t="str">
            <v>24T1202</v>
          </cell>
          <cell r="F584" t="str">
            <v>I000013664</v>
          </cell>
          <cell r="H584" t="str">
            <v>11702628330</v>
          </cell>
          <cell r="J584">
            <v>597328.64000000001</v>
          </cell>
          <cell r="K584">
            <v>63.23</v>
          </cell>
          <cell r="L584" t="str">
            <v>WHSU6253846</v>
          </cell>
          <cell r="M584">
            <v>4</v>
          </cell>
          <cell r="N584" t="str">
            <v>40HQ</v>
          </cell>
          <cell r="O584">
            <v>5</v>
          </cell>
          <cell r="P584">
            <v>45642</v>
          </cell>
          <cell r="Q584">
            <v>45644</v>
          </cell>
          <cell r="R584" t="str">
            <v>水</v>
          </cell>
          <cell r="S584" t="str">
            <v>AM8:00</v>
          </cell>
        </row>
        <row r="585">
          <cell r="A585">
            <v>8736</v>
          </cell>
          <cell r="B585" t="str">
            <v>山本 和弥</v>
          </cell>
          <cell r="C585" t="str">
            <v>FUZILOGIX</v>
          </cell>
          <cell r="D585">
            <v>45636</v>
          </cell>
          <cell r="E585" t="str">
            <v>24T1206</v>
          </cell>
          <cell r="F585" t="str">
            <v>I000013660</v>
          </cell>
          <cell r="H585" t="str">
            <v>41400884810</v>
          </cell>
          <cell r="J585">
            <v>858119.8</v>
          </cell>
          <cell r="K585">
            <v>63.86</v>
          </cell>
          <cell r="L585" t="str">
            <v>WHSU6937371</v>
          </cell>
          <cell r="M585">
            <v>4</v>
          </cell>
          <cell r="N585" t="str">
            <v>40HQ</v>
          </cell>
          <cell r="O585">
            <v>2</v>
          </cell>
          <cell r="P585">
            <v>45645</v>
          </cell>
          <cell r="Q585">
            <v>45649</v>
          </cell>
          <cell r="R585" t="str">
            <v>月</v>
          </cell>
          <cell r="S585" t="str">
            <v>AM8:00</v>
          </cell>
        </row>
        <row r="586">
          <cell r="A586">
            <v>8737</v>
          </cell>
          <cell r="B586" t="str">
            <v>梅田 勝太</v>
          </cell>
          <cell r="C586" t="str">
            <v>TRADIA</v>
          </cell>
          <cell r="D586">
            <v>45632</v>
          </cell>
          <cell r="E586" t="str">
            <v>24K1118</v>
          </cell>
          <cell r="F586" t="str">
            <v>I000013628</v>
          </cell>
          <cell r="H586" t="str">
            <v>41397549900</v>
          </cell>
          <cell r="I586">
            <v>584104.39</v>
          </cell>
          <cell r="J586">
            <v>584104.39</v>
          </cell>
          <cell r="K586">
            <v>26.79</v>
          </cell>
          <cell r="L586" t="str">
            <v>WHSU0130931</v>
          </cell>
          <cell r="M586">
            <v>3</v>
          </cell>
          <cell r="N586" t="str">
            <v>20’</v>
          </cell>
          <cell r="O586">
            <v>2</v>
          </cell>
          <cell r="P586">
            <v>45636</v>
          </cell>
          <cell r="Q586">
            <v>45640</v>
          </cell>
          <cell r="R586" t="str">
            <v>土</v>
          </cell>
          <cell r="S586" t="str">
            <v>AM8:30</v>
          </cell>
        </row>
        <row r="587">
          <cell r="A587">
            <v>8738</v>
          </cell>
          <cell r="B587" t="str">
            <v>梅田 勝太</v>
          </cell>
          <cell r="C587" t="str">
            <v>TRADIA</v>
          </cell>
          <cell r="D587">
            <v>45632</v>
          </cell>
          <cell r="E587" t="str">
            <v>24K1119</v>
          </cell>
          <cell r="F587" t="str">
            <v>I000013633</v>
          </cell>
          <cell r="I587">
            <v>336153.42</v>
          </cell>
          <cell r="J587">
            <v>336153.42</v>
          </cell>
          <cell r="K587">
            <v>25.95</v>
          </cell>
          <cell r="L587" t="str">
            <v>WHSU2204308</v>
          </cell>
          <cell r="M587">
            <v>3</v>
          </cell>
          <cell r="N587" t="str">
            <v>20’</v>
          </cell>
          <cell r="O587">
            <v>2</v>
          </cell>
          <cell r="P587">
            <v>45636</v>
          </cell>
          <cell r="Q587">
            <v>45645</v>
          </cell>
          <cell r="R587" t="str">
            <v>木</v>
          </cell>
          <cell r="S587" t="str">
            <v>AM8:30</v>
          </cell>
        </row>
        <row r="588">
          <cell r="A588">
            <v>8739</v>
          </cell>
          <cell r="B588" t="str">
            <v>梅田 勝太</v>
          </cell>
          <cell r="C588" t="str">
            <v>YUSEN</v>
          </cell>
          <cell r="D588">
            <v>45632</v>
          </cell>
          <cell r="E588" t="str">
            <v>24K1120</v>
          </cell>
          <cell r="F588" t="str">
            <v>I000013618</v>
          </cell>
          <cell r="J588">
            <v>597161.77</v>
          </cell>
          <cell r="K588">
            <v>25.46</v>
          </cell>
          <cell r="L588" t="str">
            <v>WHSU2179123</v>
          </cell>
          <cell r="M588">
            <v>3</v>
          </cell>
          <cell r="N588" t="str">
            <v>20’</v>
          </cell>
          <cell r="O588">
            <v>2</v>
          </cell>
          <cell r="P588">
            <v>45635</v>
          </cell>
          <cell r="Q588">
            <v>45642</v>
          </cell>
          <cell r="R588" t="str">
            <v>月</v>
          </cell>
          <cell r="S588" t="str">
            <v>AM8:30</v>
          </cell>
        </row>
        <row r="589">
          <cell r="A589">
            <v>8740</v>
          </cell>
          <cell r="B589" t="str">
            <v>梅田 勝太</v>
          </cell>
          <cell r="C589" t="str">
            <v>YUSEN</v>
          </cell>
          <cell r="D589">
            <v>45632</v>
          </cell>
          <cell r="E589" t="str">
            <v>24K1121</v>
          </cell>
          <cell r="F589" t="str">
            <v>I000013634</v>
          </cell>
          <cell r="J589">
            <v>338527</v>
          </cell>
          <cell r="K589">
            <v>26.64</v>
          </cell>
          <cell r="L589" t="str">
            <v>WHSU0266574</v>
          </cell>
          <cell r="M589">
            <v>3</v>
          </cell>
          <cell r="N589" t="str">
            <v>20’</v>
          </cell>
          <cell r="O589">
            <v>2</v>
          </cell>
          <cell r="P589">
            <v>45636</v>
          </cell>
          <cell r="Q589">
            <v>45650</v>
          </cell>
          <cell r="R589" t="str">
            <v>火</v>
          </cell>
          <cell r="S589" t="str">
            <v>AM8:30</v>
          </cell>
        </row>
        <row r="590">
          <cell r="A590">
            <v>8741</v>
          </cell>
          <cell r="B590" t="str">
            <v>梅田 勝太</v>
          </cell>
          <cell r="C590" t="str">
            <v>TRADIA</v>
          </cell>
          <cell r="D590">
            <v>45632</v>
          </cell>
          <cell r="E590" t="str">
            <v>24K1201</v>
          </cell>
          <cell r="F590" t="str">
            <v>I000013636</v>
          </cell>
          <cell r="I590">
            <v>319676.52</v>
          </cell>
          <cell r="J590">
            <v>319676.52</v>
          </cell>
          <cell r="K590">
            <v>27.88</v>
          </cell>
          <cell r="L590" t="str">
            <v>WHLU0591368</v>
          </cell>
          <cell r="M590">
            <v>3</v>
          </cell>
          <cell r="N590" t="str">
            <v>20’</v>
          </cell>
          <cell r="O590">
            <v>2</v>
          </cell>
          <cell r="P590">
            <v>45636</v>
          </cell>
          <cell r="Q590">
            <v>45644</v>
          </cell>
          <cell r="R590" t="str">
            <v>水</v>
          </cell>
          <cell r="S590" t="str">
            <v>AM8:30</v>
          </cell>
        </row>
        <row r="591">
          <cell r="A591">
            <v>8742</v>
          </cell>
          <cell r="B591" t="str">
            <v>梅田 勝太</v>
          </cell>
          <cell r="C591" t="str">
            <v>TRADIA</v>
          </cell>
          <cell r="D591">
            <v>45633</v>
          </cell>
          <cell r="E591" t="str">
            <v>24K1253</v>
          </cell>
          <cell r="F591" t="str">
            <v>I000013656</v>
          </cell>
          <cell r="J591">
            <v>230191.02</v>
          </cell>
          <cell r="K591">
            <v>1.77</v>
          </cell>
          <cell r="M591">
            <v>3</v>
          </cell>
          <cell r="N591" t="str">
            <v>AIR</v>
          </cell>
          <cell r="O591">
            <v>2</v>
          </cell>
          <cell r="P591">
            <v>45635</v>
          </cell>
          <cell r="Q591">
            <v>45636</v>
          </cell>
          <cell r="R591" t="str">
            <v>火</v>
          </cell>
          <cell r="S591" t="str">
            <v>AM8:30</v>
          </cell>
        </row>
        <row r="592">
          <cell r="A592">
            <v>8743</v>
          </cell>
          <cell r="B592" t="str">
            <v>梅田 勝太</v>
          </cell>
          <cell r="C592" t="str">
            <v>TRADIA</v>
          </cell>
          <cell r="D592">
            <v>45633</v>
          </cell>
          <cell r="E592" t="str">
            <v>24K1253-1</v>
          </cell>
          <cell r="F592" t="str">
            <v>24K1253</v>
          </cell>
          <cell r="J592">
            <v>1.2</v>
          </cell>
          <cell r="K592">
            <v>1E-3</v>
          </cell>
          <cell r="M592">
            <v>3</v>
          </cell>
          <cell r="N592" t="str">
            <v>AIR</v>
          </cell>
          <cell r="O592">
            <v>2</v>
          </cell>
          <cell r="P592">
            <v>45635</v>
          </cell>
          <cell r="Q592">
            <v>45636</v>
          </cell>
          <cell r="R592" t="str">
            <v>火</v>
          </cell>
          <cell r="S592" t="str">
            <v>AM8:30</v>
          </cell>
        </row>
        <row r="593">
          <cell r="A593">
            <v>8744</v>
          </cell>
          <cell r="B593" t="str">
            <v>山本 和弥</v>
          </cell>
          <cell r="C593" t="str">
            <v>TRADIA</v>
          </cell>
          <cell r="D593">
            <v>45638</v>
          </cell>
          <cell r="E593" t="str">
            <v>24P1201</v>
          </cell>
          <cell r="F593" t="str">
            <v>I000013662</v>
          </cell>
          <cell r="H593" t="str">
            <v>41403430340</v>
          </cell>
          <cell r="I593">
            <v>471459.66</v>
          </cell>
          <cell r="J593">
            <v>471459.66</v>
          </cell>
          <cell r="K593">
            <v>64.75</v>
          </cell>
          <cell r="L593" t="str">
            <v>WHSU5222007</v>
          </cell>
          <cell r="M593">
            <v>14</v>
          </cell>
          <cell r="N593" t="str">
            <v>40HQ</v>
          </cell>
          <cell r="O593">
            <v>2</v>
          </cell>
          <cell r="P593">
            <v>45645</v>
          </cell>
          <cell r="Q593">
            <v>45649</v>
          </cell>
          <cell r="R593" t="str">
            <v>月</v>
          </cell>
          <cell r="S593" t="str">
            <v>AM9:30</v>
          </cell>
        </row>
        <row r="594">
          <cell r="A594">
            <v>8745</v>
          </cell>
          <cell r="B594" t="str">
            <v>山本 和弥</v>
          </cell>
          <cell r="C594" t="str">
            <v>FUZILOGIX</v>
          </cell>
          <cell r="D594">
            <v>45639</v>
          </cell>
          <cell r="E594" t="str">
            <v>24T1205</v>
          </cell>
          <cell r="F594" t="str">
            <v>I000013669</v>
          </cell>
          <cell r="H594" t="str">
            <v>11706020900</v>
          </cell>
          <cell r="I594">
            <v>438899.58</v>
          </cell>
          <cell r="J594">
            <v>541609.74</v>
          </cell>
          <cell r="K594">
            <v>65.989999999999995</v>
          </cell>
          <cell r="L594" t="str">
            <v>WHSU5620192</v>
          </cell>
          <cell r="M594">
            <v>4</v>
          </cell>
          <cell r="N594" t="str">
            <v>40HQ</v>
          </cell>
          <cell r="O594">
            <v>5</v>
          </cell>
          <cell r="P594">
            <v>45648</v>
          </cell>
          <cell r="Q594">
            <v>45650</v>
          </cell>
          <cell r="R594" t="str">
            <v>火</v>
          </cell>
          <cell r="S594" t="str">
            <v>AM8:00</v>
          </cell>
        </row>
        <row r="595">
          <cell r="A595">
            <v>8746</v>
          </cell>
          <cell r="B595" t="str">
            <v>山本 和弥</v>
          </cell>
          <cell r="C595" t="str">
            <v>TRADIA</v>
          </cell>
          <cell r="D595">
            <v>45643</v>
          </cell>
          <cell r="E595" t="str">
            <v>24P1202</v>
          </cell>
          <cell r="F595" t="str">
            <v>I000013686</v>
          </cell>
          <cell r="H595" t="str">
            <v>21584625850</v>
          </cell>
          <cell r="I595">
            <v>438899.58</v>
          </cell>
          <cell r="J595">
            <v>438899.58</v>
          </cell>
          <cell r="K595">
            <v>64.16</v>
          </cell>
          <cell r="L595" t="str">
            <v>WHSU6652255</v>
          </cell>
          <cell r="M595">
            <v>11</v>
          </cell>
          <cell r="N595" t="str">
            <v>40HQ</v>
          </cell>
          <cell r="O595">
            <v>4</v>
          </cell>
          <cell r="P595">
            <v>45651</v>
          </cell>
          <cell r="S595" t="str">
            <v>AM7:30</v>
          </cell>
        </row>
        <row r="596">
          <cell r="A596">
            <v>8747</v>
          </cell>
          <cell r="B596" t="str">
            <v>山本 和弥</v>
          </cell>
          <cell r="C596" t="str">
            <v>FUZILOGIX</v>
          </cell>
          <cell r="D596">
            <v>45643</v>
          </cell>
          <cell r="E596" t="str">
            <v>24T1207</v>
          </cell>
          <cell r="F596" t="str">
            <v>I000013671</v>
          </cell>
          <cell r="H596" t="str">
            <v>41403688640</v>
          </cell>
          <cell r="J596">
            <v>864627.76</v>
          </cell>
          <cell r="K596">
            <v>63.24</v>
          </cell>
          <cell r="L596" t="str">
            <v>WHSU6865224</v>
          </cell>
          <cell r="M596">
            <v>4</v>
          </cell>
          <cell r="N596" t="str">
            <v>40HQ</v>
          </cell>
          <cell r="O596">
            <v>2</v>
          </cell>
          <cell r="P596">
            <v>45649</v>
          </cell>
          <cell r="Q596">
            <v>45651</v>
          </cell>
          <cell r="R596" t="str">
            <v>水</v>
          </cell>
          <cell r="S596" t="str">
            <v>AM8:00</v>
          </cell>
        </row>
        <row r="597">
          <cell r="A597">
            <v>8748</v>
          </cell>
          <cell r="B597" t="str">
            <v>山本 和弥</v>
          </cell>
          <cell r="C597" t="str">
            <v>FUZILOGIX</v>
          </cell>
          <cell r="D597">
            <v>45644</v>
          </cell>
          <cell r="E597" t="str">
            <v>24T1208</v>
          </cell>
          <cell r="F597" t="str">
            <v>I000013679</v>
          </cell>
          <cell r="H597" t="str">
            <v>41403688640</v>
          </cell>
          <cell r="J597">
            <v>598073.18000000005</v>
          </cell>
          <cell r="K597">
            <v>65.08</v>
          </cell>
          <cell r="L597" t="str">
            <v>WHSU8001587</v>
          </cell>
          <cell r="M597">
            <v>4</v>
          </cell>
          <cell r="N597" t="str">
            <v>40HQ</v>
          </cell>
          <cell r="O597">
            <v>2</v>
          </cell>
          <cell r="P597">
            <v>45649</v>
          </cell>
          <cell r="Q597">
            <v>45651</v>
          </cell>
          <cell r="R597" t="str">
            <v>水</v>
          </cell>
          <cell r="S597" t="str">
            <v>AM8:00</v>
          </cell>
        </row>
        <row r="598">
          <cell r="A598">
            <v>8749</v>
          </cell>
          <cell r="B598" t="str">
            <v>山本 和弥</v>
          </cell>
          <cell r="C598" t="str">
            <v>FUZILOGIX</v>
          </cell>
          <cell r="D598">
            <v>45645</v>
          </cell>
          <cell r="E598" t="str">
            <v>24T1209</v>
          </cell>
          <cell r="F598" t="str">
            <v>I000013683</v>
          </cell>
          <cell r="H598" t="str">
            <v>11704751060</v>
          </cell>
          <cell r="J598">
            <v>773323.88</v>
          </cell>
          <cell r="K598">
            <v>63.56</v>
          </cell>
          <cell r="L598" t="str">
            <v>WHSU6710710</v>
          </cell>
          <cell r="M598">
            <v>4</v>
          </cell>
          <cell r="N598" t="str">
            <v>40HQ</v>
          </cell>
          <cell r="O598">
            <v>5</v>
          </cell>
          <cell r="P598">
            <v>45649</v>
          </cell>
          <cell r="Q598">
            <v>45651</v>
          </cell>
          <cell r="R598" t="str">
            <v>水</v>
          </cell>
          <cell r="S598" t="str">
            <v>AM8:00</v>
          </cell>
        </row>
        <row r="599">
          <cell r="A599">
            <v>8750</v>
          </cell>
          <cell r="B599" t="str">
            <v>山本 和弥</v>
          </cell>
          <cell r="C599" t="str">
            <v>FUZILOGIX</v>
          </cell>
          <cell r="D599">
            <v>45646</v>
          </cell>
          <cell r="E599" t="str">
            <v>24T1210</v>
          </cell>
          <cell r="F599" t="str">
            <v>I000013688</v>
          </cell>
          <cell r="H599" t="str">
            <v>41403119761</v>
          </cell>
          <cell r="J599">
            <v>623433.84</v>
          </cell>
          <cell r="K599">
            <v>66.09</v>
          </cell>
          <cell r="L599" t="str">
            <v>WHSU6896293</v>
          </cell>
          <cell r="M599">
            <v>4</v>
          </cell>
          <cell r="N599" t="str">
            <v>40HQ</v>
          </cell>
          <cell r="O599">
            <v>2</v>
          </cell>
          <cell r="P599">
            <v>45649</v>
          </cell>
          <cell r="Q599">
            <v>45651</v>
          </cell>
          <cell r="R599" t="str">
            <v>水</v>
          </cell>
          <cell r="S599" t="str">
            <v>AM8:00</v>
          </cell>
        </row>
        <row r="600">
          <cell r="A600">
            <v>8751</v>
          </cell>
          <cell r="B600" t="str">
            <v>山本 和弥</v>
          </cell>
          <cell r="C600" t="str">
            <v>FUZILOGIX</v>
          </cell>
          <cell r="D600">
            <v>45647</v>
          </cell>
          <cell r="E600" t="str">
            <v>24T1212</v>
          </cell>
          <cell r="F600" t="str">
            <v>I000013694</v>
          </cell>
          <cell r="H600" t="str">
            <v>41402220410</v>
          </cell>
          <cell r="J600">
            <v>708296.88</v>
          </cell>
          <cell r="K600">
            <v>65.930000000000007</v>
          </cell>
          <cell r="L600" t="str">
            <v>WHSU8056424</v>
          </cell>
          <cell r="M600">
            <v>4</v>
          </cell>
          <cell r="N600" t="str">
            <v>40HQ</v>
          </cell>
          <cell r="O600">
            <v>2</v>
          </cell>
          <cell r="P600">
            <v>45648</v>
          </cell>
          <cell r="Q600">
            <v>45651</v>
          </cell>
          <cell r="R600" t="str">
            <v>水</v>
          </cell>
          <cell r="S600" t="str">
            <v>AM8:00</v>
          </cell>
        </row>
        <row r="601">
          <cell r="A601">
            <v>8752</v>
          </cell>
          <cell r="B601" t="str">
            <v>山本 和弥</v>
          </cell>
          <cell r="C601" t="str">
            <v>TRADIA</v>
          </cell>
          <cell r="D601">
            <v>45638</v>
          </cell>
          <cell r="E601" t="str">
            <v>24P1107</v>
          </cell>
          <cell r="F601" t="str">
            <v>I000013624</v>
          </cell>
          <cell r="H601" t="str">
            <v>21583289810</v>
          </cell>
          <cell r="I601">
            <v>424026</v>
          </cell>
          <cell r="J601">
            <v>424026</v>
          </cell>
          <cell r="N601" t="str">
            <v>40HQ</v>
          </cell>
          <cell r="O601">
            <v>2</v>
          </cell>
        </row>
        <row r="602">
          <cell r="A602">
            <v>8753</v>
          </cell>
          <cell r="B602" t="str">
            <v>梅田 勝太</v>
          </cell>
          <cell r="C602" t="str">
            <v>TRADIA</v>
          </cell>
          <cell r="D602">
            <v>45637</v>
          </cell>
          <cell r="E602" t="str">
            <v>24K1202</v>
          </cell>
          <cell r="F602" t="str">
            <v>I000013642</v>
          </cell>
          <cell r="H602" t="str">
            <v>41400280600</v>
          </cell>
          <cell r="I602">
            <v>802463.76</v>
          </cell>
          <cell r="J602">
            <v>399020.16</v>
          </cell>
          <cell r="K602">
            <v>26.57</v>
          </cell>
          <cell r="L602" t="str">
            <v>WHSU2112222</v>
          </cell>
          <cell r="M602">
            <v>3</v>
          </cell>
          <cell r="N602" t="str">
            <v>20’</v>
          </cell>
          <cell r="O602">
            <v>2</v>
          </cell>
          <cell r="P602">
            <v>45637</v>
          </cell>
          <cell r="Q602">
            <v>45649</v>
          </cell>
          <cell r="R602" t="str">
            <v>月</v>
          </cell>
          <cell r="S602" t="str">
            <v>AM8:30</v>
          </cell>
        </row>
        <row r="603">
          <cell r="A603">
            <v>8754</v>
          </cell>
          <cell r="B603" t="str">
            <v>梅田 勝太</v>
          </cell>
          <cell r="C603" t="str">
            <v>TRADIA</v>
          </cell>
          <cell r="D603">
            <v>45637</v>
          </cell>
          <cell r="E603" t="str">
            <v>24K1203</v>
          </cell>
          <cell r="F603" t="str">
            <v>I000013648</v>
          </cell>
          <cell r="H603" t="str">
            <v>41400280600</v>
          </cell>
          <cell r="J603">
            <v>403443.6</v>
          </cell>
          <cell r="K603">
            <v>26.07</v>
          </cell>
          <cell r="L603" t="str">
            <v>WHSU0196857</v>
          </cell>
          <cell r="M603">
            <v>3</v>
          </cell>
          <cell r="N603" t="str">
            <v>20’</v>
          </cell>
          <cell r="O603">
            <v>2</v>
          </cell>
          <cell r="P603">
            <v>45637</v>
          </cell>
          <cell r="Q603">
            <v>45664</v>
          </cell>
          <cell r="R603" t="str">
            <v>火</v>
          </cell>
          <cell r="S603" t="str">
            <v>AM8:30</v>
          </cell>
        </row>
        <row r="604">
          <cell r="A604">
            <v>8755</v>
          </cell>
          <cell r="B604" t="str">
            <v>山本 和弥</v>
          </cell>
          <cell r="C604" t="str">
            <v>TRADIA</v>
          </cell>
          <cell r="D604">
            <v>45649</v>
          </cell>
          <cell r="E604" t="str">
            <v>24P1203</v>
          </cell>
          <cell r="F604" t="str">
            <v>I000013720</v>
          </cell>
          <cell r="H604" t="str">
            <v>41404313630</v>
          </cell>
          <cell r="I604">
            <v>461954.1</v>
          </cell>
          <cell r="J604">
            <v>461954.1</v>
          </cell>
          <cell r="K604">
            <v>65.05</v>
          </cell>
          <cell r="L604" t="str">
            <v>TIIU5317348</v>
          </cell>
          <cell r="M604">
            <v>14</v>
          </cell>
          <cell r="N604" t="str">
            <v>40HQ</v>
          </cell>
          <cell r="O604">
            <v>2</v>
          </cell>
          <cell r="P604">
            <v>45655</v>
          </cell>
          <cell r="Q604">
            <v>45667</v>
          </cell>
          <cell r="R604" t="str">
            <v>金</v>
          </cell>
          <cell r="S604" t="str">
            <v>AM9:30</v>
          </cell>
        </row>
        <row r="605">
          <cell r="A605">
            <v>8756</v>
          </cell>
          <cell r="B605" t="str">
            <v>山本 和弥</v>
          </cell>
          <cell r="C605" t="str">
            <v>FUZILOGIX</v>
          </cell>
          <cell r="D605">
            <v>45650</v>
          </cell>
          <cell r="E605" t="str">
            <v>24T1211</v>
          </cell>
          <cell r="F605" t="str">
            <v>I000013687</v>
          </cell>
          <cell r="H605" t="str">
            <v>11706055050</v>
          </cell>
          <cell r="J605">
            <v>580275.07999999996</v>
          </cell>
          <cell r="K605">
            <v>63.99</v>
          </cell>
          <cell r="L605" t="str">
            <v>WHSU6309101</v>
          </cell>
          <cell r="M605">
            <v>4</v>
          </cell>
          <cell r="N605" t="str">
            <v>40HQ</v>
          </cell>
          <cell r="O605">
            <v>5</v>
          </cell>
          <cell r="P605">
            <v>45654</v>
          </cell>
          <cell r="Q605">
            <v>45664</v>
          </cell>
          <cell r="R605" t="str">
            <v>火</v>
          </cell>
          <cell r="S605" t="str">
            <v>AM8:00</v>
          </cell>
        </row>
        <row r="606">
          <cell r="A606">
            <v>8757</v>
          </cell>
          <cell r="B606" t="str">
            <v>山本 和弥</v>
          </cell>
          <cell r="C606" t="str">
            <v>FUZILOGIX</v>
          </cell>
          <cell r="D606">
            <v>45650</v>
          </cell>
          <cell r="E606" t="str">
            <v>24T1215</v>
          </cell>
          <cell r="F606" t="str">
            <v>I000013705</v>
          </cell>
          <cell r="H606" t="str">
            <v>11706055050</v>
          </cell>
          <cell r="J606">
            <v>576046.81999999995</v>
          </cell>
          <cell r="K606">
            <v>64.260000000000005</v>
          </cell>
          <cell r="L606" t="str">
            <v>WHSU5213812</v>
          </cell>
          <cell r="M606">
            <v>4</v>
          </cell>
          <cell r="N606" t="str">
            <v>40HQ</v>
          </cell>
          <cell r="O606">
            <v>5</v>
          </cell>
          <cell r="P606">
            <v>45654</v>
          </cell>
          <cell r="Q606">
            <v>45664</v>
          </cell>
          <cell r="R606" t="str">
            <v>火</v>
          </cell>
          <cell r="S606" t="str">
            <v>AM8:00</v>
          </cell>
        </row>
        <row r="607">
          <cell r="A607">
            <v>8758</v>
          </cell>
          <cell r="B607" t="str">
            <v>山本 和弥</v>
          </cell>
          <cell r="C607" t="str">
            <v>FUZILOGIX</v>
          </cell>
          <cell r="D607">
            <v>45650</v>
          </cell>
          <cell r="E607" t="str">
            <v>24T1213</v>
          </cell>
          <cell r="F607" t="str">
            <v>I000013700</v>
          </cell>
          <cell r="H607" t="str">
            <v>41403402711</v>
          </cell>
          <cell r="J607">
            <v>660421.98</v>
          </cell>
          <cell r="K607">
            <v>61.79</v>
          </cell>
          <cell r="L607" t="str">
            <v>WHSU6181258</v>
          </cell>
          <cell r="M607">
            <v>4</v>
          </cell>
          <cell r="N607" t="str">
            <v>40HQ</v>
          </cell>
          <cell r="O607">
            <v>2</v>
          </cell>
          <cell r="P607">
            <v>45652</v>
          </cell>
          <cell r="Q607">
            <v>45664</v>
          </cell>
          <cell r="R607" t="str">
            <v>火</v>
          </cell>
          <cell r="S607" t="str">
            <v>AM8:00</v>
          </cell>
        </row>
        <row r="608">
          <cell r="A608">
            <v>8759</v>
          </cell>
          <cell r="B608" t="str">
            <v>山本 和弥</v>
          </cell>
          <cell r="C608" t="str">
            <v>FUZILOGIX</v>
          </cell>
          <cell r="D608">
            <v>45650</v>
          </cell>
          <cell r="E608" t="str">
            <v>24T1214</v>
          </cell>
          <cell r="F608" t="str">
            <v>I000013711</v>
          </cell>
          <cell r="H608" t="str">
            <v>41404382710</v>
          </cell>
          <cell r="J608">
            <v>779773.15</v>
          </cell>
          <cell r="K608">
            <v>61.51</v>
          </cell>
          <cell r="L608" t="str">
            <v>WHSU6697985</v>
          </cell>
          <cell r="M608">
            <v>4</v>
          </cell>
          <cell r="N608" t="str">
            <v>40HQ</v>
          </cell>
          <cell r="O608">
            <v>2</v>
          </cell>
          <cell r="P608">
            <v>45652</v>
          </cell>
          <cell r="Q608">
            <v>45664</v>
          </cell>
          <cell r="R608" t="str">
            <v>火</v>
          </cell>
          <cell r="S608" t="str">
            <v>AM8:00</v>
          </cell>
        </row>
        <row r="609">
          <cell r="A609">
            <v>8760</v>
          </cell>
          <cell r="B609" t="str">
            <v>山本 和弥</v>
          </cell>
          <cell r="C609" t="str">
            <v>FUZILOGIX</v>
          </cell>
          <cell r="D609">
            <v>45650</v>
          </cell>
          <cell r="E609" t="str">
            <v>24T1216</v>
          </cell>
          <cell r="F609" t="str">
            <v>I000013719</v>
          </cell>
          <cell r="H609" t="str">
            <v>41404650220</v>
          </cell>
          <cell r="J609">
            <v>778268.8</v>
          </cell>
          <cell r="K609">
            <v>62.41</v>
          </cell>
          <cell r="L609" t="str">
            <v>OOCU9180060</v>
          </cell>
          <cell r="M609">
            <v>4</v>
          </cell>
          <cell r="N609" t="str">
            <v>40HQ</v>
          </cell>
          <cell r="O609">
            <v>2</v>
          </cell>
          <cell r="P609">
            <v>45662</v>
          </cell>
          <cell r="Q609">
            <v>45299</v>
          </cell>
          <cell r="R609" t="str">
            <v>水</v>
          </cell>
          <cell r="S609" t="str">
            <v>AM8:00</v>
          </cell>
        </row>
        <row r="610">
          <cell r="A610">
            <v>8761</v>
          </cell>
          <cell r="B610" t="str">
            <v>山本 和弥</v>
          </cell>
          <cell r="C610" t="str">
            <v>FUZILOGIX</v>
          </cell>
          <cell r="D610">
            <v>45654</v>
          </cell>
          <cell r="E610" t="str">
            <v>24T1217</v>
          </cell>
          <cell r="F610" t="str">
            <v>I000013728</v>
          </cell>
          <cell r="H610" t="str">
            <v>11708768510</v>
          </cell>
          <cell r="J610">
            <v>575160.84</v>
          </cell>
          <cell r="K610">
            <v>64.31</v>
          </cell>
          <cell r="L610" t="str">
            <v>WHSU6431357</v>
          </cell>
          <cell r="M610">
            <v>4</v>
          </cell>
          <cell r="N610" t="str">
            <v>40HQ</v>
          </cell>
          <cell r="O610">
            <v>5</v>
          </cell>
          <cell r="P610">
            <v>45296</v>
          </cell>
          <cell r="Q610">
            <v>45665</v>
          </cell>
          <cell r="R610" t="str">
            <v>水</v>
          </cell>
          <cell r="S610" t="str">
            <v>AM8:00</v>
          </cell>
        </row>
        <row r="611">
          <cell r="A611">
            <v>8762</v>
          </cell>
          <cell r="B611" t="str">
            <v>山本 和弥</v>
          </cell>
          <cell r="C611" t="str">
            <v>TRADIA</v>
          </cell>
          <cell r="D611">
            <v>45654</v>
          </cell>
          <cell r="E611" t="str">
            <v>24P1204</v>
          </cell>
          <cell r="F611" t="str">
            <v>I000013784</v>
          </cell>
          <cell r="H611" t="str">
            <v>21587775850</v>
          </cell>
          <cell r="I611">
            <v>471446.52</v>
          </cell>
          <cell r="J611">
            <v>471446.52</v>
          </cell>
          <cell r="K611">
            <v>62.63</v>
          </cell>
          <cell r="L611" t="str">
            <v>WHSU5019448</v>
          </cell>
          <cell r="M611">
            <v>11</v>
          </cell>
          <cell r="N611" t="str">
            <v>40HQ</v>
          </cell>
          <cell r="O611">
            <v>4</v>
          </cell>
          <cell r="P611">
            <v>45664</v>
          </cell>
          <cell r="Q611">
            <v>45671</v>
          </cell>
          <cell r="R611" t="str">
            <v>火</v>
          </cell>
          <cell r="S611" t="str">
            <v>AM7:30</v>
          </cell>
        </row>
        <row r="612">
          <cell r="A612">
            <v>8763</v>
          </cell>
          <cell r="B612" t="str">
            <v>山本 和弥</v>
          </cell>
          <cell r="C612" t="str">
            <v>FUZILOGIX</v>
          </cell>
          <cell r="D612">
            <v>45663</v>
          </cell>
          <cell r="E612" t="str">
            <v>24T1218</v>
          </cell>
          <cell r="F612" t="str">
            <v>I000013774</v>
          </cell>
          <cell r="H612" t="str">
            <v>41406726900</v>
          </cell>
          <cell r="J612">
            <v>793151.92</v>
          </cell>
          <cell r="K612">
            <v>65.180000000000007</v>
          </cell>
          <cell r="L612" t="str">
            <v>WHSU6338476</v>
          </cell>
          <cell r="M612">
            <v>4</v>
          </cell>
          <cell r="N612" t="str">
            <v>40HQ</v>
          </cell>
          <cell r="O612">
            <v>2</v>
          </cell>
          <cell r="P612">
            <v>45663</v>
          </cell>
          <cell r="Q612">
            <v>45299</v>
          </cell>
          <cell r="R612" t="str">
            <v>水</v>
          </cell>
          <cell r="S612" t="str">
            <v>AM8:00</v>
          </cell>
        </row>
        <row r="613">
          <cell r="A613">
            <v>8764</v>
          </cell>
          <cell r="B613" t="str">
            <v>山本 和弥</v>
          </cell>
          <cell r="C613" t="str">
            <v>FUZILOGIX</v>
          </cell>
          <cell r="D613">
            <v>45663</v>
          </cell>
          <cell r="E613" t="str">
            <v>24T1220</v>
          </cell>
          <cell r="F613" t="str">
            <v>I000013778</v>
          </cell>
          <cell r="H613" t="str">
            <v>41406726900</v>
          </cell>
          <cell r="J613">
            <v>845399.34</v>
          </cell>
          <cell r="K613">
            <v>61.07</v>
          </cell>
          <cell r="L613" t="str">
            <v>WHSU6711384</v>
          </cell>
          <cell r="M613">
            <v>4</v>
          </cell>
          <cell r="N613" t="str">
            <v>40HQ</v>
          </cell>
          <cell r="O613">
            <v>2</v>
          </cell>
          <cell r="P613">
            <v>45663</v>
          </cell>
          <cell r="Q613">
            <v>45299</v>
          </cell>
          <cell r="R613" t="str">
            <v>水</v>
          </cell>
          <cell r="S613" t="str">
            <v>AM8:00</v>
          </cell>
        </row>
        <row r="614">
          <cell r="A614">
            <v>8765</v>
          </cell>
          <cell r="B614" t="str">
            <v>山本 和弥</v>
          </cell>
          <cell r="C614" t="str">
            <v>FUZILOGIX</v>
          </cell>
          <cell r="D614">
            <v>45663</v>
          </cell>
          <cell r="E614" t="str">
            <v>24T1221</v>
          </cell>
          <cell r="F614" t="str">
            <v>I000013785</v>
          </cell>
          <cell r="H614" t="str">
            <v>41406726900</v>
          </cell>
          <cell r="J614">
            <v>611005.22</v>
          </cell>
          <cell r="K614">
            <v>64.81</v>
          </cell>
          <cell r="L614" t="str">
            <v>WHSU6597501</v>
          </cell>
          <cell r="M614">
            <v>4</v>
          </cell>
          <cell r="N614" t="str">
            <v>40HQ</v>
          </cell>
          <cell r="O614">
            <v>2</v>
          </cell>
          <cell r="P614">
            <v>45663</v>
          </cell>
          <cell r="Q614">
            <v>45299</v>
          </cell>
          <cell r="R614" t="str">
            <v>水</v>
          </cell>
          <cell r="S614" t="str">
            <v>AM8:00</v>
          </cell>
        </row>
        <row r="615">
          <cell r="A615">
            <v>8766</v>
          </cell>
          <cell r="B615" t="str">
            <v>山本 和弥</v>
          </cell>
          <cell r="C615" t="str">
            <v>FUZILOGIX</v>
          </cell>
          <cell r="D615">
            <v>45663</v>
          </cell>
          <cell r="E615" t="str">
            <v>24T1222</v>
          </cell>
          <cell r="F615" t="str">
            <v>I000013787</v>
          </cell>
          <cell r="H615" t="str">
            <v>41406726900</v>
          </cell>
          <cell r="J615">
            <v>730614.22</v>
          </cell>
          <cell r="K615">
            <v>58.21</v>
          </cell>
          <cell r="L615" t="str">
            <v>WHSU6719507</v>
          </cell>
          <cell r="M615">
            <v>4</v>
          </cell>
          <cell r="N615" t="str">
            <v>40HQ</v>
          </cell>
          <cell r="O615">
            <v>2</v>
          </cell>
          <cell r="P615">
            <v>45663</v>
          </cell>
          <cell r="Q615">
            <v>45299</v>
          </cell>
          <cell r="R615" t="str">
            <v>水</v>
          </cell>
          <cell r="S615" t="str">
            <v>AM8:00</v>
          </cell>
        </row>
        <row r="616">
          <cell r="A616">
            <v>8767</v>
          </cell>
          <cell r="B616" t="str">
            <v>山本 和弥</v>
          </cell>
          <cell r="C616" t="str">
            <v>TRADIA</v>
          </cell>
          <cell r="D616">
            <v>45668</v>
          </cell>
          <cell r="E616" t="str">
            <v>25P0101</v>
          </cell>
          <cell r="F616" t="str">
            <v>I000013816</v>
          </cell>
          <cell r="H616" t="str">
            <v>41413200830</v>
          </cell>
          <cell r="I616">
            <v>428210.82</v>
          </cell>
          <cell r="J616">
            <v>428210.82</v>
          </cell>
          <cell r="K616">
            <v>62.1</v>
          </cell>
          <cell r="L616" t="str">
            <v>WHSU6982787</v>
          </cell>
          <cell r="M616">
            <v>14</v>
          </cell>
          <cell r="N616" t="str">
            <v>40HQ</v>
          </cell>
          <cell r="O616">
            <v>2</v>
          </cell>
          <cell r="P616">
            <v>45676</v>
          </cell>
          <cell r="Q616">
            <v>45681</v>
          </cell>
          <cell r="R616" t="str">
            <v>金</v>
          </cell>
          <cell r="S616" t="str">
            <v>AM9:30</v>
          </cell>
        </row>
        <row r="617">
          <cell r="A617">
            <v>8768</v>
          </cell>
          <cell r="B617" t="str">
            <v>山本 和弥</v>
          </cell>
          <cell r="C617" t="str">
            <v>FUZILOGIX</v>
          </cell>
          <cell r="D617">
            <v>45668</v>
          </cell>
          <cell r="E617" t="str">
            <v>25T0101</v>
          </cell>
          <cell r="F617" t="str">
            <v>I000013798</v>
          </cell>
          <cell r="H617" t="str">
            <v>41408692830</v>
          </cell>
          <cell r="J617">
            <v>743864.8</v>
          </cell>
          <cell r="K617">
            <v>63.98</v>
          </cell>
          <cell r="L617" t="str">
            <v>WHSU6722753</v>
          </cell>
          <cell r="M617">
            <v>4</v>
          </cell>
          <cell r="N617" t="str">
            <v>40HQ</v>
          </cell>
          <cell r="O617">
            <v>2</v>
          </cell>
          <cell r="P617">
            <v>45672</v>
          </cell>
          <cell r="Q617">
            <v>45674</v>
          </cell>
          <cell r="R617" t="str">
            <v>金</v>
          </cell>
          <cell r="S617" t="str">
            <v>AM8:00</v>
          </cell>
        </row>
        <row r="618">
          <cell r="A618">
            <v>8769</v>
          </cell>
          <cell r="B618" t="str">
            <v>山本 和弥</v>
          </cell>
          <cell r="C618" t="str">
            <v>FUZILOGIX</v>
          </cell>
          <cell r="D618">
            <v>45668</v>
          </cell>
          <cell r="E618" t="str">
            <v>25T0104</v>
          </cell>
          <cell r="F618" t="str">
            <v>I000013808</v>
          </cell>
          <cell r="H618" t="str">
            <v>41408692830</v>
          </cell>
          <cell r="J618">
            <v>765202.8</v>
          </cell>
          <cell r="K618">
            <v>63.9</v>
          </cell>
          <cell r="L618" t="str">
            <v>WHSU6282206</v>
          </cell>
          <cell r="M618">
            <v>4</v>
          </cell>
          <cell r="N618" t="str">
            <v>40HQ</v>
          </cell>
          <cell r="O618">
            <v>2</v>
          </cell>
          <cell r="P618">
            <v>45672</v>
          </cell>
          <cell r="Q618">
            <v>45674</v>
          </cell>
          <cell r="R618" t="str">
            <v>金</v>
          </cell>
          <cell r="S618" t="str">
            <v>AM8:00</v>
          </cell>
        </row>
        <row r="619">
          <cell r="A619">
            <v>8770</v>
          </cell>
          <cell r="B619" t="str">
            <v>山本 和弥</v>
          </cell>
          <cell r="C619" t="str">
            <v>FUZILOGIX</v>
          </cell>
          <cell r="D619">
            <v>45668</v>
          </cell>
          <cell r="E619" t="str">
            <v>25T0103</v>
          </cell>
          <cell r="F619" t="str">
            <v>I000013803</v>
          </cell>
          <cell r="H619" t="str">
            <v>11713371010</v>
          </cell>
          <cell r="J619">
            <v>648621.16</v>
          </cell>
          <cell r="K619">
            <v>65.069999999999993</v>
          </cell>
          <cell r="L619" t="str">
            <v>WHSU5815553</v>
          </cell>
          <cell r="M619">
            <v>4</v>
          </cell>
          <cell r="N619" t="str">
            <v>40HQ</v>
          </cell>
          <cell r="O619">
            <v>5</v>
          </cell>
          <cell r="P619">
            <v>45673</v>
          </cell>
          <cell r="Q619">
            <v>45677</v>
          </cell>
          <cell r="R619" t="str">
            <v>月</v>
          </cell>
          <cell r="S619" t="str">
            <v>AM8:00</v>
          </cell>
        </row>
        <row r="620">
          <cell r="A620">
            <v>8771</v>
          </cell>
          <cell r="B620" t="str">
            <v>山本 和弥</v>
          </cell>
          <cell r="C620" t="str">
            <v>FUZILOGIX</v>
          </cell>
          <cell r="D620">
            <v>45668</v>
          </cell>
          <cell r="E620" t="str">
            <v>25T0105</v>
          </cell>
          <cell r="F620" t="str">
            <v>I000013818</v>
          </cell>
          <cell r="H620" t="str">
            <v>41410811141</v>
          </cell>
          <cell r="J620">
            <v>707402.74</v>
          </cell>
          <cell r="K620">
            <v>63.85</v>
          </cell>
          <cell r="L620" t="str">
            <v>WHSU6460273</v>
          </cell>
          <cell r="M620">
            <v>4</v>
          </cell>
          <cell r="N620" t="str">
            <v>40HQ</v>
          </cell>
          <cell r="O620">
            <v>2</v>
          </cell>
          <cell r="P620">
            <v>45675</v>
          </cell>
          <cell r="Q620">
            <v>45678</v>
          </cell>
          <cell r="R620" t="str">
            <v>火</v>
          </cell>
          <cell r="S620" t="str">
            <v>AM8:00</v>
          </cell>
        </row>
        <row r="621">
          <cell r="A621">
            <v>8772</v>
          </cell>
          <cell r="B621" t="str">
            <v>梅田 勝太</v>
          </cell>
          <cell r="C621" t="str">
            <v>TRADIA</v>
          </cell>
          <cell r="D621">
            <v>45643</v>
          </cell>
          <cell r="E621" t="str">
            <v>24K1204</v>
          </cell>
          <cell r="F621" t="str">
            <v>I000013654</v>
          </cell>
          <cell r="H621" t="str">
            <v>41399736330</v>
          </cell>
          <cell r="I621">
            <v>318145.59999999998</v>
          </cell>
          <cell r="J621">
            <v>318145.59999999998</v>
          </cell>
          <cell r="K621">
            <v>25.98</v>
          </cell>
          <cell r="L621" t="str">
            <v>RFSU3024940</v>
          </cell>
          <cell r="M621">
            <v>3</v>
          </cell>
          <cell r="N621" t="str">
            <v>20'</v>
          </cell>
          <cell r="O621">
            <v>2</v>
          </cell>
          <cell r="P621">
            <v>45639</v>
          </cell>
          <cell r="Q621">
            <v>45651</v>
          </cell>
          <cell r="R621" t="str">
            <v>水</v>
          </cell>
          <cell r="S621" t="str">
            <v>AM8:30</v>
          </cell>
        </row>
        <row r="622">
          <cell r="A622">
            <v>8773</v>
          </cell>
          <cell r="B622" t="str">
            <v>梅田 勝太</v>
          </cell>
          <cell r="C622" t="str">
            <v>TRADIA</v>
          </cell>
          <cell r="D622">
            <v>45643</v>
          </cell>
          <cell r="E622" t="str">
            <v>24K1205</v>
          </cell>
          <cell r="F622" t="str">
            <v>I000013665</v>
          </cell>
          <cell r="H622" t="str">
            <v>41403863530</v>
          </cell>
          <cell r="I622">
            <v>1341569.73</v>
          </cell>
          <cell r="J622">
            <v>484771.96</v>
          </cell>
          <cell r="K622">
            <v>25.96</v>
          </cell>
          <cell r="L622" t="str">
            <v>WHLU0481484</v>
          </cell>
          <cell r="M622">
            <v>3</v>
          </cell>
          <cell r="N622" t="str">
            <v>20'</v>
          </cell>
          <cell r="O622">
            <v>2</v>
          </cell>
          <cell r="P622">
            <v>45645</v>
          </cell>
          <cell r="Q622">
            <v>45667</v>
          </cell>
          <cell r="R622" t="str">
            <v>金</v>
          </cell>
          <cell r="S622" t="str">
            <v>AM8:30</v>
          </cell>
        </row>
        <row r="623">
          <cell r="A623">
            <v>8774</v>
          </cell>
          <cell r="B623" t="str">
            <v>梅田 勝太</v>
          </cell>
          <cell r="C623" t="str">
            <v>TRADIA</v>
          </cell>
          <cell r="D623">
            <v>45643</v>
          </cell>
          <cell r="E623" t="str">
            <v>24K1206</v>
          </cell>
          <cell r="F623" t="str">
            <v>I000013667</v>
          </cell>
          <cell r="H623" t="str">
            <v>41403863530</v>
          </cell>
          <cell r="J623">
            <v>389550.35</v>
          </cell>
          <cell r="K623">
            <v>25.38</v>
          </cell>
          <cell r="L623" t="str">
            <v>SEGU1136916</v>
          </cell>
          <cell r="M623">
            <v>3</v>
          </cell>
          <cell r="N623" t="str">
            <v>20'</v>
          </cell>
          <cell r="O623">
            <v>2</v>
          </cell>
          <cell r="P623">
            <v>45645</v>
          </cell>
          <cell r="Q623">
            <v>45671</v>
          </cell>
          <cell r="R623" t="str">
            <v>火</v>
          </cell>
          <cell r="S623" t="str">
            <v>AM8:30</v>
          </cell>
        </row>
        <row r="624">
          <cell r="A624">
            <v>8775</v>
          </cell>
          <cell r="B624" t="str">
            <v>梅田 勝太</v>
          </cell>
          <cell r="C624" t="str">
            <v>TRADIA</v>
          </cell>
          <cell r="D624">
            <v>45643</v>
          </cell>
          <cell r="E624" t="str">
            <v>24K1207</v>
          </cell>
          <cell r="F624" t="str">
            <v>I000013676</v>
          </cell>
          <cell r="H624" t="str">
            <v>41403863530</v>
          </cell>
          <cell r="J624">
            <v>467247.42</v>
          </cell>
          <cell r="K624">
            <v>27.07</v>
          </cell>
          <cell r="L624" t="str">
            <v>WHSU0043436</v>
          </cell>
          <cell r="M624">
            <v>3</v>
          </cell>
          <cell r="N624" t="str">
            <v>20'</v>
          </cell>
          <cell r="O624">
            <v>2</v>
          </cell>
          <cell r="P624">
            <v>45645</v>
          </cell>
          <cell r="Q624">
            <v>45652</v>
          </cell>
          <cell r="R624" t="str">
            <v>木</v>
          </cell>
          <cell r="S624" t="str">
            <v>AM8:30</v>
          </cell>
        </row>
        <row r="625">
          <cell r="A625">
            <v>8776</v>
          </cell>
          <cell r="B625" t="str">
            <v>梅田 勝太</v>
          </cell>
          <cell r="C625" t="str">
            <v>TRADIA</v>
          </cell>
          <cell r="D625">
            <v>45650</v>
          </cell>
          <cell r="E625" t="str">
            <v>24K1208</v>
          </cell>
          <cell r="F625" t="str">
            <v>I000013685</v>
          </cell>
          <cell r="H625" t="str">
            <v>41402998661</v>
          </cell>
          <cell r="I625">
            <v>665171.9</v>
          </cell>
          <cell r="J625">
            <v>665171.9</v>
          </cell>
          <cell r="K625">
            <v>27.75</v>
          </cell>
          <cell r="L625" t="str">
            <v>FYCU7229120</v>
          </cell>
          <cell r="M625">
            <v>3</v>
          </cell>
          <cell r="N625" t="str">
            <v>20'</v>
          </cell>
          <cell r="O625">
            <v>2</v>
          </cell>
          <cell r="P625">
            <v>45650</v>
          </cell>
          <cell r="Q625">
            <v>45653</v>
          </cell>
          <cell r="R625" t="str">
            <v>金</v>
          </cell>
          <cell r="S625" t="str">
            <v>AM8:30</v>
          </cell>
        </row>
        <row r="626">
          <cell r="A626">
            <v>8777</v>
          </cell>
          <cell r="B626" t="str">
            <v>梅田 勝太</v>
          </cell>
          <cell r="C626" t="str">
            <v>TRADIA</v>
          </cell>
          <cell r="D626">
            <v>45650</v>
          </cell>
          <cell r="E626" t="str">
            <v>24K1209</v>
          </cell>
          <cell r="F626" t="str">
            <v>I000013693</v>
          </cell>
          <cell r="H626" t="str">
            <v>41403157450</v>
          </cell>
          <cell r="I626">
            <v>408373.54</v>
          </cell>
          <cell r="J626">
            <v>408373.54</v>
          </cell>
          <cell r="K626">
            <v>26.89</v>
          </cell>
          <cell r="L626" t="str">
            <v>WHSU0041876</v>
          </cell>
          <cell r="M626">
            <v>3</v>
          </cell>
          <cell r="N626" t="str">
            <v>20'</v>
          </cell>
          <cell r="O626">
            <v>2</v>
          </cell>
          <cell r="P626">
            <v>45649</v>
          </cell>
          <cell r="Q626">
            <v>45665</v>
          </cell>
          <cell r="R626" t="str">
            <v>水</v>
          </cell>
          <cell r="S626" t="str">
            <v>AM8:30</v>
          </cell>
        </row>
        <row r="627">
          <cell r="A627">
            <v>8778</v>
          </cell>
          <cell r="B627" t="str">
            <v>梅田 勝太</v>
          </cell>
          <cell r="C627" t="str">
            <v>TRADIA</v>
          </cell>
          <cell r="D627">
            <v>45650</v>
          </cell>
          <cell r="E627" t="str">
            <v>24K1210</v>
          </cell>
          <cell r="F627" t="str">
            <v>I000013704</v>
          </cell>
          <cell r="H627" t="str">
            <v>41403141830</v>
          </cell>
          <cell r="I627">
            <v>438390.8</v>
          </cell>
          <cell r="J627">
            <v>438390.8</v>
          </cell>
          <cell r="K627">
            <v>25.46</v>
          </cell>
          <cell r="L627" t="str">
            <v>WHSU2288700</v>
          </cell>
          <cell r="M627">
            <v>3</v>
          </cell>
          <cell r="N627" t="str">
            <v>20'</v>
          </cell>
          <cell r="O627">
            <v>2</v>
          </cell>
          <cell r="P627">
            <v>45651</v>
          </cell>
          <cell r="Q627">
            <v>46018</v>
          </cell>
          <cell r="R627" t="str">
            <v>金</v>
          </cell>
          <cell r="S627" t="str">
            <v>AM8:30</v>
          </cell>
        </row>
        <row r="628">
          <cell r="A628">
            <v>8779</v>
          </cell>
          <cell r="B628" t="str">
            <v>梅田 勝太</v>
          </cell>
          <cell r="C628" t="str">
            <v>TRADIA</v>
          </cell>
          <cell r="D628">
            <v>45650</v>
          </cell>
          <cell r="E628" t="str">
            <v>24K1211</v>
          </cell>
          <cell r="F628" t="str">
            <v>I000013714</v>
          </cell>
          <cell r="H628" t="str">
            <v>41404212130</v>
          </cell>
          <cell r="I628">
            <v>871524.6</v>
          </cell>
          <cell r="J628">
            <v>412269.2</v>
          </cell>
          <cell r="K628">
            <v>26.32</v>
          </cell>
          <cell r="L628" t="str">
            <v>TSSU2168024</v>
          </cell>
          <cell r="M628">
            <v>3</v>
          </cell>
          <cell r="N628" t="str">
            <v>20'</v>
          </cell>
          <cell r="O628">
            <v>2</v>
          </cell>
          <cell r="P628">
            <v>45655</v>
          </cell>
          <cell r="Q628">
            <v>45664</v>
          </cell>
          <cell r="R628" t="str">
            <v>火</v>
          </cell>
          <cell r="S628" t="str">
            <v>AM8:30</v>
          </cell>
        </row>
        <row r="629">
          <cell r="A629">
            <v>8780</v>
          </cell>
          <cell r="B629" t="str">
            <v>梅田 勝太</v>
          </cell>
          <cell r="C629" t="str">
            <v>TRADIA</v>
          </cell>
          <cell r="D629">
            <v>45650</v>
          </cell>
          <cell r="E629" t="str">
            <v>24K1212</v>
          </cell>
          <cell r="F629" t="str">
            <v>I000013722</v>
          </cell>
          <cell r="H629" t="str">
            <v>41404212130</v>
          </cell>
          <cell r="J629">
            <v>459255.4</v>
          </cell>
          <cell r="K629">
            <v>27</v>
          </cell>
          <cell r="L629" t="str">
            <v>TLLU3395596</v>
          </cell>
          <cell r="M629">
            <v>3</v>
          </cell>
          <cell r="N629" t="str">
            <v>20'</v>
          </cell>
          <cell r="O629">
            <v>2</v>
          </cell>
          <cell r="P629">
            <v>45655</v>
          </cell>
          <cell r="Q629">
            <v>45673</v>
          </cell>
          <cell r="R629" t="str">
            <v>木</v>
          </cell>
          <cell r="S629" t="str">
            <v>AM8:30</v>
          </cell>
        </row>
        <row r="630">
          <cell r="A630">
            <v>8781</v>
          </cell>
          <cell r="B630" t="str">
            <v>梅田 勝太</v>
          </cell>
          <cell r="C630" t="str">
            <v>TRADIA</v>
          </cell>
          <cell r="D630">
            <v>45664</v>
          </cell>
          <cell r="E630" t="str">
            <v>24K1213</v>
          </cell>
          <cell r="F630" t="str">
            <v>I000013769</v>
          </cell>
          <cell r="H630" t="str">
            <v>41406621420</v>
          </cell>
          <cell r="I630">
            <v>1205795.71</v>
          </cell>
          <cell r="J630">
            <v>446616.44</v>
          </cell>
          <cell r="K630">
            <v>28.16</v>
          </cell>
          <cell r="L630" t="str">
            <v>GAOU2530103</v>
          </cell>
          <cell r="M630">
            <v>3</v>
          </cell>
          <cell r="N630" t="str">
            <v>20'</v>
          </cell>
          <cell r="O630">
            <v>2</v>
          </cell>
          <cell r="P630">
            <v>45662</v>
          </cell>
          <cell r="Q630">
            <v>45672</v>
          </cell>
          <cell r="R630" t="str">
            <v>水</v>
          </cell>
          <cell r="S630" t="str">
            <v>AM8:30</v>
          </cell>
        </row>
        <row r="631">
          <cell r="A631">
            <v>8782</v>
          </cell>
          <cell r="B631" t="str">
            <v>梅田 勝太</v>
          </cell>
          <cell r="C631" t="str">
            <v>TRADIA</v>
          </cell>
          <cell r="D631">
            <v>45664</v>
          </cell>
          <cell r="E631" t="str">
            <v>24K1214</v>
          </cell>
          <cell r="F631" t="str">
            <v>I000013775</v>
          </cell>
          <cell r="H631" t="str">
            <v>41406621420</v>
          </cell>
          <cell r="J631">
            <v>338311.12</v>
          </cell>
          <cell r="K631">
            <v>28.02</v>
          </cell>
          <cell r="L631" t="str">
            <v>TSSU2292708</v>
          </cell>
          <cell r="M631">
            <v>3</v>
          </cell>
          <cell r="N631" t="str">
            <v>20'</v>
          </cell>
          <cell r="O631">
            <v>2</v>
          </cell>
          <cell r="P631">
            <v>45662</v>
          </cell>
          <cell r="Q631">
            <v>45677</v>
          </cell>
          <cell r="R631" t="str">
            <v>月</v>
          </cell>
          <cell r="S631" t="str">
            <v>AM8:30</v>
          </cell>
        </row>
        <row r="632">
          <cell r="A632">
            <v>8783</v>
          </cell>
          <cell r="B632" t="str">
            <v>梅田 勝太</v>
          </cell>
          <cell r="C632" t="str">
            <v>TRADIA</v>
          </cell>
          <cell r="D632">
            <v>45664</v>
          </cell>
          <cell r="E632" t="str">
            <v>24K1215</v>
          </cell>
          <cell r="F632" t="str">
            <v>I000013786</v>
          </cell>
          <cell r="H632" t="str">
            <v>41406621420</v>
          </cell>
          <cell r="J632">
            <v>419843.94</v>
          </cell>
          <cell r="K632">
            <v>26.16</v>
          </cell>
          <cell r="L632" t="str">
            <v>TSSU2155900</v>
          </cell>
          <cell r="M632">
            <v>3</v>
          </cell>
          <cell r="N632" t="str">
            <v>20'</v>
          </cell>
          <cell r="O632">
            <v>2</v>
          </cell>
          <cell r="P632">
            <v>45662</v>
          </cell>
          <cell r="Q632">
            <v>45687</v>
          </cell>
          <cell r="R632" t="str">
            <v>木</v>
          </cell>
          <cell r="S632" t="str">
            <v>AM8:30</v>
          </cell>
        </row>
        <row r="633">
          <cell r="A633">
            <v>8784</v>
          </cell>
          <cell r="B633" t="str">
            <v>梅田 勝太</v>
          </cell>
          <cell r="C633" t="str">
            <v>TRADIA</v>
          </cell>
          <cell r="D633">
            <v>45664</v>
          </cell>
          <cell r="E633" t="str">
            <v>24K1215-1</v>
          </cell>
          <cell r="F633" t="str">
            <v>I000013786</v>
          </cell>
          <cell r="H633" t="str">
            <v>41406621420</v>
          </cell>
          <cell r="J633">
            <v>1024.21</v>
          </cell>
          <cell r="K633">
            <v>0.04</v>
          </cell>
          <cell r="L633" t="str">
            <v>TSSU2155900</v>
          </cell>
          <cell r="M633">
            <v>3</v>
          </cell>
          <cell r="N633" t="str">
            <v>20'</v>
          </cell>
          <cell r="O633">
            <v>2</v>
          </cell>
          <cell r="P633">
            <v>45662</v>
          </cell>
          <cell r="Q633">
            <v>45687</v>
          </cell>
          <cell r="R633" t="str">
            <v>木</v>
          </cell>
          <cell r="S633" t="str">
            <v>AM8:30</v>
          </cell>
        </row>
        <row r="634">
          <cell r="A634">
            <v>8785</v>
          </cell>
          <cell r="B634" t="str">
            <v>梅田 勝太</v>
          </cell>
          <cell r="C634" t="str">
            <v>YUSEN</v>
          </cell>
          <cell r="D634">
            <v>45664</v>
          </cell>
          <cell r="E634" t="str">
            <v>24K1216</v>
          </cell>
          <cell r="F634" t="str">
            <v>I000013779</v>
          </cell>
          <cell r="J634">
            <v>332864.7</v>
          </cell>
          <cell r="K634">
            <v>27.47</v>
          </cell>
          <cell r="L634" t="str">
            <v>WHSU0106869</v>
          </cell>
          <cell r="M634">
            <v>3</v>
          </cell>
          <cell r="N634" t="str">
            <v>20'</v>
          </cell>
          <cell r="O634">
            <v>2</v>
          </cell>
          <cell r="P634">
            <v>45663</v>
          </cell>
          <cell r="Q634">
            <v>45679</v>
          </cell>
          <cell r="R634" t="str">
            <v>水</v>
          </cell>
          <cell r="S634" t="str">
            <v>AM8:30</v>
          </cell>
        </row>
        <row r="635">
          <cell r="A635">
            <v>8786</v>
          </cell>
          <cell r="B635" t="str">
            <v>山本 和弥</v>
          </cell>
          <cell r="C635" t="str">
            <v>FUZILOGIX</v>
          </cell>
          <cell r="D635">
            <v>45677</v>
          </cell>
          <cell r="E635" t="str">
            <v>25T0106</v>
          </cell>
          <cell r="F635" t="str">
            <v>I000013833</v>
          </cell>
          <cell r="H635" t="str">
            <v>41414822620</v>
          </cell>
          <cell r="J635">
            <v>900402.54</v>
          </cell>
          <cell r="K635">
            <v>63.15</v>
          </cell>
          <cell r="L635" t="str">
            <v>OOCU9662586</v>
          </cell>
          <cell r="M635">
            <v>4</v>
          </cell>
          <cell r="N635" t="str">
            <v>40HQ</v>
          </cell>
          <cell r="O635">
            <v>2</v>
          </cell>
          <cell r="P635">
            <v>45680</v>
          </cell>
          <cell r="Q635">
            <v>45684</v>
          </cell>
          <cell r="R635" t="str">
            <v>月</v>
          </cell>
          <cell r="S635" t="str">
            <v>AM8:00</v>
          </cell>
        </row>
        <row r="636">
          <cell r="A636">
            <v>8787</v>
          </cell>
          <cell r="B636" t="str">
            <v>山本 和弥</v>
          </cell>
          <cell r="C636" t="str">
            <v>FUZILOGIX</v>
          </cell>
          <cell r="D636">
            <v>45677</v>
          </cell>
          <cell r="E636" t="str">
            <v>25T0107</v>
          </cell>
          <cell r="F636" t="str">
            <v>I000013825</v>
          </cell>
          <cell r="H636" t="str">
            <v>11716922700</v>
          </cell>
          <cell r="J636">
            <v>645920.72</v>
          </cell>
          <cell r="K636">
            <v>63.99</v>
          </cell>
          <cell r="L636" t="str">
            <v>WHSU6345264</v>
          </cell>
          <cell r="M636">
            <v>4</v>
          </cell>
          <cell r="N636" t="str">
            <v>40HQ</v>
          </cell>
          <cell r="O636">
            <v>5</v>
          </cell>
          <cell r="P636">
            <v>45681</v>
          </cell>
          <cell r="Q636">
            <v>45685</v>
          </cell>
          <cell r="R636" t="str">
            <v>火</v>
          </cell>
          <cell r="S636" t="str">
            <v>AM8:00</v>
          </cell>
        </row>
        <row r="637">
          <cell r="A637">
            <v>8788</v>
          </cell>
          <cell r="B637" t="str">
            <v>山本 和弥</v>
          </cell>
          <cell r="C637" t="str">
            <v>FUZILOGIX</v>
          </cell>
          <cell r="D637">
            <v>45677</v>
          </cell>
          <cell r="E637" t="str">
            <v>25T0110</v>
          </cell>
          <cell r="F637" t="str">
            <v>I000013846</v>
          </cell>
          <cell r="H637" t="str">
            <v>11719676721</v>
          </cell>
          <cell r="J637">
            <v>564941.98</v>
          </cell>
          <cell r="K637">
            <v>58.71</v>
          </cell>
          <cell r="L637" t="str">
            <v>WHLU4281545</v>
          </cell>
          <cell r="M637">
            <v>4</v>
          </cell>
          <cell r="N637" t="str">
            <v>40HQ</v>
          </cell>
          <cell r="O637">
            <v>5</v>
          </cell>
          <cell r="P637">
            <v>45687</v>
          </cell>
          <cell r="Q637">
            <v>45691</v>
          </cell>
          <cell r="R637" t="str">
            <v>月</v>
          </cell>
          <cell r="S637" t="str">
            <v>AM8:00</v>
          </cell>
        </row>
        <row r="638">
          <cell r="A638">
            <v>8789</v>
          </cell>
          <cell r="B638" t="str">
            <v>山本 和弥</v>
          </cell>
          <cell r="C638" t="str">
            <v>TRADIA</v>
          </cell>
          <cell r="D638">
            <v>45678</v>
          </cell>
          <cell r="E638" t="str">
            <v>25P0102</v>
          </cell>
          <cell r="F638" t="str">
            <v>I000013854</v>
          </cell>
          <cell r="H638" t="str">
            <v>21595236710</v>
          </cell>
          <cell r="I638">
            <v>422486.64</v>
          </cell>
          <cell r="J638">
            <v>422486.64</v>
          </cell>
          <cell r="K638">
            <v>63.06</v>
          </cell>
          <cell r="L638" t="str">
            <v>TRHU8698197</v>
          </cell>
          <cell r="M638">
            <v>11</v>
          </cell>
          <cell r="N638" t="str">
            <v>40HQ</v>
          </cell>
          <cell r="O638">
            <v>4</v>
          </cell>
          <cell r="P638">
            <v>45687</v>
          </cell>
          <cell r="Q638">
            <v>45695</v>
          </cell>
          <cell r="R638" t="str">
            <v>金</v>
          </cell>
          <cell r="S638" t="str">
            <v>AM7:30</v>
          </cell>
        </row>
        <row r="639">
          <cell r="A639">
            <v>8790</v>
          </cell>
          <cell r="B639" t="str">
            <v>山本 和弥</v>
          </cell>
          <cell r="C639" t="str">
            <v>FUZILOGIX</v>
          </cell>
          <cell r="D639">
            <v>45681</v>
          </cell>
          <cell r="E639" t="str">
            <v>25T0108</v>
          </cell>
          <cell r="F639" t="str">
            <v>I000013839</v>
          </cell>
          <cell r="H639" t="str">
            <v>41415863520</v>
          </cell>
          <cell r="J639">
            <v>637425.6</v>
          </cell>
          <cell r="K639">
            <v>62.24</v>
          </cell>
          <cell r="L639" t="str">
            <v>OOCU9677570</v>
          </cell>
          <cell r="M639">
            <v>4</v>
          </cell>
          <cell r="N639" t="str">
            <v>40HQ</v>
          </cell>
          <cell r="O639">
            <v>2</v>
          </cell>
          <cell r="P639">
            <v>45688</v>
          </cell>
          <cell r="Q639">
            <v>45692</v>
          </cell>
          <cell r="R639" t="str">
            <v>火</v>
          </cell>
          <cell r="S639" t="str">
            <v>AM8:00</v>
          </cell>
        </row>
        <row r="640">
          <cell r="A640">
            <v>8791</v>
          </cell>
          <cell r="B640" t="str">
            <v>山本 和弥</v>
          </cell>
          <cell r="C640" t="str">
            <v>FUZILOGIX</v>
          </cell>
          <cell r="D640">
            <v>45681</v>
          </cell>
          <cell r="E640" t="str">
            <v>25T0111</v>
          </cell>
          <cell r="F640" t="str">
            <v>I000013857</v>
          </cell>
          <cell r="H640" t="str">
            <v>41415514920</v>
          </cell>
          <cell r="J640">
            <v>697750.42</v>
          </cell>
          <cell r="K640">
            <v>57.26</v>
          </cell>
          <cell r="L640" t="str">
            <v>WHSU5105417</v>
          </cell>
          <cell r="M640">
            <v>4</v>
          </cell>
          <cell r="N640" t="str">
            <v>40HQ</v>
          </cell>
          <cell r="O640">
            <v>2</v>
          </cell>
          <cell r="P640">
            <v>45687</v>
          </cell>
          <cell r="Q640">
            <v>45691</v>
          </cell>
          <cell r="R640" t="str">
            <v>月</v>
          </cell>
          <cell r="S640" t="str">
            <v>AM8:00</v>
          </cell>
        </row>
        <row r="641">
          <cell r="A641">
            <v>8792</v>
          </cell>
          <cell r="B641" t="str">
            <v>山本 和弥</v>
          </cell>
          <cell r="C641" t="str">
            <v>FUZILOGIX</v>
          </cell>
          <cell r="D641">
            <v>45681</v>
          </cell>
          <cell r="E641" t="str">
            <v>25T0112</v>
          </cell>
          <cell r="F641" t="str">
            <v>I000013865</v>
          </cell>
          <cell r="H641" t="str">
            <v>11722459551</v>
          </cell>
          <cell r="J641">
            <v>672107.22</v>
          </cell>
          <cell r="K641">
            <v>62.89</v>
          </cell>
          <cell r="L641" t="str">
            <v>WHSU6299467</v>
          </cell>
          <cell r="M641">
            <v>4</v>
          </cell>
          <cell r="N641" t="str">
            <v>40HQ</v>
          </cell>
          <cell r="O641">
            <v>5</v>
          </cell>
          <cell r="P641">
            <v>45691</v>
          </cell>
          <cell r="Q641">
            <v>45693</v>
          </cell>
          <cell r="R641" t="str">
            <v>水</v>
          </cell>
          <cell r="S641" t="str">
            <v>AM8:00</v>
          </cell>
        </row>
        <row r="642">
          <cell r="A642">
            <v>8793</v>
          </cell>
          <cell r="B642" t="str">
            <v>山本 和弥</v>
          </cell>
          <cell r="C642" t="str">
            <v>FUZILOGIX</v>
          </cell>
          <cell r="D642">
            <v>45681</v>
          </cell>
          <cell r="E642" t="str">
            <v>25T0113</v>
          </cell>
          <cell r="F642" t="str">
            <v>I000013874</v>
          </cell>
          <cell r="H642" t="str">
            <v>41416228000</v>
          </cell>
          <cell r="J642">
            <v>723885.4</v>
          </cell>
          <cell r="K642">
            <v>65.52</v>
          </cell>
          <cell r="L642" t="str">
            <v>WHSU5534242</v>
          </cell>
          <cell r="M642">
            <v>4</v>
          </cell>
          <cell r="N642" t="str">
            <v>40HQ</v>
          </cell>
          <cell r="O642">
            <v>2</v>
          </cell>
          <cell r="P642">
            <v>45688</v>
          </cell>
          <cell r="Q642">
            <v>45692</v>
          </cell>
          <cell r="R642" t="str">
            <v>火</v>
          </cell>
          <cell r="S642" t="str">
            <v>AM8:00</v>
          </cell>
        </row>
        <row r="643">
          <cell r="A643">
            <v>8794</v>
          </cell>
          <cell r="B643" t="str">
            <v>山本 和弥</v>
          </cell>
          <cell r="C643" t="str">
            <v>TRADIA</v>
          </cell>
          <cell r="D643">
            <v>45705</v>
          </cell>
          <cell r="E643" t="str">
            <v>25P0201</v>
          </cell>
          <cell r="F643" t="str">
            <v>I000013899</v>
          </cell>
          <cell r="H643" t="str">
            <v>41421214540</v>
          </cell>
          <cell r="I643">
            <v>464989.62</v>
          </cell>
          <cell r="J643">
            <v>464989.62</v>
          </cell>
          <cell r="K643">
            <v>64.23</v>
          </cell>
          <cell r="L643" t="str">
            <v>TSSU5050518</v>
          </cell>
          <cell r="M643">
            <v>14</v>
          </cell>
          <cell r="N643" t="str">
            <v>40HQ</v>
          </cell>
          <cell r="O643">
            <v>2</v>
          </cell>
          <cell r="P643">
            <v>45708</v>
          </cell>
          <cell r="Q643">
            <v>45719</v>
          </cell>
          <cell r="R643" t="str">
            <v>月</v>
          </cell>
          <cell r="S643" t="str">
            <v>AM9:30</v>
          </cell>
        </row>
        <row r="644">
          <cell r="A644">
            <v>8795</v>
          </cell>
          <cell r="B644" t="str">
            <v>山本 和弥</v>
          </cell>
          <cell r="C644" t="str">
            <v>FUZILOGIX</v>
          </cell>
          <cell r="D644">
            <v>45705</v>
          </cell>
          <cell r="E644" t="str">
            <v>25T0201</v>
          </cell>
          <cell r="F644" t="str">
            <v>I000013882</v>
          </cell>
          <cell r="H644" t="str">
            <v>41419812000</v>
          </cell>
          <cell r="J644">
            <v>693019.12</v>
          </cell>
          <cell r="K644">
            <v>64.739999999999995</v>
          </cell>
          <cell r="L644" t="str">
            <v>WHSU8069740</v>
          </cell>
          <cell r="M644">
            <v>4</v>
          </cell>
          <cell r="N644" t="str">
            <v>40HQ</v>
          </cell>
          <cell r="O644">
            <v>2</v>
          </cell>
          <cell r="P644">
            <v>45711</v>
          </cell>
          <cell r="Q644">
            <v>45714</v>
          </cell>
          <cell r="R644" t="str">
            <v>水</v>
          </cell>
          <cell r="S644" t="str">
            <v>AM8:00</v>
          </cell>
        </row>
        <row r="645">
          <cell r="A645">
            <v>8796</v>
          </cell>
          <cell r="B645" t="str">
            <v>山本 和弥</v>
          </cell>
          <cell r="C645" t="str">
            <v>FUZILOGIX</v>
          </cell>
          <cell r="D645">
            <v>45705</v>
          </cell>
          <cell r="E645" t="str">
            <v>25T0204</v>
          </cell>
          <cell r="F645" t="str">
            <v>I000013892</v>
          </cell>
          <cell r="H645" t="str">
            <v>41419812000</v>
          </cell>
          <cell r="J645">
            <v>648520.54</v>
          </cell>
          <cell r="K645">
            <v>62.67</v>
          </cell>
          <cell r="L645" t="str">
            <v>WHSU8092838</v>
          </cell>
          <cell r="M645">
            <v>4</v>
          </cell>
          <cell r="N645" t="str">
            <v>40HQ</v>
          </cell>
          <cell r="O645">
            <v>2</v>
          </cell>
          <cell r="P645">
            <v>45711</v>
          </cell>
          <cell r="Q645">
            <v>45714</v>
          </cell>
          <cell r="R645" t="str">
            <v>水</v>
          </cell>
          <cell r="S645" t="str">
            <v>AM8:00</v>
          </cell>
        </row>
        <row r="646">
          <cell r="A646">
            <v>8797</v>
          </cell>
          <cell r="B646" t="str">
            <v>山本 和弥</v>
          </cell>
          <cell r="C646" t="str">
            <v>FUZILOGIX</v>
          </cell>
          <cell r="D646">
            <v>45705</v>
          </cell>
          <cell r="E646" t="str">
            <v>25T0207</v>
          </cell>
          <cell r="F646" t="str">
            <v>I000013903</v>
          </cell>
          <cell r="H646" t="str">
            <v>41419812000</v>
          </cell>
          <cell r="J646">
            <v>761488</v>
          </cell>
          <cell r="K646">
            <v>63.92</v>
          </cell>
          <cell r="L646" t="str">
            <v>WHSU6404623</v>
          </cell>
          <cell r="M646">
            <v>4</v>
          </cell>
          <cell r="N646" t="str">
            <v>40HQ</v>
          </cell>
          <cell r="O646">
            <v>2</v>
          </cell>
          <cell r="P646">
            <v>45711</v>
          </cell>
          <cell r="Q646">
            <v>45714</v>
          </cell>
          <cell r="R646" t="str">
            <v>水</v>
          </cell>
          <cell r="S646" t="str">
            <v>AM8:00</v>
          </cell>
        </row>
        <row r="647">
          <cell r="A647">
            <v>8798</v>
          </cell>
          <cell r="B647" t="str">
            <v>山本 和弥</v>
          </cell>
          <cell r="C647" t="str">
            <v>FUZILOGIX</v>
          </cell>
          <cell r="D647">
            <v>45705</v>
          </cell>
          <cell r="E647" t="str">
            <v>25T0205</v>
          </cell>
          <cell r="F647" t="str">
            <v>I000013900</v>
          </cell>
          <cell r="H647" t="str">
            <v>11728331260</v>
          </cell>
          <cell r="J647">
            <v>683061.1</v>
          </cell>
          <cell r="K647">
            <v>63.79</v>
          </cell>
          <cell r="L647" t="str">
            <v>WHSU6412906</v>
          </cell>
          <cell r="M647">
            <v>4</v>
          </cell>
          <cell r="N647" t="str">
            <v>40HQ</v>
          </cell>
          <cell r="O647">
            <v>5</v>
          </cell>
          <cell r="P647">
            <v>45717</v>
          </cell>
          <cell r="Q647">
            <v>45720</v>
          </cell>
          <cell r="R647" t="str">
            <v>火</v>
          </cell>
          <cell r="S647" t="str">
            <v>AM8:00</v>
          </cell>
        </row>
        <row r="648">
          <cell r="A648">
            <v>8799</v>
          </cell>
          <cell r="B648" t="str">
            <v>山本 和弥</v>
          </cell>
          <cell r="C648" t="str">
            <v>FUZILOGIX</v>
          </cell>
          <cell r="D648">
            <v>45706</v>
          </cell>
          <cell r="E648" t="str">
            <v>25T0203</v>
          </cell>
          <cell r="F648" t="str">
            <v>I000013884</v>
          </cell>
          <cell r="H648" t="str">
            <v>11726023950</v>
          </cell>
          <cell r="J648">
            <v>615793.88</v>
          </cell>
          <cell r="K648">
            <v>64.040000000000006</v>
          </cell>
          <cell r="L648" t="str">
            <v>WHSU6736253</v>
          </cell>
          <cell r="M648">
            <v>4</v>
          </cell>
          <cell r="N648" t="str">
            <v>40HQ</v>
          </cell>
          <cell r="O648">
            <v>5</v>
          </cell>
          <cell r="P648">
            <v>45708</v>
          </cell>
          <cell r="Q648">
            <v>45713</v>
          </cell>
          <cell r="R648" t="str">
            <v>月</v>
          </cell>
          <cell r="S648" t="str">
            <v>AM8:00</v>
          </cell>
        </row>
        <row r="649">
          <cell r="A649">
            <v>8800</v>
          </cell>
          <cell r="B649" t="str">
            <v>山本 和弥</v>
          </cell>
          <cell r="C649" t="str">
            <v>TRADIA</v>
          </cell>
          <cell r="D649">
            <v>45713</v>
          </cell>
          <cell r="E649" t="str">
            <v>25P0202</v>
          </cell>
          <cell r="F649" t="str">
            <v>I000013928</v>
          </cell>
          <cell r="J649">
            <v>453971.82</v>
          </cell>
          <cell r="K649">
            <v>64.989999999999995</v>
          </cell>
          <cell r="L649" t="str">
            <v>MAGU5607075</v>
          </cell>
          <cell r="M649">
            <v>11</v>
          </cell>
          <cell r="N649" t="str">
            <v>40HQ</v>
          </cell>
          <cell r="O649">
            <v>4</v>
          </cell>
          <cell r="P649">
            <v>45721</v>
          </cell>
          <cell r="Q649">
            <v>45734</v>
          </cell>
          <cell r="R649" t="str">
            <v>火</v>
          </cell>
          <cell r="S649" t="str">
            <v>AM7:30</v>
          </cell>
        </row>
        <row r="650">
          <cell r="A650">
            <v>8801</v>
          </cell>
          <cell r="B650" t="str">
            <v>山本 和弥</v>
          </cell>
          <cell r="C650" t="str">
            <v>FUZILOGIX</v>
          </cell>
          <cell r="D650">
            <v>45714</v>
          </cell>
          <cell r="E650" t="str">
            <v>25T0208</v>
          </cell>
          <cell r="F650" t="str">
            <v>I000013906</v>
          </cell>
          <cell r="H650" t="str">
            <v>41422237500</v>
          </cell>
          <cell r="J650">
            <v>581106.26</v>
          </cell>
          <cell r="K650">
            <v>63.44</v>
          </cell>
          <cell r="L650" t="str">
            <v>WHSU6451630</v>
          </cell>
          <cell r="M650">
            <v>4</v>
          </cell>
          <cell r="N650" t="str">
            <v>40HQ</v>
          </cell>
          <cell r="O650">
            <v>2</v>
          </cell>
          <cell r="P650">
            <v>45717</v>
          </cell>
          <cell r="Q650">
            <v>45720</v>
          </cell>
          <cell r="R650" t="str">
            <v>火</v>
          </cell>
          <cell r="S650" t="str">
            <v>AM8:00</v>
          </cell>
        </row>
        <row r="651">
          <cell r="A651">
            <v>8802</v>
          </cell>
          <cell r="B651" t="str">
            <v>山本 和弥</v>
          </cell>
          <cell r="C651" t="str">
            <v>FUZILOGIX</v>
          </cell>
          <cell r="D651">
            <v>45714</v>
          </cell>
          <cell r="E651" t="str">
            <v>25T0209</v>
          </cell>
          <cell r="F651" t="str">
            <v>I000013923</v>
          </cell>
          <cell r="H651" t="str">
            <v>41422847200</v>
          </cell>
          <cell r="J651">
            <v>612827.84</v>
          </cell>
          <cell r="K651">
            <v>63.94</v>
          </cell>
          <cell r="L651" t="str">
            <v>TRHU6991652</v>
          </cell>
          <cell r="M651">
            <v>4</v>
          </cell>
          <cell r="N651" t="str">
            <v>40HQ</v>
          </cell>
          <cell r="O651">
            <v>2</v>
          </cell>
          <cell r="P651">
            <v>45717</v>
          </cell>
          <cell r="Q651">
            <v>45720</v>
          </cell>
          <cell r="R651" t="str">
            <v>火</v>
          </cell>
          <cell r="S651" t="str">
            <v>AM8:00</v>
          </cell>
        </row>
        <row r="652">
          <cell r="A652">
            <v>8803</v>
          </cell>
          <cell r="B652" t="str">
            <v>山本 和弥</v>
          </cell>
          <cell r="C652" t="str">
            <v>FUZILOGIX</v>
          </cell>
          <cell r="D652">
            <v>45714</v>
          </cell>
          <cell r="E652" t="str">
            <v>25T0211</v>
          </cell>
          <cell r="F652" t="str">
            <v>I000013917</v>
          </cell>
          <cell r="H652" t="str">
            <v>11729016120</v>
          </cell>
          <cell r="J652">
            <v>614010.9</v>
          </cell>
          <cell r="K652">
            <v>62.15</v>
          </cell>
          <cell r="L652" t="str">
            <v>WHSU8153830</v>
          </cell>
          <cell r="M652">
            <v>4</v>
          </cell>
          <cell r="N652" t="str">
            <v>40HQ</v>
          </cell>
          <cell r="O652">
            <v>5</v>
          </cell>
          <cell r="P652">
            <v>45717</v>
          </cell>
          <cell r="Q652">
            <v>45721</v>
          </cell>
          <cell r="R652" t="str">
            <v>水</v>
          </cell>
          <cell r="S652" t="str">
            <v>AM8:00</v>
          </cell>
        </row>
        <row r="653">
          <cell r="A653">
            <v>8804</v>
          </cell>
          <cell r="B653" t="str">
            <v>山本 和弥</v>
          </cell>
          <cell r="C653" t="str">
            <v>FUZILOGIX</v>
          </cell>
          <cell r="D653">
            <v>45715</v>
          </cell>
          <cell r="E653" t="str">
            <v>25T0212</v>
          </cell>
          <cell r="F653" t="str">
            <v>I000013933</v>
          </cell>
          <cell r="H653" t="str">
            <v>41424275900</v>
          </cell>
          <cell r="J653">
            <v>782596.68</v>
          </cell>
          <cell r="K653">
            <v>65.900000000000006</v>
          </cell>
          <cell r="L653" t="str">
            <v>WHSU6760429</v>
          </cell>
          <cell r="M653">
            <v>4</v>
          </cell>
          <cell r="N653" t="str">
            <v>40HQ</v>
          </cell>
          <cell r="O653">
            <v>2</v>
          </cell>
          <cell r="P653">
            <v>45722</v>
          </cell>
          <cell r="Q653">
            <v>45726</v>
          </cell>
          <cell r="R653" t="str">
            <v>月</v>
          </cell>
          <cell r="S653" t="str">
            <v>AM8:00</v>
          </cell>
        </row>
        <row r="654">
          <cell r="A654">
            <v>8805</v>
          </cell>
          <cell r="B654" t="str">
            <v>山本 和弥</v>
          </cell>
          <cell r="C654" t="str">
            <v>FUZILOGIX</v>
          </cell>
          <cell r="D654">
            <v>45715</v>
          </cell>
          <cell r="E654" t="str">
            <v>25T0214</v>
          </cell>
          <cell r="F654" t="str">
            <v>I000013937</v>
          </cell>
          <cell r="H654" t="str">
            <v>41424275900</v>
          </cell>
          <cell r="J654">
            <v>728150.6</v>
          </cell>
          <cell r="K654">
            <v>65.62</v>
          </cell>
          <cell r="L654" t="str">
            <v>WHSU8090291</v>
          </cell>
          <cell r="M654">
            <v>4</v>
          </cell>
          <cell r="N654" t="str">
            <v>40HQ</v>
          </cell>
          <cell r="O654">
            <v>2</v>
          </cell>
          <cell r="P654">
            <v>45722</v>
          </cell>
          <cell r="Q654">
            <v>45726</v>
          </cell>
          <cell r="R654" t="str">
            <v>月</v>
          </cell>
          <cell r="S654" t="str">
            <v>AM8:00</v>
          </cell>
        </row>
        <row r="655">
          <cell r="A655">
            <v>8806</v>
          </cell>
          <cell r="B655" t="str">
            <v>山本 和弥</v>
          </cell>
          <cell r="C655" t="str">
            <v>FUZILOGIX</v>
          </cell>
          <cell r="D655">
            <v>45721</v>
          </cell>
          <cell r="E655" t="str">
            <v>25T0213</v>
          </cell>
          <cell r="F655" t="str">
            <v>I000013941</v>
          </cell>
          <cell r="H655" t="str">
            <v>11732241350</v>
          </cell>
          <cell r="J655">
            <v>648263.54</v>
          </cell>
          <cell r="K655">
            <v>62.91</v>
          </cell>
          <cell r="L655" t="str">
            <v>WHSU8024535</v>
          </cell>
          <cell r="M655">
            <v>4</v>
          </cell>
          <cell r="N655" t="str">
            <v>40HQ</v>
          </cell>
          <cell r="O655">
            <v>5</v>
          </cell>
          <cell r="P655">
            <v>45727</v>
          </cell>
          <cell r="Q655">
            <v>45729</v>
          </cell>
          <cell r="R655" t="str">
            <v>木</v>
          </cell>
          <cell r="S655" t="str">
            <v>AM8:00</v>
          </cell>
        </row>
        <row r="656">
          <cell r="A656">
            <v>8807</v>
          </cell>
          <cell r="B656" t="str">
            <v>山本 和弥</v>
          </cell>
          <cell r="C656" t="str">
            <v>FUZILOGIX</v>
          </cell>
          <cell r="D656">
            <v>45721</v>
          </cell>
          <cell r="E656" t="str">
            <v>25T0215</v>
          </cell>
          <cell r="F656" t="str">
            <v>I000013951</v>
          </cell>
          <cell r="H656" t="str">
            <v>41424276820</v>
          </cell>
          <cell r="J656">
            <v>921875.34</v>
          </cell>
          <cell r="K656">
            <v>58.09</v>
          </cell>
          <cell r="L656" t="str">
            <v>WHSU6741692</v>
          </cell>
          <cell r="M656">
            <v>4</v>
          </cell>
          <cell r="N656" t="str">
            <v>40HQ</v>
          </cell>
          <cell r="O656">
            <v>2</v>
          </cell>
          <cell r="P656">
            <v>45726</v>
          </cell>
          <cell r="Q656">
            <v>45728</v>
          </cell>
          <cell r="R656" t="str">
            <v>水</v>
          </cell>
          <cell r="S656" t="str">
            <v>AM8:00</v>
          </cell>
        </row>
        <row r="657">
          <cell r="A657">
            <v>8808</v>
          </cell>
          <cell r="B657" t="str">
            <v>山本 和弥</v>
          </cell>
          <cell r="C657" t="str">
            <v>FUZILOGIX</v>
          </cell>
          <cell r="D657">
            <v>45722</v>
          </cell>
          <cell r="E657" t="str">
            <v>25T0301</v>
          </cell>
          <cell r="F657" t="str">
            <v>I000013952</v>
          </cell>
          <cell r="H657" t="str">
            <v>41425575760</v>
          </cell>
          <cell r="J657">
            <v>744244.56</v>
          </cell>
          <cell r="K657">
            <v>64.56</v>
          </cell>
          <cell r="L657" t="str">
            <v>WHSU6178676</v>
          </cell>
          <cell r="M657">
            <v>4</v>
          </cell>
          <cell r="N657" t="str">
            <v>40HQ</v>
          </cell>
          <cell r="O657">
            <v>2</v>
          </cell>
          <cell r="P657">
            <v>45728</v>
          </cell>
          <cell r="Q657">
            <v>45730</v>
          </cell>
          <cell r="R657" t="str">
            <v>金</v>
          </cell>
          <cell r="S657" t="str">
            <v>AM8:00</v>
          </cell>
        </row>
        <row r="658">
          <cell r="A658">
            <v>8809</v>
          </cell>
          <cell r="B658" t="str">
            <v>山本 和弥</v>
          </cell>
          <cell r="C658" t="str">
            <v>FUZILOGIX</v>
          </cell>
          <cell r="D658">
            <v>45722</v>
          </cell>
          <cell r="E658" t="str">
            <v>25T0302</v>
          </cell>
          <cell r="F658" t="str">
            <v>I000013966</v>
          </cell>
          <cell r="H658" t="str">
            <v>11735587350</v>
          </cell>
          <cell r="J658">
            <v>571154.04</v>
          </cell>
          <cell r="K658">
            <v>63.97</v>
          </cell>
          <cell r="L658" t="str">
            <v>WHSU6575251</v>
          </cell>
          <cell r="M658">
            <v>4</v>
          </cell>
          <cell r="N658" t="str">
            <v>40HQ</v>
          </cell>
          <cell r="O658">
            <v>5</v>
          </cell>
          <cell r="P658">
            <v>45733</v>
          </cell>
          <cell r="Q658">
            <v>45735</v>
          </cell>
          <cell r="R658" t="str">
            <v>水</v>
          </cell>
          <cell r="S658" t="str">
            <v>AM8:00</v>
          </cell>
        </row>
        <row r="659">
          <cell r="A659">
            <v>8810</v>
          </cell>
          <cell r="B659" t="str">
            <v>山本 和弥</v>
          </cell>
          <cell r="C659" t="str">
            <v>FUZILOGIX</v>
          </cell>
          <cell r="D659">
            <v>45726</v>
          </cell>
          <cell r="E659" t="str">
            <v>25T0303</v>
          </cell>
          <cell r="F659" t="str">
            <v>I000013974</v>
          </cell>
          <cell r="H659" t="str">
            <v>41427646620</v>
          </cell>
          <cell r="J659">
            <v>633440.19999999995</v>
          </cell>
          <cell r="K659">
            <v>63.35</v>
          </cell>
          <cell r="L659" t="str">
            <v>CSNU8551674</v>
          </cell>
          <cell r="M659">
            <v>4</v>
          </cell>
          <cell r="N659" t="str">
            <v>40HQ</v>
          </cell>
          <cell r="O659">
            <v>2</v>
          </cell>
          <cell r="P659">
            <v>45732</v>
          </cell>
          <cell r="Q659">
            <v>45734</v>
          </cell>
          <cell r="R659" t="str">
            <v>火</v>
          </cell>
          <cell r="S659" t="str">
            <v>AM8:00</v>
          </cell>
        </row>
        <row r="660">
          <cell r="A660">
            <v>8811</v>
          </cell>
          <cell r="B660" t="str">
            <v>山本 和弥</v>
          </cell>
          <cell r="C660" t="str">
            <v>FUZILOGIX</v>
          </cell>
          <cell r="D660">
            <v>45729</v>
          </cell>
          <cell r="E660" t="str">
            <v>25T0304</v>
          </cell>
          <cell r="F660" t="str">
            <v>I000013990</v>
          </cell>
          <cell r="H660" t="str">
            <v>11735583300</v>
          </cell>
          <cell r="J660">
            <v>623951.26</v>
          </cell>
          <cell r="K660">
            <v>62.88</v>
          </cell>
          <cell r="L660" t="str">
            <v>WHSU5274612</v>
          </cell>
          <cell r="M660">
            <v>4</v>
          </cell>
          <cell r="N660" t="str">
            <v>40HQ</v>
          </cell>
          <cell r="O660">
            <v>5</v>
          </cell>
          <cell r="P660">
            <v>45736</v>
          </cell>
          <cell r="Q660">
            <v>45740</v>
          </cell>
          <cell r="R660" t="str">
            <v>月</v>
          </cell>
          <cell r="S660" t="str">
            <v>AM8:00</v>
          </cell>
        </row>
        <row r="661">
          <cell r="A661">
            <v>8812</v>
          </cell>
          <cell r="B661" t="str">
            <v>山本 和弥</v>
          </cell>
          <cell r="C661" t="str">
            <v>FUZILOGIX</v>
          </cell>
          <cell r="D661">
            <v>45734</v>
          </cell>
          <cell r="E661" t="str">
            <v>25T0307</v>
          </cell>
          <cell r="F661" t="str">
            <v>I000013998</v>
          </cell>
          <cell r="H661" t="str">
            <v>41429473620</v>
          </cell>
          <cell r="J661">
            <v>664367.93999999994</v>
          </cell>
          <cell r="K661">
            <v>65.22</v>
          </cell>
          <cell r="L661" t="str">
            <v>WHSU5177280</v>
          </cell>
          <cell r="M661">
            <v>4</v>
          </cell>
          <cell r="N661" t="str">
            <v>40HQ</v>
          </cell>
          <cell r="O661">
            <v>2</v>
          </cell>
          <cell r="P661">
            <v>45740</v>
          </cell>
          <cell r="Q661">
            <v>45742</v>
          </cell>
          <cell r="R661" t="str">
            <v>水</v>
          </cell>
          <cell r="S661" t="str">
            <v>AM8:00</v>
          </cell>
        </row>
        <row r="662">
          <cell r="A662">
            <v>8813</v>
          </cell>
          <cell r="B662" t="str">
            <v>山本 和弥</v>
          </cell>
          <cell r="C662" t="str">
            <v>FUZILOGIX</v>
          </cell>
          <cell r="D662">
            <v>45734</v>
          </cell>
          <cell r="E662" t="str">
            <v>25T0309</v>
          </cell>
          <cell r="F662" t="str">
            <v>I000014004</v>
          </cell>
          <cell r="H662" t="str">
            <v>41429473620</v>
          </cell>
          <cell r="J662">
            <v>653571.88</v>
          </cell>
          <cell r="K662">
            <v>60.79</v>
          </cell>
          <cell r="L662" t="str">
            <v>WHSU6345480</v>
          </cell>
          <cell r="M662">
            <v>4</v>
          </cell>
          <cell r="N662" t="str">
            <v>40HQ</v>
          </cell>
          <cell r="O662">
            <v>2</v>
          </cell>
          <cell r="P662">
            <v>45740</v>
          </cell>
          <cell r="Q662">
            <v>45742</v>
          </cell>
          <cell r="R662" t="str">
            <v>水</v>
          </cell>
          <cell r="S662" t="str">
            <v>AM8:00</v>
          </cell>
        </row>
        <row r="663">
          <cell r="A663">
            <v>8814</v>
          </cell>
          <cell r="B663" t="str">
            <v>山本 和弥</v>
          </cell>
          <cell r="C663" t="str">
            <v>FUZILOGIX</v>
          </cell>
          <cell r="D663">
            <v>45734</v>
          </cell>
          <cell r="E663" t="str">
            <v>25T0308</v>
          </cell>
          <cell r="F663" t="str">
            <v>I000014002</v>
          </cell>
          <cell r="H663" t="str">
            <v>11737512721</v>
          </cell>
          <cell r="J663">
            <v>634482.06000000006</v>
          </cell>
          <cell r="K663">
            <v>63.75</v>
          </cell>
          <cell r="L663" t="str">
            <v>WHSU6166377</v>
          </cell>
          <cell r="M663">
            <v>4</v>
          </cell>
          <cell r="N663" t="str">
            <v>40HQ</v>
          </cell>
          <cell r="O663">
            <v>5</v>
          </cell>
          <cell r="P663">
            <v>45740</v>
          </cell>
          <cell r="Q663">
            <v>45742</v>
          </cell>
          <cell r="R663" t="str">
            <v>水</v>
          </cell>
          <cell r="S663" t="str">
            <v>AM8:00</v>
          </cell>
        </row>
        <row r="664">
          <cell r="A664">
            <v>8815</v>
          </cell>
          <cell r="B664" t="str">
            <v>山本 和弥</v>
          </cell>
          <cell r="C664" t="str">
            <v>TRADIA</v>
          </cell>
          <cell r="D664">
            <v>45734</v>
          </cell>
          <cell r="E664" t="str">
            <v>25P0301</v>
          </cell>
          <cell r="F664" t="str">
            <v>I000014001</v>
          </cell>
          <cell r="H664" t="str">
            <v>41431161800</v>
          </cell>
          <cell r="I664">
            <v>458813.5</v>
          </cell>
          <cell r="J664">
            <v>456273.3</v>
          </cell>
          <cell r="K664">
            <v>62.18</v>
          </cell>
          <cell r="L664" t="str">
            <v>WHLU5843502</v>
          </cell>
          <cell r="M664">
            <v>14</v>
          </cell>
          <cell r="N664" t="str">
            <v>40HQ</v>
          </cell>
          <cell r="O664">
            <v>2</v>
          </cell>
          <cell r="P664">
            <v>45739</v>
          </cell>
          <cell r="Q664">
            <v>45749</v>
          </cell>
          <cell r="R664" t="str">
            <v>水</v>
          </cell>
          <cell r="S664" t="str">
            <v>AM9:30</v>
          </cell>
        </row>
        <row r="665">
          <cell r="A665" t="str">
            <v>8815-1</v>
          </cell>
          <cell r="B665" t="str">
            <v>山本 和弥</v>
          </cell>
          <cell r="C665" t="str">
            <v>TRADIA</v>
          </cell>
          <cell r="D665">
            <v>45734</v>
          </cell>
          <cell r="E665" t="str">
            <v>25P0301-1</v>
          </cell>
          <cell r="F665" t="str">
            <v>I000014001</v>
          </cell>
          <cell r="H665" t="str">
            <v>41431161800</v>
          </cell>
          <cell r="J665">
            <v>2540.1999999999998</v>
          </cell>
          <cell r="K665">
            <v>1.24</v>
          </cell>
          <cell r="L665" t="str">
            <v>WHLU5843502</v>
          </cell>
          <cell r="M665">
            <v>14</v>
          </cell>
          <cell r="N665" t="str">
            <v>40HQ</v>
          </cell>
          <cell r="O665">
            <v>2</v>
          </cell>
          <cell r="P665">
            <v>45739</v>
          </cell>
          <cell r="Q665">
            <v>45749</v>
          </cell>
          <cell r="R665" t="str">
            <v>水</v>
          </cell>
          <cell r="S665" t="str">
            <v>AM9:30</v>
          </cell>
        </row>
        <row r="666">
          <cell r="A666">
            <v>8816</v>
          </cell>
          <cell r="B666" t="str">
            <v>山本 和弥</v>
          </cell>
          <cell r="C666" t="str">
            <v>FUZILOGIX</v>
          </cell>
          <cell r="D666">
            <v>45737</v>
          </cell>
          <cell r="E666" t="str">
            <v>25T0310</v>
          </cell>
          <cell r="F666" t="str">
            <v>I000014008</v>
          </cell>
          <cell r="H666" t="str">
            <v>11738896140</v>
          </cell>
          <cell r="J666">
            <v>742627.3</v>
          </cell>
          <cell r="K666">
            <v>64.13</v>
          </cell>
          <cell r="L666" t="str">
            <v>WHSU8098266</v>
          </cell>
          <cell r="M666">
            <v>4</v>
          </cell>
          <cell r="N666" t="str">
            <v>40HQ</v>
          </cell>
          <cell r="O666">
            <v>5</v>
          </cell>
          <cell r="P666">
            <v>45743</v>
          </cell>
          <cell r="Q666">
            <v>45747</v>
          </cell>
          <cell r="R666" t="str">
            <v>月</v>
          </cell>
          <cell r="S666" t="str">
            <v>AM8:00</v>
          </cell>
        </row>
        <row r="667">
          <cell r="A667">
            <v>8817</v>
          </cell>
          <cell r="B667" t="str">
            <v>山本 和弥</v>
          </cell>
          <cell r="C667" t="str">
            <v>FUZILOGIX</v>
          </cell>
          <cell r="D667">
            <v>45741</v>
          </cell>
          <cell r="E667" t="str">
            <v>25T0312</v>
          </cell>
          <cell r="F667" t="str">
            <v>I000014019</v>
          </cell>
          <cell r="H667" t="str">
            <v>11739704530</v>
          </cell>
          <cell r="J667">
            <v>532365.66</v>
          </cell>
          <cell r="K667">
            <v>63.79</v>
          </cell>
          <cell r="L667" t="str">
            <v>TEMU6154293</v>
          </cell>
          <cell r="M667">
            <v>4</v>
          </cell>
          <cell r="N667" t="str">
            <v>40HQ</v>
          </cell>
          <cell r="O667">
            <v>5</v>
          </cell>
          <cell r="P667">
            <v>45748</v>
          </cell>
          <cell r="Q667">
            <v>45750</v>
          </cell>
          <cell r="R667" t="str">
            <v>木</v>
          </cell>
          <cell r="S667" t="str">
            <v>AM8:00</v>
          </cell>
        </row>
        <row r="668">
          <cell r="A668">
            <v>8818</v>
          </cell>
          <cell r="B668" t="str">
            <v>山本 和弥</v>
          </cell>
          <cell r="C668" t="str">
            <v>FUZILOGIX</v>
          </cell>
          <cell r="D668">
            <v>45743</v>
          </cell>
          <cell r="E668" t="str">
            <v>25T0311</v>
          </cell>
          <cell r="F668" t="str">
            <v>I000014027</v>
          </cell>
          <cell r="H668" t="str">
            <v>41433084701</v>
          </cell>
          <cell r="J668">
            <v>704233.41</v>
          </cell>
          <cell r="K668">
            <v>62.8</v>
          </cell>
          <cell r="L668" t="str">
            <v>OOCU8636730</v>
          </cell>
          <cell r="M668">
            <v>4</v>
          </cell>
          <cell r="N668" t="str">
            <v>40HQ</v>
          </cell>
          <cell r="O668">
            <v>2</v>
          </cell>
          <cell r="P668">
            <v>45749</v>
          </cell>
          <cell r="Q668">
            <v>45751</v>
          </cell>
          <cell r="R668" t="str">
            <v>金</v>
          </cell>
          <cell r="S668" t="str">
            <v>AM8:00</v>
          </cell>
        </row>
        <row r="669">
          <cell r="A669">
            <v>8819</v>
          </cell>
          <cell r="B669" t="str">
            <v>山本 和弥</v>
          </cell>
          <cell r="C669" t="str">
            <v>FUZILOGIX</v>
          </cell>
          <cell r="D669">
            <v>45743</v>
          </cell>
          <cell r="E669" t="str">
            <v>25T0313</v>
          </cell>
          <cell r="F669" t="str">
            <v>I000014029</v>
          </cell>
          <cell r="H669" t="str">
            <v>41435243240</v>
          </cell>
          <cell r="J669">
            <v>730553.66</v>
          </cell>
          <cell r="K669">
            <v>62.3</v>
          </cell>
          <cell r="L669" t="str">
            <v>OOCU6922205</v>
          </cell>
          <cell r="M669">
            <v>4</v>
          </cell>
          <cell r="N669" t="str">
            <v>40HQ</v>
          </cell>
          <cell r="O669">
            <v>2</v>
          </cell>
          <cell r="P669">
            <v>45755</v>
          </cell>
          <cell r="Q669">
            <v>45757</v>
          </cell>
          <cell r="R669" t="str">
            <v>木</v>
          </cell>
          <cell r="S669" t="str">
            <v>AM8:00</v>
          </cell>
        </row>
        <row r="670">
          <cell r="A670">
            <v>8820</v>
          </cell>
          <cell r="B670" t="str">
            <v>山本 和弥</v>
          </cell>
          <cell r="C670" t="str">
            <v>FUZILOGIX</v>
          </cell>
          <cell r="D670">
            <v>45744</v>
          </cell>
          <cell r="E670" t="str">
            <v>25T0315</v>
          </cell>
          <cell r="F670" t="str">
            <v>I000014032</v>
          </cell>
          <cell r="H670" t="str">
            <v>11747047640</v>
          </cell>
          <cell r="J670">
            <v>665320.68000000005</v>
          </cell>
          <cell r="K670">
            <v>61.41</v>
          </cell>
          <cell r="L670" t="str">
            <v>WHSU6502173</v>
          </cell>
          <cell r="M670">
            <v>4</v>
          </cell>
          <cell r="N670" t="str">
            <v>40HQ</v>
          </cell>
          <cell r="O670">
            <v>5</v>
          </cell>
          <cell r="P670">
            <v>45752</v>
          </cell>
          <cell r="Q670">
            <v>45755</v>
          </cell>
          <cell r="R670" t="str">
            <v>火</v>
          </cell>
          <cell r="S670" t="str">
            <v>AM8:00</v>
          </cell>
        </row>
        <row r="671">
          <cell r="A671">
            <v>8821</v>
          </cell>
          <cell r="B671" t="str">
            <v>山本 和弥</v>
          </cell>
          <cell r="C671" t="str">
            <v>FUZILOGIX</v>
          </cell>
          <cell r="D671">
            <v>45744</v>
          </cell>
          <cell r="E671" t="str">
            <v>25T0316</v>
          </cell>
          <cell r="F671" t="str">
            <v>I000014036</v>
          </cell>
          <cell r="H671" t="str">
            <v>41433313930</v>
          </cell>
          <cell r="J671">
            <v>690074.37</v>
          </cell>
          <cell r="K671">
            <v>61.83</v>
          </cell>
          <cell r="L671" t="str">
            <v>WHSU6522605</v>
          </cell>
          <cell r="M671">
            <v>4</v>
          </cell>
          <cell r="N671" t="str">
            <v>40HQ</v>
          </cell>
          <cell r="O671">
            <v>2</v>
          </cell>
          <cell r="P671">
            <v>45750</v>
          </cell>
          <cell r="Q671">
            <v>45754</v>
          </cell>
          <cell r="R671" t="str">
            <v>月</v>
          </cell>
          <cell r="S671" t="str">
            <v>AM8:00</v>
          </cell>
        </row>
        <row r="672">
          <cell r="A672">
            <v>8822</v>
          </cell>
          <cell r="B672" t="str">
            <v>山本 和弥</v>
          </cell>
          <cell r="C672" t="str">
            <v>FUZILOGIX</v>
          </cell>
          <cell r="D672">
            <v>45750</v>
          </cell>
          <cell r="E672" t="str">
            <v>25T0317</v>
          </cell>
          <cell r="F672" t="str">
            <v>I000014045</v>
          </cell>
          <cell r="H672" t="str">
            <v>41434432050</v>
          </cell>
          <cell r="J672">
            <v>616365.81000000006</v>
          </cell>
          <cell r="K672">
            <v>63.98</v>
          </cell>
          <cell r="L672" t="str">
            <v>WHSU6490200</v>
          </cell>
          <cell r="M672">
            <v>4</v>
          </cell>
          <cell r="N672" t="str">
            <v>40HQ</v>
          </cell>
          <cell r="O672">
            <v>2</v>
          </cell>
          <cell r="P672">
            <v>45754</v>
          </cell>
          <cell r="Q672">
            <v>45756</v>
          </cell>
          <cell r="R672" t="str">
            <v>水</v>
          </cell>
          <cell r="S672" t="str">
            <v>AM8:00</v>
          </cell>
        </row>
        <row r="673">
          <cell r="A673">
            <v>8823</v>
          </cell>
          <cell r="B673" t="str">
            <v>山本 和弥</v>
          </cell>
          <cell r="C673" t="str">
            <v>FUZILOGIX</v>
          </cell>
          <cell r="D673">
            <v>45751</v>
          </cell>
          <cell r="E673" t="str">
            <v>25T0401</v>
          </cell>
          <cell r="F673" t="str">
            <v>I000014062</v>
          </cell>
          <cell r="H673" t="str">
            <v>41436547450</v>
          </cell>
          <cell r="J673">
            <v>863119.24</v>
          </cell>
          <cell r="K673">
            <v>65.95</v>
          </cell>
          <cell r="L673" t="str">
            <v>WHSU6086796</v>
          </cell>
          <cell r="M673">
            <v>4</v>
          </cell>
          <cell r="N673" t="str">
            <v>40HQ</v>
          </cell>
          <cell r="O673">
            <v>2</v>
          </cell>
          <cell r="P673">
            <v>45757</v>
          </cell>
          <cell r="Q673">
            <v>45761</v>
          </cell>
          <cell r="R673" t="str">
            <v>月</v>
          </cell>
          <cell r="S673" t="str">
            <v>AM8:00</v>
          </cell>
        </row>
        <row r="674">
          <cell r="A674">
            <v>8824</v>
          </cell>
          <cell r="B674" t="str">
            <v>山本 和弥</v>
          </cell>
          <cell r="C674" t="str">
            <v>FUZILOGIX</v>
          </cell>
          <cell r="D674">
            <v>45761</v>
          </cell>
          <cell r="E674" t="str">
            <v>25T0402</v>
          </cell>
          <cell r="F674" t="str">
            <v>I000014086</v>
          </cell>
          <cell r="H674" t="str">
            <v>41437712510</v>
          </cell>
          <cell r="J674">
            <v>727784.36</v>
          </cell>
          <cell r="K674">
            <v>53.74</v>
          </cell>
          <cell r="L674" t="str">
            <v>WHSU8082681</v>
          </cell>
          <cell r="M674">
            <v>4</v>
          </cell>
          <cell r="N674" t="str">
            <v>40HQ</v>
          </cell>
          <cell r="O674">
            <v>2</v>
          </cell>
          <cell r="P674">
            <v>45764</v>
          </cell>
          <cell r="Q674">
            <v>45768</v>
          </cell>
          <cell r="R674" t="str">
            <v>月</v>
          </cell>
          <cell r="S674" t="str">
            <v>AM8:00</v>
          </cell>
        </row>
        <row r="675">
          <cell r="A675">
            <v>8825</v>
          </cell>
          <cell r="B675" t="str">
            <v>山本 和弥</v>
          </cell>
          <cell r="C675" t="str">
            <v>FUZILOGIX</v>
          </cell>
          <cell r="D675">
            <v>45761</v>
          </cell>
          <cell r="E675" t="str">
            <v>25T0403</v>
          </cell>
          <cell r="F675" t="str">
            <v>I000014076</v>
          </cell>
          <cell r="H675" t="str">
            <v>11748516020</v>
          </cell>
          <cell r="J675">
            <v>681356.16</v>
          </cell>
          <cell r="K675">
            <v>63.37</v>
          </cell>
          <cell r="L675" t="str">
            <v>WHSU6659753</v>
          </cell>
          <cell r="M675">
            <v>4</v>
          </cell>
          <cell r="N675" t="str">
            <v>40HQ</v>
          </cell>
          <cell r="O675">
            <v>5</v>
          </cell>
          <cell r="P675">
            <v>45764</v>
          </cell>
          <cell r="Q675">
            <v>45768</v>
          </cell>
          <cell r="R675" t="str">
            <v>月</v>
          </cell>
          <cell r="S675" t="str">
            <v>AM8:00</v>
          </cell>
        </row>
        <row r="676">
          <cell r="A676">
            <v>8826</v>
          </cell>
          <cell r="B676" t="str">
            <v>山本 和弥</v>
          </cell>
          <cell r="C676" t="str">
            <v>FUZILOGIX</v>
          </cell>
          <cell r="D676">
            <v>45764</v>
          </cell>
          <cell r="E676" t="str">
            <v>25T0404</v>
          </cell>
          <cell r="F676" t="str">
            <v>I000014095</v>
          </cell>
          <cell r="H676" t="str">
            <v>41439454330</v>
          </cell>
          <cell r="J676">
            <v>762069.32</v>
          </cell>
          <cell r="K676">
            <v>66.349999999999994</v>
          </cell>
          <cell r="L676" t="str">
            <v>WHSU6944663</v>
          </cell>
          <cell r="M676">
            <v>4</v>
          </cell>
          <cell r="N676" t="str">
            <v>40HQ</v>
          </cell>
          <cell r="O676">
            <v>2</v>
          </cell>
          <cell r="P676">
            <v>45769</v>
          </cell>
          <cell r="Q676">
            <v>45770</v>
          </cell>
          <cell r="R676" t="str">
            <v>水</v>
          </cell>
          <cell r="S676" t="str">
            <v>AM8:00</v>
          </cell>
        </row>
        <row r="677">
          <cell r="A677">
            <v>8827</v>
          </cell>
          <cell r="B677" t="str">
            <v>山本 和弥</v>
          </cell>
          <cell r="C677" t="str">
            <v>FUZILOGIX</v>
          </cell>
          <cell r="D677">
            <v>45764</v>
          </cell>
          <cell r="E677" t="str">
            <v>25T0408</v>
          </cell>
          <cell r="F677" t="str">
            <v>I000014108</v>
          </cell>
          <cell r="H677" t="str">
            <v>41440456251</v>
          </cell>
          <cell r="J677">
            <v>731033.98</v>
          </cell>
          <cell r="K677">
            <v>65.69</v>
          </cell>
          <cell r="L677" t="str">
            <v>WHSU6639063</v>
          </cell>
          <cell r="M677">
            <v>4</v>
          </cell>
          <cell r="N677" t="str">
            <v>40HQ</v>
          </cell>
          <cell r="O677">
            <v>2</v>
          </cell>
          <cell r="P677">
            <v>45771</v>
          </cell>
          <cell r="Q677">
            <v>45775</v>
          </cell>
          <cell r="R677" t="str">
            <v>月</v>
          </cell>
          <cell r="S677" t="str">
            <v>AM8:00</v>
          </cell>
        </row>
        <row r="678">
          <cell r="A678">
            <v>8828</v>
          </cell>
          <cell r="B678" t="str">
            <v>山本 和弥</v>
          </cell>
          <cell r="C678" t="str">
            <v>TRADIA</v>
          </cell>
          <cell r="D678">
            <v>45765</v>
          </cell>
          <cell r="E678" t="str">
            <v>25P0401</v>
          </cell>
          <cell r="F678" t="str">
            <v>I000014111</v>
          </cell>
          <cell r="H678" t="str">
            <v>21603185100</v>
          </cell>
          <cell r="I678">
            <v>452834.28</v>
          </cell>
          <cell r="J678">
            <v>452834.28</v>
          </cell>
          <cell r="K678">
            <v>64.040000000000006</v>
          </cell>
          <cell r="L678" t="str">
            <v>TEMU7954140</v>
          </cell>
          <cell r="M678">
            <v>11</v>
          </cell>
          <cell r="N678" t="str">
            <v>40HQ</v>
          </cell>
          <cell r="O678">
            <v>4</v>
          </cell>
          <cell r="P678">
            <v>45772</v>
          </cell>
          <cell r="Q678">
            <v>45786</v>
          </cell>
          <cell r="R678" t="str">
            <v>金</v>
          </cell>
          <cell r="S678" t="str">
            <v>AM7:30</v>
          </cell>
        </row>
        <row r="679">
          <cell r="A679">
            <v>8829</v>
          </cell>
          <cell r="B679" t="str">
            <v>山本 和弥</v>
          </cell>
          <cell r="C679" t="str">
            <v>FUZILOGIX</v>
          </cell>
          <cell r="D679">
            <v>45771</v>
          </cell>
          <cell r="E679" t="str">
            <v>25T0407</v>
          </cell>
          <cell r="F679" t="str">
            <v>I000014118</v>
          </cell>
          <cell r="H679" t="str">
            <v>11752996610</v>
          </cell>
          <cell r="J679">
            <v>551541</v>
          </cell>
          <cell r="K679">
            <v>65.099999999999994</v>
          </cell>
          <cell r="L679" t="str">
            <v>WHSU8001355</v>
          </cell>
          <cell r="M679">
            <v>4</v>
          </cell>
          <cell r="N679" t="str">
            <v>40HQ</v>
          </cell>
          <cell r="O679">
            <v>5</v>
          </cell>
          <cell r="P679">
            <v>45776</v>
          </cell>
          <cell r="Q679">
            <v>45786</v>
          </cell>
          <cell r="R679" t="str">
            <v>金</v>
          </cell>
          <cell r="S679" t="str">
            <v>AM8:00</v>
          </cell>
        </row>
        <row r="680">
          <cell r="A680">
            <v>8830</v>
          </cell>
          <cell r="B680" t="str">
            <v>山本 和弥</v>
          </cell>
          <cell r="C680" t="str">
            <v>FUZILOGIX</v>
          </cell>
          <cell r="D680">
            <v>45773</v>
          </cell>
          <cell r="E680" t="str">
            <v>25T0409</v>
          </cell>
          <cell r="F680" t="str">
            <v>I000014122</v>
          </cell>
          <cell r="H680" t="str">
            <v>41443153940</v>
          </cell>
          <cell r="J680">
            <v>727938.96</v>
          </cell>
          <cell r="K680">
            <v>62.18</v>
          </cell>
          <cell r="L680" t="str">
            <v>WHSU6858673</v>
          </cell>
          <cell r="M680">
            <v>4</v>
          </cell>
          <cell r="N680" t="str">
            <v>40HQ</v>
          </cell>
          <cell r="O680">
            <v>2</v>
          </cell>
          <cell r="P680">
            <v>45777</v>
          </cell>
          <cell r="Q680">
            <v>45786</v>
          </cell>
          <cell r="R680" t="str">
            <v>金</v>
          </cell>
          <cell r="S680" t="str">
            <v>AM8:00</v>
          </cell>
        </row>
        <row r="681">
          <cell r="A681">
            <v>8831</v>
          </cell>
          <cell r="B681" t="str">
            <v>山本 和弥</v>
          </cell>
          <cell r="C681" t="str">
            <v>FUZILOGIX</v>
          </cell>
          <cell r="D681">
            <v>45773</v>
          </cell>
          <cell r="E681" t="str">
            <v>25T0410</v>
          </cell>
          <cell r="F681" t="str">
            <v>I000014128</v>
          </cell>
          <cell r="H681" t="str">
            <v>41443253600</v>
          </cell>
          <cell r="J681">
            <v>1026717.78</v>
          </cell>
          <cell r="K681">
            <v>65.52</v>
          </cell>
          <cell r="L681" t="str">
            <v>WHSU6225248</v>
          </cell>
          <cell r="M681">
            <v>4</v>
          </cell>
          <cell r="N681" t="str">
            <v>40HQ</v>
          </cell>
          <cell r="O681">
            <v>2</v>
          </cell>
          <cell r="P681">
            <v>45777</v>
          </cell>
          <cell r="Q681">
            <v>45786</v>
          </cell>
          <cell r="R681" t="str">
            <v>金</v>
          </cell>
          <cell r="S681" t="str">
            <v>AM8:00</v>
          </cell>
        </row>
        <row r="682">
          <cell r="A682">
            <v>8832</v>
          </cell>
          <cell r="B682" t="str">
            <v>山本 和弥</v>
          </cell>
          <cell r="C682" t="str">
            <v>FUZILOGIX</v>
          </cell>
          <cell r="D682">
            <v>45773</v>
          </cell>
          <cell r="E682" t="str">
            <v>25T0412</v>
          </cell>
          <cell r="F682" t="str">
            <v>I000014132</v>
          </cell>
          <cell r="H682" t="str">
            <v>41443269000</v>
          </cell>
          <cell r="J682">
            <v>854624.49</v>
          </cell>
          <cell r="K682">
            <v>62.54</v>
          </cell>
          <cell r="L682" t="str">
            <v>WHSU6968794</v>
          </cell>
          <cell r="M682">
            <v>4</v>
          </cell>
          <cell r="N682" t="str">
            <v>40HQ</v>
          </cell>
          <cell r="O682">
            <v>2</v>
          </cell>
          <cell r="P682">
            <v>45778</v>
          </cell>
          <cell r="Q682">
            <v>45786</v>
          </cell>
          <cell r="R682" t="str">
            <v>金</v>
          </cell>
          <cell r="S682" t="str">
            <v>AM8:00</v>
          </cell>
        </row>
        <row r="683">
          <cell r="A683">
            <v>8833</v>
          </cell>
          <cell r="B683" t="str">
            <v>山本 和弥</v>
          </cell>
          <cell r="C683" t="str">
            <v>FUZILOGIX</v>
          </cell>
          <cell r="D683">
            <v>45775</v>
          </cell>
          <cell r="E683" t="str">
            <v>25T0411</v>
          </cell>
          <cell r="F683" t="str">
            <v>I000014136</v>
          </cell>
          <cell r="H683" t="str">
            <v>11754359620</v>
          </cell>
          <cell r="J683">
            <v>584738.88</v>
          </cell>
          <cell r="K683">
            <v>63.34</v>
          </cell>
          <cell r="L683" t="str">
            <v>WHSU6129389</v>
          </cell>
          <cell r="M683">
            <v>4</v>
          </cell>
          <cell r="N683" t="str">
            <v>40HQ</v>
          </cell>
          <cell r="O683">
            <v>5</v>
          </cell>
          <cell r="P683">
            <v>45778</v>
          </cell>
          <cell r="Q683">
            <v>45786</v>
          </cell>
          <cell r="R683" t="str">
            <v>金</v>
          </cell>
          <cell r="S683" t="str">
            <v>AM8:00</v>
          </cell>
        </row>
        <row r="684">
          <cell r="A684">
            <v>8834</v>
          </cell>
          <cell r="B684" t="str">
            <v>山本 和弥</v>
          </cell>
          <cell r="C684" t="str">
            <v>FUZILOGIX</v>
          </cell>
          <cell r="D684">
            <v>45784</v>
          </cell>
          <cell r="E684" t="str">
            <v>25T0413</v>
          </cell>
          <cell r="F684" t="str">
            <v>I000014144</v>
          </cell>
          <cell r="H684" t="str">
            <v>11756433720</v>
          </cell>
          <cell r="J684">
            <v>621503.84</v>
          </cell>
          <cell r="K684">
            <v>62.04</v>
          </cell>
          <cell r="L684" t="str">
            <v>WHSU6127920</v>
          </cell>
          <cell r="M684">
            <v>4</v>
          </cell>
          <cell r="N684" t="str">
            <v>40HQ</v>
          </cell>
          <cell r="O684">
            <v>5</v>
          </cell>
          <cell r="P684">
            <v>45789</v>
          </cell>
          <cell r="Q684">
            <v>45791</v>
          </cell>
          <cell r="R684" t="str">
            <v>水</v>
          </cell>
          <cell r="S684" t="str">
            <v>AM8:00</v>
          </cell>
        </row>
        <row r="685">
          <cell r="A685">
            <v>8835</v>
          </cell>
          <cell r="B685" t="str">
            <v>山本 和弥</v>
          </cell>
          <cell r="C685" t="str">
            <v>FUZILOGIX</v>
          </cell>
          <cell r="D685">
            <v>45784</v>
          </cell>
          <cell r="E685" t="str">
            <v>25T0415</v>
          </cell>
          <cell r="F685" t="str">
            <v>I000014152</v>
          </cell>
          <cell r="H685" t="str">
            <v>11756433720</v>
          </cell>
          <cell r="J685">
            <v>533562.16</v>
          </cell>
          <cell r="K685">
            <v>65.08</v>
          </cell>
          <cell r="L685" t="str">
            <v>WHSU6811906</v>
          </cell>
          <cell r="M685">
            <v>4</v>
          </cell>
          <cell r="N685" t="str">
            <v>40HQ</v>
          </cell>
          <cell r="O685">
            <v>5</v>
          </cell>
          <cell r="P685">
            <v>45789</v>
          </cell>
          <cell r="Q685">
            <v>45791</v>
          </cell>
          <cell r="R685" t="str">
            <v>水</v>
          </cell>
          <cell r="S685" t="str">
            <v>AM8:00</v>
          </cell>
        </row>
        <row r="686">
          <cell r="A686">
            <v>8836</v>
          </cell>
          <cell r="B686" t="str">
            <v>山本 和弥</v>
          </cell>
          <cell r="C686" t="str">
            <v>FUZILOGIX</v>
          </cell>
          <cell r="D686">
            <v>45784</v>
          </cell>
          <cell r="E686" t="str">
            <v>25T0414</v>
          </cell>
          <cell r="F686" t="str">
            <v>I000014154</v>
          </cell>
          <cell r="H686" t="str">
            <v>41445376660</v>
          </cell>
          <cell r="J686">
            <v>690112.12</v>
          </cell>
          <cell r="K686">
            <v>61.67</v>
          </cell>
          <cell r="L686" t="str">
            <v>WHSU5592640</v>
          </cell>
          <cell r="M686">
            <v>4</v>
          </cell>
          <cell r="N686" t="str">
            <v>40HQ</v>
          </cell>
          <cell r="O686">
            <v>2</v>
          </cell>
          <cell r="P686">
            <v>45789</v>
          </cell>
          <cell r="Q686">
            <v>45791</v>
          </cell>
          <cell r="R686" t="str">
            <v>水</v>
          </cell>
          <cell r="S686" t="str">
            <v>AM8:00</v>
          </cell>
        </row>
        <row r="687">
          <cell r="A687">
            <v>8837</v>
          </cell>
          <cell r="B687" t="str">
            <v>山本 和弥</v>
          </cell>
          <cell r="C687" t="str">
            <v>FUZILOGIX</v>
          </cell>
          <cell r="D687">
            <v>45784</v>
          </cell>
          <cell r="E687" t="str">
            <v>25T0416</v>
          </cell>
          <cell r="F687" t="str">
            <v>I000014156</v>
          </cell>
          <cell r="H687" t="str">
            <v>41445376660</v>
          </cell>
          <cell r="J687">
            <v>328450.2</v>
          </cell>
          <cell r="K687">
            <v>20.07</v>
          </cell>
          <cell r="L687" t="str">
            <v>WHSU6225248</v>
          </cell>
          <cell r="M687">
            <v>4</v>
          </cell>
          <cell r="N687" t="str">
            <v>20GP</v>
          </cell>
          <cell r="O687">
            <v>2</v>
          </cell>
          <cell r="P687">
            <v>45789</v>
          </cell>
          <cell r="Q687">
            <v>45791</v>
          </cell>
          <cell r="R687" t="str">
            <v>水</v>
          </cell>
          <cell r="S687" t="str">
            <v>AM8:00</v>
          </cell>
        </row>
        <row r="688">
          <cell r="A688">
            <v>8838</v>
          </cell>
          <cell r="B688" t="str">
            <v>山本 和弥</v>
          </cell>
          <cell r="C688" t="str">
            <v>FUZILOGIX</v>
          </cell>
          <cell r="D688">
            <v>45790</v>
          </cell>
          <cell r="E688" t="str">
            <v>25T0501</v>
          </cell>
          <cell r="F688" t="str">
            <v>I000014163</v>
          </cell>
          <cell r="H688" t="str">
            <v>41446716940</v>
          </cell>
          <cell r="J688">
            <v>676492.16</v>
          </cell>
          <cell r="K688">
            <v>64.22</v>
          </cell>
          <cell r="L688" t="str">
            <v>WHSU6365527</v>
          </cell>
          <cell r="M688">
            <v>4</v>
          </cell>
          <cell r="N688" t="str">
            <v>40HQ</v>
          </cell>
          <cell r="O688">
            <v>2</v>
          </cell>
          <cell r="P688">
            <v>45792</v>
          </cell>
          <cell r="Q688">
            <v>45796</v>
          </cell>
          <cell r="R688" t="str">
            <v>月</v>
          </cell>
          <cell r="S688" t="str">
            <v>AM8:00</v>
          </cell>
        </row>
        <row r="689">
          <cell r="A689">
            <v>8839</v>
          </cell>
          <cell r="B689" t="str">
            <v>山本 和弥</v>
          </cell>
          <cell r="C689" t="str">
            <v>FUZILOGIX</v>
          </cell>
          <cell r="D689">
            <v>45790</v>
          </cell>
          <cell r="E689" t="str">
            <v>25T0503</v>
          </cell>
          <cell r="F689" t="str">
            <v>I000014172</v>
          </cell>
          <cell r="H689" t="str">
            <v>41447819810</v>
          </cell>
          <cell r="J689">
            <v>733988.3</v>
          </cell>
          <cell r="K689">
            <v>63.9</v>
          </cell>
          <cell r="L689" t="str">
            <v>WHSU8027513</v>
          </cell>
          <cell r="M689">
            <v>4</v>
          </cell>
          <cell r="N689" t="str">
            <v>40HQ</v>
          </cell>
          <cell r="O689">
            <v>2</v>
          </cell>
          <cell r="P689">
            <v>45796</v>
          </cell>
          <cell r="Q689">
            <v>45798</v>
          </cell>
          <cell r="R689" t="str">
            <v>水</v>
          </cell>
          <cell r="S689" t="str">
            <v>AM8:00</v>
          </cell>
        </row>
        <row r="690">
          <cell r="A690">
            <v>8840</v>
          </cell>
          <cell r="B690" t="str">
            <v>山本 和弥</v>
          </cell>
          <cell r="C690" t="str">
            <v>FUZILOGIX</v>
          </cell>
          <cell r="D690">
            <v>45790</v>
          </cell>
          <cell r="E690" t="str">
            <v>25T0504</v>
          </cell>
          <cell r="F690" t="str">
            <v>I000014176</v>
          </cell>
          <cell r="H690" t="str">
            <v>41447819810</v>
          </cell>
          <cell r="J690">
            <v>718010.2</v>
          </cell>
          <cell r="K690">
            <v>65.36</v>
          </cell>
          <cell r="L690" t="str">
            <v>WHSU5490627</v>
          </cell>
          <cell r="M690">
            <v>4</v>
          </cell>
          <cell r="N690" t="str">
            <v>40HQ</v>
          </cell>
          <cell r="O690">
            <v>2</v>
          </cell>
          <cell r="P690">
            <v>45796</v>
          </cell>
          <cell r="Q690">
            <v>45798</v>
          </cell>
          <cell r="R690" t="str">
            <v>水</v>
          </cell>
          <cell r="S690" t="str">
            <v>AM8:00</v>
          </cell>
        </row>
        <row r="691">
          <cell r="A691">
            <v>8841</v>
          </cell>
          <cell r="B691" t="str">
            <v>山本 和弥</v>
          </cell>
          <cell r="C691" t="str">
            <v>FUZILOGIX</v>
          </cell>
          <cell r="D691">
            <v>45797</v>
          </cell>
          <cell r="E691" t="str">
            <v>25T0502</v>
          </cell>
          <cell r="F691" t="str">
            <v>I000014175</v>
          </cell>
          <cell r="H691" t="str">
            <v>11761052210</v>
          </cell>
          <cell r="J691">
            <v>602947.19999999995</v>
          </cell>
          <cell r="K691">
            <v>63.21</v>
          </cell>
          <cell r="L691" t="str">
            <v>WHSU6017033</v>
          </cell>
          <cell r="M691">
            <v>4</v>
          </cell>
          <cell r="N691" t="str">
            <v>40HQ</v>
          </cell>
          <cell r="O691">
            <v>5</v>
          </cell>
          <cell r="P691">
            <v>45801</v>
          </cell>
          <cell r="Q691">
            <v>45804</v>
          </cell>
          <cell r="R691" t="str">
            <v>火</v>
          </cell>
          <cell r="S691" t="str">
            <v>AM8:00</v>
          </cell>
        </row>
        <row r="692">
          <cell r="A692">
            <v>8842</v>
          </cell>
          <cell r="B692" t="str">
            <v>山本 和弥</v>
          </cell>
          <cell r="C692" t="str">
            <v>FUZILOGIX</v>
          </cell>
          <cell r="D692">
            <v>45797</v>
          </cell>
          <cell r="E692" t="str">
            <v>25T0506</v>
          </cell>
          <cell r="F692" t="str">
            <v>I000014191</v>
          </cell>
          <cell r="H692" t="str">
            <v>11761052210</v>
          </cell>
          <cell r="J692">
            <v>612823.80000000005</v>
          </cell>
          <cell r="K692">
            <v>62.18</v>
          </cell>
          <cell r="L692" t="str">
            <v>WHSU6015283</v>
          </cell>
          <cell r="M692">
            <v>4</v>
          </cell>
          <cell r="N692" t="str">
            <v>40HQ</v>
          </cell>
          <cell r="O692">
            <v>5</v>
          </cell>
          <cell r="P692">
            <v>45801</v>
          </cell>
          <cell r="Q692">
            <v>45804</v>
          </cell>
          <cell r="R692" t="str">
            <v>火</v>
          </cell>
          <cell r="S692" t="str">
            <v>AM8:00</v>
          </cell>
        </row>
        <row r="693">
          <cell r="A693">
            <v>8843</v>
          </cell>
          <cell r="B693" t="str">
            <v>山本 和弥</v>
          </cell>
          <cell r="C693" t="str">
            <v>FUZILOGIX</v>
          </cell>
          <cell r="D693">
            <v>45797</v>
          </cell>
          <cell r="E693" t="str">
            <v>25T0505</v>
          </cell>
          <cell r="F693" t="str">
            <v>I000014188</v>
          </cell>
          <cell r="H693" t="str">
            <v>41449290400</v>
          </cell>
          <cell r="J693">
            <v>782586.38</v>
          </cell>
          <cell r="K693">
            <v>63.12</v>
          </cell>
          <cell r="L693" t="str">
            <v>WHSU8121582</v>
          </cell>
          <cell r="M693">
            <v>4</v>
          </cell>
          <cell r="N693" t="str">
            <v>40HQ</v>
          </cell>
          <cell r="O693">
            <v>2</v>
          </cell>
          <cell r="P693">
            <v>45798</v>
          </cell>
          <cell r="Q693">
            <v>45800</v>
          </cell>
          <cell r="R693" t="str">
            <v>水</v>
          </cell>
          <cell r="S693" t="str">
            <v>AM8:00</v>
          </cell>
        </row>
        <row r="694">
          <cell r="A694">
            <v>8844</v>
          </cell>
          <cell r="B694" t="str">
            <v>山本 和弥</v>
          </cell>
          <cell r="C694" t="str">
            <v>FUZILOGIX</v>
          </cell>
          <cell r="D694">
            <v>45800</v>
          </cell>
          <cell r="E694" t="str">
            <v>25T0507</v>
          </cell>
          <cell r="F694" t="str">
            <v>I000014201</v>
          </cell>
          <cell r="H694" t="str">
            <v>41451280720</v>
          </cell>
          <cell r="J694">
            <v>612827.84</v>
          </cell>
          <cell r="K694">
            <v>63.93</v>
          </cell>
          <cell r="L694" t="str">
            <v>DFSU7760185</v>
          </cell>
          <cell r="M694">
            <v>4</v>
          </cell>
          <cell r="N694" t="str">
            <v>40HQ</v>
          </cell>
          <cell r="O694">
            <v>2</v>
          </cell>
          <cell r="P694">
            <v>45805</v>
          </cell>
          <cell r="Q694">
            <v>45807</v>
          </cell>
          <cell r="R694" t="str">
            <v>金</v>
          </cell>
          <cell r="S694" t="str">
            <v>AM8:00</v>
          </cell>
        </row>
        <row r="695">
          <cell r="A695">
            <v>8845</v>
          </cell>
          <cell r="B695" t="str">
            <v>山本 和弥</v>
          </cell>
          <cell r="C695" t="str">
            <v>FUZILOGIX</v>
          </cell>
          <cell r="D695">
            <v>45800</v>
          </cell>
          <cell r="E695" t="str">
            <v>25T0508</v>
          </cell>
          <cell r="F695" t="str">
            <v>I000014204</v>
          </cell>
          <cell r="H695" t="str">
            <v>41451280720</v>
          </cell>
          <cell r="J695">
            <v>850129.44</v>
          </cell>
          <cell r="K695">
            <v>62.56</v>
          </cell>
          <cell r="L695" t="str">
            <v>WHSU6151947</v>
          </cell>
          <cell r="M695">
            <v>4</v>
          </cell>
          <cell r="N695" t="str">
            <v>40HQ</v>
          </cell>
          <cell r="O695">
            <v>2</v>
          </cell>
          <cell r="P695">
            <v>45805</v>
          </cell>
          <cell r="Q695">
            <v>45807</v>
          </cell>
          <cell r="R695" t="str">
            <v>金</v>
          </cell>
          <cell r="S695" t="str">
            <v>AM8:00</v>
          </cell>
        </row>
        <row r="696">
          <cell r="A696">
            <v>8846</v>
          </cell>
          <cell r="B696" t="str">
            <v>山本 和弥</v>
          </cell>
          <cell r="C696" t="str">
            <v>FUZILOGIX</v>
          </cell>
          <cell r="D696">
            <v>45806</v>
          </cell>
          <cell r="E696" t="str">
            <v>25T0509</v>
          </cell>
          <cell r="F696" t="str">
            <v>I000014209</v>
          </cell>
          <cell r="H696" t="str">
            <v>11765178600</v>
          </cell>
          <cell r="J696">
            <v>545741.6</v>
          </cell>
          <cell r="K696">
            <v>64.17</v>
          </cell>
          <cell r="L696" t="str">
            <v>WHSU6370349</v>
          </cell>
          <cell r="M696">
            <v>4</v>
          </cell>
          <cell r="N696" t="str">
            <v>40HQ</v>
          </cell>
          <cell r="O696">
            <v>5</v>
          </cell>
          <cell r="P696">
            <v>45807</v>
          </cell>
          <cell r="Q696">
            <v>45811</v>
          </cell>
          <cell r="R696" t="str">
            <v>火</v>
          </cell>
          <cell r="S696" t="str">
            <v>AM8:00</v>
          </cell>
        </row>
        <row r="697">
          <cell r="A697">
            <v>8847</v>
          </cell>
          <cell r="B697" t="str">
            <v>山本 和弥</v>
          </cell>
          <cell r="C697" t="str">
            <v>FUZILOGIX</v>
          </cell>
          <cell r="D697">
            <v>45806</v>
          </cell>
          <cell r="E697" t="str">
            <v>25T0510</v>
          </cell>
          <cell r="F697" t="str">
            <v>I000014218</v>
          </cell>
          <cell r="H697" t="str">
            <v>41453408610</v>
          </cell>
          <cell r="J697">
            <v>701022.7</v>
          </cell>
          <cell r="K697">
            <v>62.32</v>
          </cell>
          <cell r="L697" t="str">
            <v>WHSU5196612</v>
          </cell>
          <cell r="M697">
            <v>4</v>
          </cell>
          <cell r="N697" t="str">
            <v>40HQ</v>
          </cell>
          <cell r="O697">
            <v>2</v>
          </cell>
          <cell r="P697">
            <v>45811</v>
          </cell>
          <cell r="Q697">
            <v>45813</v>
          </cell>
          <cell r="R697" t="str">
            <v>木</v>
          </cell>
          <cell r="S697" t="str">
            <v>AM8:00</v>
          </cell>
        </row>
        <row r="698">
          <cell r="A698">
            <v>8848</v>
          </cell>
          <cell r="B698" t="str">
            <v>山本 和弥</v>
          </cell>
          <cell r="C698" t="str">
            <v>FUZILOGIX</v>
          </cell>
          <cell r="D698">
            <v>45806</v>
          </cell>
          <cell r="E698" t="str">
            <v>25T0511</v>
          </cell>
          <cell r="F698" t="str">
            <v>I000014229</v>
          </cell>
          <cell r="H698" t="str">
            <v>41453408610</v>
          </cell>
          <cell r="J698">
            <v>721453.5</v>
          </cell>
          <cell r="K698">
            <v>59.03</v>
          </cell>
          <cell r="L698" t="str">
            <v>WHSU6228329</v>
          </cell>
          <cell r="M698">
            <v>4</v>
          </cell>
          <cell r="N698" t="str">
            <v>40HQ</v>
          </cell>
          <cell r="O698">
            <v>2</v>
          </cell>
          <cell r="P698">
            <v>45811</v>
          </cell>
          <cell r="Q698">
            <v>45813</v>
          </cell>
          <cell r="R698" t="str">
            <v>木</v>
          </cell>
          <cell r="S698" t="str">
            <v>AM8:00</v>
          </cell>
        </row>
        <row r="699">
          <cell r="A699">
            <v>8849</v>
          </cell>
          <cell r="B699" t="str">
            <v>山本 和弥</v>
          </cell>
          <cell r="C699" t="str">
            <v>FUZILOGIX</v>
          </cell>
          <cell r="D699">
            <v>45806</v>
          </cell>
          <cell r="E699" t="str">
            <v>25T0512</v>
          </cell>
          <cell r="F699" t="str">
            <v>I000014232</v>
          </cell>
          <cell r="H699" t="str">
            <v>11768490040</v>
          </cell>
          <cell r="J699">
            <v>655982.6</v>
          </cell>
          <cell r="K699">
            <v>64.459999999999994</v>
          </cell>
          <cell r="L699" t="str">
            <v>OOCU8845601</v>
          </cell>
          <cell r="M699">
            <v>4</v>
          </cell>
          <cell r="N699" t="str">
            <v>40HQ</v>
          </cell>
          <cell r="O699">
            <v>5</v>
          </cell>
          <cell r="P699">
            <v>45813</v>
          </cell>
          <cell r="Q699">
            <v>45817</v>
          </cell>
          <cell r="R699" t="str">
            <v>月</v>
          </cell>
          <cell r="S699" t="str">
            <v>AM8:00</v>
          </cell>
        </row>
        <row r="700">
          <cell r="A700">
            <v>8850</v>
          </cell>
          <cell r="B700" t="str">
            <v>山本 和弥</v>
          </cell>
          <cell r="C700" t="str">
            <v>FUZILOGIX</v>
          </cell>
          <cell r="D700">
            <v>45806</v>
          </cell>
          <cell r="E700" t="str">
            <v>25T0513</v>
          </cell>
          <cell r="F700" t="str">
            <v>I000014244</v>
          </cell>
          <cell r="H700" t="str">
            <v>41454057730</v>
          </cell>
          <cell r="J700">
            <v>772597</v>
          </cell>
          <cell r="K700">
            <v>62.61</v>
          </cell>
          <cell r="L700" t="str">
            <v>TIIU6361767</v>
          </cell>
          <cell r="M700">
            <v>4</v>
          </cell>
          <cell r="N700" t="str">
            <v>40HQ</v>
          </cell>
          <cell r="O700">
            <v>2</v>
          </cell>
          <cell r="P700">
            <v>45812</v>
          </cell>
          <cell r="Q700">
            <v>45814</v>
          </cell>
          <cell r="R700" t="str">
            <v>金</v>
          </cell>
          <cell r="S700" t="str">
            <v>AM8:00</v>
          </cell>
        </row>
        <row r="701">
          <cell r="A701">
            <v>8851</v>
          </cell>
          <cell r="B701" t="str">
            <v>山本 和弥</v>
          </cell>
          <cell r="C701" t="str">
            <v>FUZILOGIX</v>
          </cell>
          <cell r="D701">
            <v>45810</v>
          </cell>
          <cell r="E701" t="str">
            <v>25T0514</v>
          </cell>
          <cell r="F701" t="str">
            <v>I000014253</v>
          </cell>
          <cell r="H701" t="str">
            <v>41454032160</v>
          </cell>
          <cell r="J701">
            <v>766054.94</v>
          </cell>
          <cell r="K701">
            <v>63.1</v>
          </cell>
          <cell r="L701" t="str">
            <v>TCKU6541364</v>
          </cell>
          <cell r="M701">
            <v>4</v>
          </cell>
          <cell r="N701" t="str">
            <v>40HQ</v>
          </cell>
          <cell r="O701">
            <v>2</v>
          </cell>
          <cell r="P701">
            <v>45815</v>
          </cell>
          <cell r="Q701">
            <v>45818</v>
          </cell>
          <cell r="R701" t="str">
            <v>火</v>
          </cell>
          <cell r="S701" t="str">
            <v>AM8:00</v>
          </cell>
        </row>
        <row r="702">
          <cell r="A702">
            <v>8852</v>
          </cell>
          <cell r="B702" t="str">
            <v>山本 和弥</v>
          </cell>
          <cell r="C702" t="str">
            <v>FUZILOGIX</v>
          </cell>
          <cell r="D702">
            <v>45810</v>
          </cell>
          <cell r="E702" t="str">
            <v>25T0515</v>
          </cell>
          <cell r="F702" t="str">
            <v>I000014248</v>
          </cell>
          <cell r="H702" t="str">
            <v>41454045240</v>
          </cell>
          <cell r="J702">
            <v>277516.92</v>
          </cell>
          <cell r="K702">
            <v>28.46</v>
          </cell>
          <cell r="L702" t="str">
            <v>OOLU0667095</v>
          </cell>
          <cell r="M702">
            <v>4</v>
          </cell>
          <cell r="N702" t="str">
            <v>40HQ</v>
          </cell>
          <cell r="O702">
            <v>2</v>
          </cell>
          <cell r="P702">
            <v>45814</v>
          </cell>
          <cell r="Q702">
            <v>45818</v>
          </cell>
          <cell r="R702" t="str">
            <v>火</v>
          </cell>
          <cell r="S702" t="str">
            <v>AM8:00</v>
          </cell>
        </row>
        <row r="703">
          <cell r="A703">
            <v>8853</v>
          </cell>
          <cell r="B703" t="str">
            <v>山本 和弥</v>
          </cell>
          <cell r="C703" t="str">
            <v>FUZILOGIX</v>
          </cell>
          <cell r="D703">
            <v>45818</v>
          </cell>
          <cell r="E703" t="str">
            <v>25T0601</v>
          </cell>
          <cell r="F703" t="str">
            <v>I000014261</v>
          </cell>
          <cell r="H703" t="str">
            <v>41456286160</v>
          </cell>
          <cell r="J703">
            <v>627729.19999999995</v>
          </cell>
          <cell r="K703">
            <v>63.36</v>
          </cell>
          <cell r="L703" t="str">
            <v>WHSU6372911</v>
          </cell>
          <cell r="M703">
            <v>4</v>
          </cell>
          <cell r="N703" t="str">
            <v>40HQ</v>
          </cell>
          <cell r="O703">
            <v>2</v>
          </cell>
          <cell r="P703">
            <v>45820</v>
          </cell>
          <cell r="Q703">
            <v>45824</v>
          </cell>
          <cell r="R703" t="str">
            <v>月</v>
          </cell>
          <cell r="S703" t="str">
            <v>AM8:00</v>
          </cell>
        </row>
        <row r="704">
          <cell r="A704">
            <v>8854</v>
          </cell>
          <cell r="B704" t="str">
            <v>山本 和弥</v>
          </cell>
          <cell r="C704" t="str">
            <v>FUZILOGIX</v>
          </cell>
          <cell r="D704">
            <v>45818</v>
          </cell>
          <cell r="E704" t="str">
            <v>25T0602</v>
          </cell>
          <cell r="F704" t="str">
            <v>I000014268</v>
          </cell>
          <cell r="H704" t="str">
            <v>11772601620</v>
          </cell>
          <cell r="J704">
            <v>615147.4</v>
          </cell>
          <cell r="K704">
            <v>63.72</v>
          </cell>
          <cell r="L704" t="str">
            <v>WHSU6862396</v>
          </cell>
          <cell r="M704">
            <v>4</v>
          </cell>
          <cell r="N704" t="str">
            <v>40HQ</v>
          </cell>
          <cell r="O704">
            <v>5</v>
          </cell>
          <cell r="P704">
            <v>45821</v>
          </cell>
          <cell r="Q704">
            <v>45825</v>
          </cell>
          <cell r="R704" t="str">
            <v>火</v>
          </cell>
          <cell r="S704" t="str">
            <v>AM8:00</v>
          </cell>
        </row>
        <row r="705">
          <cell r="A705">
            <v>8855</v>
          </cell>
          <cell r="B705" t="str">
            <v>山本 和弥</v>
          </cell>
          <cell r="C705" t="str">
            <v>FUZILOGIX</v>
          </cell>
          <cell r="D705">
            <v>45818</v>
          </cell>
          <cell r="E705" t="str">
            <v>25T0603</v>
          </cell>
          <cell r="F705" t="str">
            <v>I000014276</v>
          </cell>
          <cell r="H705" t="str">
            <v>11770650350</v>
          </cell>
          <cell r="J705">
            <v>627462.80000000005</v>
          </cell>
          <cell r="K705">
            <v>63.07</v>
          </cell>
          <cell r="L705" t="str">
            <v>WHSU5095495</v>
          </cell>
          <cell r="M705">
            <v>4</v>
          </cell>
          <cell r="N705" t="str">
            <v>40HQ</v>
          </cell>
          <cell r="O705">
            <v>5</v>
          </cell>
          <cell r="P705">
            <v>45824</v>
          </cell>
          <cell r="Q705">
            <v>45826</v>
          </cell>
          <cell r="R705" t="str">
            <v>水</v>
          </cell>
          <cell r="S705" t="str">
            <v>AM8:00</v>
          </cell>
        </row>
        <row r="706">
          <cell r="A706">
            <v>8856</v>
          </cell>
          <cell r="B706" t="str">
            <v>山本 和弥</v>
          </cell>
          <cell r="C706" t="str">
            <v>FUZILOGIX</v>
          </cell>
          <cell r="D706">
            <v>45818</v>
          </cell>
          <cell r="E706" t="str">
            <v>25T0605</v>
          </cell>
          <cell r="F706" t="str">
            <v>I000014286</v>
          </cell>
          <cell r="H706" t="str">
            <v>41458701420</v>
          </cell>
          <cell r="J706">
            <v>677570.2</v>
          </cell>
          <cell r="K706">
            <v>65</v>
          </cell>
          <cell r="L706" t="str">
            <v>WHSU6243468</v>
          </cell>
          <cell r="M706">
            <v>4</v>
          </cell>
          <cell r="N706" t="str">
            <v>40HQ</v>
          </cell>
          <cell r="O706">
            <v>2</v>
          </cell>
          <cell r="P706">
            <v>45827</v>
          </cell>
          <cell r="Q706">
            <v>45831</v>
          </cell>
          <cell r="R706" t="str">
            <v>月</v>
          </cell>
          <cell r="S706" t="str">
            <v>AM8:00</v>
          </cell>
        </row>
        <row r="707">
          <cell r="A707">
            <v>8857</v>
          </cell>
          <cell r="B707" t="str">
            <v>山本 和弥</v>
          </cell>
          <cell r="C707" t="str">
            <v>FUZILOGIX</v>
          </cell>
          <cell r="D707">
            <v>45818</v>
          </cell>
          <cell r="E707" t="str">
            <v>25T0606</v>
          </cell>
          <cell r="F707" t="str">
            <v>I000014278</v>
          </cell>
          <cell r="H707" t="str">
            <v>41458701420</v>
          </cell>
          <cell r="J707">
            <v>733139.18</v>
          </cell>
          <cell r="K707">
            <v>58.22</v>
          </cell>
          <cell r="L707" t="str">
            <v>WHSU5823944</v>
          </cell>
          <cell r="M707">
            <v>4</v>
          </cell>
          <cell r="N707" t="str">
            <v>40HQ</v>
          </cell>
          <cell r="O707">
            <v>2</v>
          </cell>
          <cell r="P707">
            <v>45827</v>
          </cell>
          <cell r="Q707">
            <v>45831</v>
          </cell>
          <cell r="R707" t="str">
            <v>月</v>
          </cell>
          <cell r="S707" t="str">
            <v>AM8:00</v>
          </cell>
        </row>
        <row r="708">
          <cell r="A708">
            <v>8858</v>
          </cell>
          <cell r="B708" t="str">
            <v>山本 和弥</v>
          </cell>
          <cell r="C708" t="str">
            <v>FUZILOGIX</v>
          </cell>
          <cell r="D708">
            <v>45827</v>
          </cell>
          <cell r="E708" t="str">
            <v>25T0607</v>
          </cell>
          <cell r="F708" t="str">
            <v>I000014303</v>
          </cell>
          <cell r="H708" t="str">
            <v>41460259510</v>
          </cell>
          <cell r="J708">
            <v>833265.88</v>
          </cell>
          <cell r="K708">
            <v>67.8</v>
          </cell>
          <cell r="L708" t="str">
            <v>WHSU6817268</v>
          </cell>
          <cell r="M708">
            <v>4</v>
          </cell>
          <cell r="N708" t="str">
            <v>40HQ</v>
          </cell>
          <cell r="O708">
            <v>2</v>
          </cell>
          <cell r="P708">
            <v>45831</v>
          </cell>
          <cell r="Q708">
            <v>45833</v>
          </cell>
          <cell r="R708" t="str">
            <v>水</v>
          </cell>
          <cell r="S708" t="str">
            <v>AM8:00</v>
          </cell>
        </row>
        <row r="709">
          <cell r="A709">
            <v>8859</v>
          </cell>
          <cell r="B709" t="str">
            <v>山本 和弥</v>
          </cell>
          <cell r="C709" t="str">
            <v>FUZILOGIX</v>
          </cell>
          <cell r="D709">
            <v>45827</v>
          </cell>
          <cell r="E709" t="str">
            <v>25T0604</v>
          </cell>
          <cell r="F709" t="str">
            <v>I000014296</v>
          </cell>
          <cell r="H709" t="str">
            <v>11775627460</v>
          </cell>
          <cell r="J709">
            <v>600912.80000000005</v>
          </cell>
          <cell r="K709">
            <v>64.75</v>
          </cell>
          <cell r="L709" t="str">
            <v>WHSU6291240</v>
          </cell>
          <cell r="M709">
            <v>4</v>
          </cell>
          <cell r="N709" t="str">
            <v>40HQ</v>
          </cell>
          <cell r="O709">
            <v>5</v>
          </cell>
          <cell r="P709">
            <v>45834</v>
          </cell>
          <cell r="Q709">
            <v>45838</v>
          </cell>
          <cell r="R709" t="str">
            <v>月</v>
          </cell>
          <cell r="S709" t="str">
            <v>AM8:00</v>
          </cell>
        </row>
        <row r="710">
          <cell r="A710">
            <v>8860</v>
          </cell>
          <cell r="B710" t="str">
            <v>山本 和弥</v>
          </cell>
          <cell r="C710" t="str">
            <v>FUZILOGIX</v>
          </cell>
          <cell r="D710">
            <v>45827</v>
          </cell>
          <cell r="E710" t="str">
            <v>25T0608</v>
          </cell>
          <cell r="F710" t="str">
            <v>I000014307</v>
          </cell>
          <cell r="H710" t="str">
            <v>11775627460</v>
          </cell>
          <cell r="J710">
            <v>609334.16</v>
          </cell>
          <cell r="K710">
            <v>62.39</v>
          </cell>
          <cell r="L710" t="str">
            <v>WHSU6457433</v>
          </cell>
          <cell r="M710">
            <v>4</v>
          </cell>
          <cell r="N710" t="str">
            <v>40HQ</v>
          </cell>
          <cell r="O710">
            <v>5</v>
          </cell>
          <cell r="P710">
            <v>45834</v>
          </cell>
          <cell r="Q710">
            <v>45838</v>
          </cell>
          <cell r="R710" t="str">
            <v>月</v>
          </cell>
          <cell r="S710" t="str">
            <v>AM8:00</v>
          </cell>
        </row>
        <row r="711">
          <cell r="A711">
            <v>8861</v>
          </cell>
          <cell r="B711" t="str">
            <v>山本 和弥</v>
          </cell>
          <cell r="C711" t="str">
            <v>FUZILOGIX</v>
          </cell>
          <cell r="D711">
            <v>45827</v>
          </cell>
          <cell r="E711" t="str">
            <v>25T0609</v>
          </cell>
          <cell r="F711" t="str">
            <v>I000014315</v>
          </cell>
          <cell r="H711" t="str">
            <v>41461264230</v>
          </cell>
          <cell r="J711">
            <v>609727.72</v>
          </cell>
          <cell r="K711">
            <v>63.26</v>
          </cell>
          <cell r="L711" t="str">
            <v>WHSU5608089</v>
          </cell>
          <cell r="M711">
            <v>4</v>
          </cell>
          <cell r="N711" t="str">
            <v>40HQ</v>
          </cell>
          <cell r="O711">
            <v>2</v>
          </cell>
          <cell r="P711">
            <v>45833</v>
          </cell>
          <cell r="Q711">
            <v>45835</v>
          </cell>
          <cell r="R711" t="str">
            <v>金</v>
          </cell>
          <cell r="S711" t="str">
            <v>AM8:00</v>
          </cell>
        </row>
        <row r="712">
          <cell r="A712">
            <v>8862</v>
          </cell>
          <cell r="B712" t="str">
            <v>山本 和弥</v>
          </cell>
          <cell r="C712" t="str">
            <v>FUZILOGIX</v>
          </cell>
          <cell r="D712">
            <v>45834</v>
          </cell>
          <cell r="E712" t="str">
            <v>25T0610</v>
          </cell>
          <cell r="F712" t="str">
            <v>I000014323</v>
          </cell>
          <cell r="H712" t="str">
            <v>11777455530</v>
          </cell>
          <cell r="J712">
            <v>660552.04</v>
          </cell>
          <cell r="K712">
            <v>62.72</v>
          </cell>
          <cell r="L712" t="str">
            <v>WHLU5811613</v>
          </cell>
          <cell r="M712">
            <v>4</v>
          </cell>
          <cell r="N712" t="str">
            <v>40HQ</v>
          </cell>
          <cell r="O712">
            <v>5</v>
          </cell>
          <cell r="P712">
            <v>45836</v>
          </cell>
          <cell r="Q712">
            <v>45839</v>
          </cell>
          <cell r="R712" t="str">
            <v>火</v>
          </cell>
          <cell r="S712" t="str">
            <v>AM8:00</v>
          </cell>
        </row>
        <row r="713">
          <cell r="A713">
            <v>8863</v>
          </cell>
          <cell r="B713" t="str">
            <v>山本 和弥</v>
          </cell>
          <cell r="C713" t="str">
            <v>FUZILOGIX</v>
          </cell>
          <cell r="D713">
            <v>45834</v>
          </cell>
          <cell r="E713" t="str">
            <v>25T0611</v>
          </cell>
          <cell r="F713" t="str">
            <v>I000014327</v>
          </cell>
          <cell r="H713" t="str">
            <v>41461510150</v>
          </cell>
          <cell r="J713">
            <v>602980</v>
          </cell>
          <cell r="K713">
            <v>63.95</v>
          </cell>
          <cell r="L713" t="str">
            <v>WHSU6720196</v>
          </cell>
          <cell r="M713">
            <v>4</v>
          </cell>
          <cell r="N713" t="str">
            <v>40HQ</v>
          </cell>
          <cell r="O713">
            <v>2</v>
          </cell>
          <cell r="P713">
            <v>45838</v>
          </cell>
          <cell r="Q713">
            <v>45840</v>
          </cell>
          <cell r="R713" t="str">
            <v>水</v>
          </cell>
          <cell r="S713" t="str">
            <v>AM8:00</v>
          </cell>
        </row>
        <row r="714">
          <cell r="A714">
            <v>8864</v>
          </cell>
          <cell r="B714" t="str">
            <v>山本 和弥</v>
          </cell>
          <cell r="C714" t="str">
            <v>FUZILOGIX</v>
          </cell>
          <cell r="D714">
            <v>45834</v>
          </cell>
          <cell r="E714" t="str">
            <v>25T0612</v>
          </cell>
          <cell r="F714" t="str">
            <v>I000014332</v>
          </cell>
          <cell r="H714" t="str">
            <v>41461510150</v>
          </cell>
          <cell r="J714">
            <v>639929.4</v>
          </cell>
          <cell r="K714">
            <v>63.52</v>
          </cell>
          <cell r="L714" t="str">
            <v>WHSU6557900</v>
          </cell>
          <cell r="M714">
            <v>4</v>
          </cell>
          <cell r="N714" t="str">
            <v>40HQ</v>
          </cell>
          <cell r="O714">
            <v>2</v>
          </cell>
          <cell r="P714">
            <v>45838</v>
          </cell>
          <cell r="Q714">
            <v>45840</v>
          </cell>
          <cell r="R714" t="str">
            <v>水</v>
          </cell>
          <cell r="S714" t="str">
            <v>AM8:00</v>
          </cell>
        </row>
        <row r="715">
          <cell r="A715">
            <v>8865</v>
          </cell>
          <cell r="B715" t="str">
            <v>山本 和弥</v>
          </cell>
          <cell r="C715" t="str">
            <v>FUZILOGIX</v>
          </cell>
          <cell r="D715">
            <v>45841</v>
          </cell>
          <cell r="E715" t="str">
            <v>25T0614</v>
          </cell>
          <cell r="F715" t="str">
            <v>I000014347</v>
          </cell>
          <cell r="H715" t="str">
            <v>11779192120</v>
          </cell>
          <cell r="J715">
            <v>615010.6</v>
          </cell>
          <cell r="K715">
            <v>63.19</v>
          </cell>
          <cell r="L715" t="str">
            <v>WHSU6479788</v>
          </cell>
          <cell r="M715">
            <v>4</v>
          </cell>
          <cell r="N715" t="str">
            <v>40HQ</v>
          </cell>
          <cell r="O715">
            <v>5</v>
          </cell>
          <cell r="P715">
            <v>45845</v>
          </cell>
          <cell r="Q715">
            <v>45847</v>
          </cell>
          <cell r="R715" t="str">
            <v>水</v>
          </cell>
          <cell r="S715" t="str">
            <v>AM8:00</v>
          </cell>
        </row>
        <row r="716">
          <cell r="A716">
            <v>8866</v>
          </cell>
          <cell r="B716" t="str">
            <v>山本 和弥</v>
          </cell>
          <cell r="C716" t="str">
            <v>FUZILOGIX</v>
          </cell>
          <cell r="D716">
            <v>45841</v>
          </cell>
          <cell r="E716" t="str">
            <v>25T0615</v>
          </cell>
          <cell r="F716" t="str">
            <v>I000014343</v>
          </cell>
          <cell r="H716" t="str">
            <v>41464886510</v>
          </cell>
          <cell r="J716">
            <v>631153.57999999996</v>
          </cell>
          <cell r="K716">
            <v>64.400000000000006</v>
          </cell>
          <cell r="L716" t="str">
            <v>WHSU6664615</v>
          </cell>
          <cell r="M716">
            <v>4</v>
          </cell>
          <cell r="N716" t="str">
            <v>40HQ</v>
          </cell>
          <cell r="O716">
            <v>2</v>
          </cell>
          <cell r="P716">
            <v>45845</v>
          </cell>
          <cell r="Q716">
            <v>45847</v>
          </cell>
          <cell r="R716" t="str">
            <v>水</v>
          </cell>
          <cell r="S716" t="str">
            <v>AM8:00</v>
          </cell>
        </row>
        <row r="717">
          <cell r="A717">
            <v>8867</v>
          </cell>
          <cell r="B717" t="str">
            <v>山本 和弥</v>
          </cell>
          <cell r="C717" t="str">
            <v>FUZILOGIX</v>
          </cell>
          <cell r="D717">
            <v>45841</v>
          </cell>
          <cell r="E717" t="str">
            <v>25T0616</v>
          </cell>
          <cell r="F717" t="str">
            <v>I000014349</v>
          </cell>
          <cell r="H717" t="str">
            <v>41464886510</v>
          </cell>
          <cell r="J717">
            <v>702666.34</v>
          </cell>
          <cell r="K717">
            <v>65.180000000000007</v>
          </cell>
          <cell r="L717" t="str">
            <v>WHSU8268151</v>
          </cell>
          <cell r="M717">
            <v>4</v>
          </cell>
          <cell r="N717" t="str">
            <v>40HQ</v>
          </cell>
          <cell r="O717">
            <v>2</v>
          </cell>
          <cell r="P717">
            <v>45845</v>
          </cell>
          <cell r="Q717">
            <v>45847</v>
          </cell>
          <cell r="R717" t="str">
            <v>水</v>
          </cell>
          <cell r="S717" t="str">
            <v>AM8:00</v>
          </cell>
        </row>
        <row r="718">
          <cell r="A718">
            <v>8868</v>
          </cell>
          <cell r="B718" t="str">
            <v>山本 和弥</v>
          </cell>
          <cell r="C718" t="str">
            <v>FUZILOGIX</v>
          </cell>
          <cell r="D718">
            <v>45841</v>
          </cell>
          <cell r="E718" t="str">
            <v>25T0617</v>
          </cell>
          <cell r="F718" t="str">
            <v>I000014352</v>
          </cell>
          <cell r="H718" t="str">
            <v>41464886510</v>
          </cell>
          <cell r="J718">
            <v>808472.34</v>
          </cell>
          <cell r="K718">
            <v>64.930000000000007</v>
          </cell>
          <cell r="L718" t="str">
            <v>WHSU8165105</v>
          </cell>
          <cell r="M718">
            <v>4</v>
          </cell>
          <cell r="N718" t="str">
            <v>40HQ</v>
          </cell>
          <cell r="O718">
            <v>2</v>
          </cell>
          <cell r="P718">
            <v>45845</v>
          </cell>
          <cell r="Q718">
            <v>45847</v>
          </cell>
          <cell r="R718" t="str">
            <v>水</v>
          </cell>
          <cell r="S718" t="str">
            <v>AM8:00</v>
          </cell>
        </row>
        <row r="719">
          <cell r="A719">
            <v>8869</v>
          </cell>
          <cell r="B719" t="str">
            <v>山本 和弥</v>
          </cell>
          <cell r="C719" t="str">
            <v>FUZILOGIX</v>
          </cell>
          <cell r="D719">
            <v>45841</v>
          </cell>
          <cell r="E719" t="str">
            <v>25T0613</v>
          </cell>
          <cell r="F719" t="str">
            <v>I000014337</v>
          </cell>
          <cell r="H719" t="str">
            <v>41463439240</v>
          </cell>
          <cell r="J719">
            <v>789894.06</v>
          </cell>
          <cell r="K719">
            <v>61.4</v>
          </cell>
          <cell r="L719" t="str">
            <v>WHSU6743381</v>
          </cell>
          <cell r="M719">
            <v>4</v>
          </cell>
          <cell r="N719" t="str">
            <v>40HQ</v>
          </cell>
          <cell r="O719">
            <v>2</v>
          </cell>
          <cell r="P719">
            <v>45843</v>
          </cell>
          <cell r="Q719">
            <v>45846</v>
          </cell>
          <cell r="R719" t="str">
            <v>火</v>
          </cell>
          <cell r="S719" t="str">
            <v>AM8:00</v>
          </cell>
        </row>
        <row r="720">
          <cell r="A720">
            <v>8870</v>
          </cell>
          <cell r="B720" t="str">
            <v>山本 和弥</v>
          </cell>
          <cell r="C720" t="str">
            <v>FUZILOGIX</v>
          </cell>
          <cell r="D720">
            <v>45852</v>
          </cell>
          <cell r="E720" t="str">
            <v>25T0701</v>
          </cell>
          <cell r="F720" t="str">
            <v>I000014360</v>
          </cell>
          <cell r="H720" t="str">
            <v>11784726320</v>
          </cell>
          <cell r="J720">
            <v>587564.6</v>
          </cell>
          <cell r="K720">
            <v>62.86</v>
          </cell>
          <cell r="L720" t="str">
            <v>WHSU8293534</v>
          </cell>
          <cell r="M720">
            <v>4</v>
          </cell>
          <cell r="N720" t="str">
            <v>40HQ</v>
          </cell>
          <cell r="O720">
            <v>5</v>
          </cell>
          <cell r="P720">
            <v>45853</v>
          </cell>
          <cell r="Q720">
            <v>45855</v>
          </cell>
          <cell r="R720" t="str">
            <v>木</v>
          </cell>
          <cell r="S720" t="str">
            <v>AM8:00</v>
          </cell>
        </row>
        <row r="721">
          <cell r="A721">
            <v>8871</v>
          </cell>
          <cell r="B721" t="str">
            <v>山本 和弥</v>
          </cell>
          <cell r="C721" t="str">
            <v>FUZILOGIX</v>
          </cell>
          <cell r="D721">
            <v>45852</v>
          </cell>
          <cell r="E721" t="str">
            <v>25T0702</v>
          </cell>
          <cell r="F721" t="str">
            <v>I000014367</v>
          </cell>
          <cell r="H721" t="str">
            <v>41466816960</v>
          </cell>
          <cell r="J721">
            <v>900886.28</v>
          </cell>
          <cell r="K721">
            <v>62.4</v>
          </cell>
          <cell r="L721" t="str">
            <v>WHSU6942470</v>
          </cell>
          <cell r="M721">
            <v>4</v>
          </cell>
          <cell r="N721" t="str">
            <v>40HQ</v>
          </cell>
          <cell r="O721">
            <v>2</v>
          </cell>
          <cell r="P721">
            <v>45855</v>
          </cell>
          <cell r="Q721">
            <v>45860</v>
          </cell>
          <cell r="R721" t="str">
            <v>火</v>
          </cell>
          <cell r="S721" t="str">
            <v>AM8:00</v>
          </cell>
        </row>
        <row r="722">
          <cell r="A722">
            <v>8872</v>
          </cell>
          <cell r="B722" t="str">
            <v>山本 和弥</v>
          </cell>
          <cell r="C722" t="str">
            <v>FUZILOGIX</v>
          </cell>
          <cell r="D722">
            <v>45852</v>
          </cell>
          <cell r="E722" t="str">
            <v>25T0703</v>
          </cell>
          <cell r="F722" t="str">
            <v>I000014369</v>
          </cell>
          <cell r="H722" t="str">
            <v>41466816960</v>
          </cell>
          <cell r="J722">
            <v>705903.68</v>
          </cell>
          <cell r="K722">
            <v>62.65</v>
          </cell>
          <cell r="L722" t="str">
            <v>WHSU8278632</v>
          </cell>
          <cell r="M722">
            <v>4</v>
          </cell>
          <cell r="N722" t="str">
            <v>40HQ</v>
          </cell>
          <cell r="O722">
            <v>2</v>
          </cell>
          <cell r="P722">
            <v>45855</v>
          </cell>
          <cell r="Q722">
            <v>45860</v>
          </cell>
          <cell r="R722" t="str">
            <v>火</v>
          </cell>
          <cell r="S722" t="str">
            <v>AM8:00</v>
          </cell>
        </row>
        <row r="723">
          <cell r="A723">
            <v>8873</v>
          </cell>
          <cell r="B723" t="str">
            <v>山本 和弥</v>
          </cell>
          <cell r="C723" t="str">
            <v>FUZILOGIX</v>
          </cell>
          <cell r="D723">
            <v>45852</v>
          </cell>
          <cell r="E723" t="str">
            <v>25T0704</v>
          </cell>
          <cell r="F723" t="str">
            <v>I000014381</v>
          </cell>
          <cell r="H723" t="str">
            <v>41466824000</v>
          </cell>
          <cell r="J723">
            <v>629668.97</v>
          </cell>
          <cell r="K723">
            <v>63.41</v>
          </cell>
          <cell r="L723" t="str">
            <v>WHSU8269570</v>
          </cell>
          <cell r="M723">
            <v>4</v>
          </cell>
          <cell r="N723" t="str">
            <v>40HQ</v>
          </cell>
          <cell r="O723">
            <v>2</v>
          </cell>
          <cell r="P723">
            <v>45855</v>
          </cell>
          <cell r="Q723">
            <v>45860</v>
          </cell>
          <cell r="R723" t="str">
            <v>火</v>
          </cell>
          <cell r="S723" t="str">
            <v>AM8:00</v>
          </cell>
        </row>
        <row r="724">
          <cell r="A724">
            <v>8874</v>
          </cell>
          <cell r="B724" t="str">
            <v>山本 和弥</v>
          </cell>
          <cell r="C724" t="str">
            <v>FUZILOGIX</v>
          </cell>
          <cell r="D724">
            <v>45852</v>
          </cell>
          <cell r="E724" t="str">
            <v>25T0705</v>
          </cell>
          <cell r="F724" t="str">
            <v>I000014374</v>
          </cell>
          <cell r="H724" t="str">
            <v>11784732250</v>
          </cell>
          <cell r="J724">
            <v>571583</v>
          </cell>
          <cell r="K724">
            <v>63.91</v>
          </cell>
          <cell r="L724" t="str">
            <v>HPCU4757425</v>
          </cell>
          <cell r="M724">
            <v>4</v>
          </cell>
          <cell r="N724" t="str">
            <v>40HQ</v>
          </cell>
          <cell r="O724">
            <v>5</v>
          </cell>
          <cell r="P724">
            <v>45859</v>
          </cell>
          <cell r="Q724">
            <v>45861</v>
          </cell>
          <cell r="R724" t="str">
            <v>水</v>
          </cell>
          <cell r="S724" t="str">
            <v>AM8:00</v>
          </cell>
        </row>
        <row r="725">
          <cell r="A725">
            <v>8875</v>
          </cell>
          <cell r="B725" t="str">
            <v>山本 和弥</v>
          </cell>
          <cell r="C725" t="str">
            <v>FUZILOGIX</v>
          </cell>
          <cell r="D725">
            <v>45861</v>
          </cell>
          <cell r="E725" t="str">
            <v>25T0706</v>
          </cell>
          <cell r="F725" t="str">
            <v>I000014385</v>
          </cell>
          <cell r="H725" t="str">
            <v>41469055010</v>
          </cell>
          <cell r="J725">
            <v>702934.04</v>
          </cell>
          <cell r="K725">
            <v>56.99</v>
          </cell>
          <cell r="L725" t="str">
            <v>WHSU8041297</v>
          </cell>
          <cell r="M725">
            <v>4</v>
          </cell>
          <cell r="N725" t="str">
            <v>40HQ</v>
          </cell>
          <cell r="O725">
            <v>2</v>
          </cell>
          <cell r="P725">
            <v>45862</v>
          </cell>
          <cell r="Q725">
            <v>45866</v>
          </cell>
          <cell r="R725" t="str">
            <v>月</v>
          </cell>
          <cell r="S725" t="str">
            <v>AM8:00</v>
          </cell>
        </row>
        <row r="726">
          <cell r="A726">
            <v>8876</v>
          </cell>
          <cell r="B726" t="str">
            <v>山本 和弥</v>
          </cell>
          <cell r="C726" t="str">
            <v>FUZILOGIX</v>
          </cell>
          <cell r="D726">
            <v>45862</v>
          </cell>
          <cell r="E726" t="str">
            <v>25T0707</v>
          </cell>
          <cell r="F726" t="str">
            <v>I000014388</v>
          </cell>
          <cell r="H726" t="str">
            <v>41469540660</v>
          </cell>
          <cell r="J726">
            <v>677254.9</v>
          </cell>
          <cell r="K726">
            <v>56.99</v>
          </cell>
          <cell r="L726" t="str">
            <v>WHSU6915388</v>
          </cell>
          <cell r="M726">
            <v>4</v>
          </cell>
          <cell r="N726" t="str">
            <v>40HQ</v>
          </cell>
          <cell r="O726">
            <v>2</v>
          </cell>
          <cell r="P726">
            <v>45863</v>
          </cell>
          <cell r="Q726">
            <v>45867</v>
          </cell>
          <cell r="R726" t="str">
            <v>火</v>
          </cell>
          <cell r="S726" t="str">
            <v>AM8:00</v>
          </cell>
        </row>
        <row r="727">
          <cell r="A727">
            <v>8877</v>
          </cell>
          <cell r="B727" t="str">
            <v>山本 和弥</v>
          </cell>
          <cell r="C727" t="str">
            <v>FUZILOGIX</v>
          </cell>
          <cell r="D727">
            <v>45862</v>
          </cell>
          <cell r="E727" t="str">
            <v>25T0707-2</v>
          </cell>
          <cell r="F727" t="str">
            <v>I000014388</v>
          </cell>
          <cell r="H727" t="str">
            <v>41469540660</v>
          </cell>
          <cell r="J727">
            <v>11693.8</v>
          </cell>
          <cell r="K727">
            <v>2.98</v>
          </cell>
          <cell r="L727" t="str">
            <v>WHSU6915388</v>
          </cell>
          <cell r="M727">
            <v>4</v>
          </cell>
          <cell r="N727" t="str">
            <v>40HQ</v>
          </cell>
          <cell r="O727">
            <v>2</v>
          </cell>
          <cell r="P727">
            <v>45863</v>
          </cell>
          <cell r="Q727">
            <v>45867</v>
          </cell>
          <cell r="R727" t="str">
            <v>火</v>
          </cell>
          <cell r="S727" t="str">
            <v>AM8:00</v>
          </cell>
        </row>
        <row r="728">
          <cell r="A728">
            <v>8878</v>
          </cell>
          <cell r="B728" t="str">
            <v>山本 和弥</v>
          </cell>
          <cell r="C728" t="str">
            <v>FUZILOGIX</v>
          </cell>
          <cell r="D728">
            <v>45863</v>
          </cell>
          <cell r="E728" t="str">
            <v>25T0708</v>
          </cell>
          <cell r="F728" t="str">
            <v>I000014413</v>
          </cell>
          <cell r="H728" t="str">
            <v>41470309260</v>
          </cell>
          <cell r="J728">
            <v>743136.49</v>
          </cell>
          <cell r="K728">
            <v>64.13</v>
          </cell>
          <cell r="L728" t="str">
            <v>WHSU5360006</v>
          </cell>
          <cell r="M728">
            <v>4</v>
          </cell>
          <cell r="N728" t="str">
            <v>40HQ</v>
          </cell>
          <cell r="O728">
            <v>2</v>
          </cell>
          <cell r="P728">
            <v>45866</v>
          </cell>
          <cell r="Q728">
            <v>45868</v>
          </cell>
          <cell r="R728" t="str">
            <v>水</v>
          </cell>
          <cell r="S728" t="str">
            <v>AM8:00</v>
          </cell>
        </row>
        <row r="729">
          <cell r="A729">
            <v>8879</v>
          </cell>
          <cell r="B729" t="str">
            <v>山本 和弥</v>
          </cell>
          <cell r="C729" t="str">
            <v>FUZILOGIX</v>
          </cell>
          <cell r="D729">
            <v>45866</v>
          </cell>
          <cell r="E729" t="str">
            <v>25T0709</v>
          </cell>
          <cell r="F729" t="str">
            <v>I000014405</v>
          </cell>
          <cell r="H729" t="str">
            <v>11788144050</v>
          </cell>
          <cell r="J729">
            <v>679843.7</v>
          </cell>
          <cell r="K729">
            <v>62.87</v>
          </cell>
          <cell r="L729" t="str">
            <v>WHSU8152027</v>
          </cell>
          <cell r="M729">
            <v>4</v>
          </cell>
          <cell r="N729" t="str">
            <v>40HQ</v>
          </cell>
          <cell r="O729">
            <v>5</v>
          </cell>
          <cell r="P729">
            <v>45867</v>
          </cell>
          <cell r="Q729">
            <v>45869</v>
          </cell>
          <cell r="R729" t="str">
            <v>木</v>
          </cell>
          <cell r="S729" t="str">
            <v>AM8:00</v>
          </cell>
        </row>
        <row r="730">
          <cell r="A730">
            <v>8880</v>
          </cell>
          <cell r="B730" t="str">
            <v>山本 和弥</v>
          </cell>
          <cell r="C730" t="str">
            <v>FUZILOGIX</v>
          </cell>
          <cell r="D730">
            <v>45868</v>
          </cell>
          <cell r="E730" t="str">
            <v>25T0710</v>
          </cell>
          <cell r="F730" t="str">
            <v>I000014421</v>
          </cell>
          <cell r="H730" t="str">
            <v>41471242250</v>
          </cell>
          <cell r="J730">
            <v>777425.66</v>
          </cell>
          <cell r="K730">
            <v>63.31</v>
          </cell>
          <cell r="L730" t="str">
            <v>WHSU6384980</v>
          </cell>
          <cell r="M730">
            <v>4</v>
          </cell>
          <cell r="N730" t="str">
            <v>40HQ</v>
          </cell>
          <cell r="O730">
            <v>2</v>
          </cell>
          <cell r="P730">
            <v>45868</v>
          </cell>
          <cell r="Q730">
            <v>45873</v>
          </cell>
          <cell r="R730" t="str">
            <v>月</v>
          </cell>
          <cell r="S730" t="str">
            <v>AM8:00</v>
          </cell>
        </row>
        <row r="731">
          <cell r="A731">
            <v>8881</v>
          </cell>
          <cell r="B731" t="str">
            <v>山本 和弥</v>
          </cell>
          <cell r="C731" t="str">
            <v>FUZILOGIX</v>
          </cell>
          <cell r="D731">
            <v>45868</v>
          </cell>
          <cell r="E731" t="str">
            <v>25T0711</v>
          </cell>
          <cell r="F731" t="str">
            <v>I000014428</v>
          </cell>
          <cell r="H731" t="str">
            <v>11792214660</v>
          </cell>
          <cell r="J731">
            <v>709301.6</v>
          </cell>
          <cell r="K731">
            <v>64.56</v>
          </cell>
          <cell r="L731" t="str">
            <v>WHSU5738360</v>
          </cell>
          <cell r="M731">
            <v>4</v>
          </cell>
          <cell r="N731" t="str">
            <v>40HQ</v>
          </cell>
          <cell r="O731">
            <v>5</v>
          </cell>
          <cell r="P731">
            <v>45872</v>
          </cell>
          <cell r="Q731">
            <v>45874</v>
          </cell>
          <cell r="R731" t="str">
            <v>水</v>
          </cell>
          <cell r="S731" t="str">
            <v>AM8:00</v>
          </cell>
        </row>
        <row r="732">
          <cell r="A732">
            <v>8882</v>
          </cell>
          <cell r="B732" t="str">
            <v>山本 和弥</v>
          </cell>
          <cell r="C732" t="str">
            <v>FUZILOGIX</v>
          </cell>
          <cell r="D732">
            <v>45868</v>
          </cell>
          <cell r="E732" t="str">
            <v>25T0712</v>
          </cell>
          <cell r="F732" t="str">
            <v>I000014429</v>
          </cell>
          <cell r="H732" t="str">
            <v>41473922330</v>
          </cell>
          <cell r="J732">
            <v>741706.62</v>
          </cell>
          <cell r="K732">
            <v>62.5</v>
          </cell>
          <cell r="L732" t="str">
            <v>WHSU5534807</v>
          </cell>
          <cell r="M732">
            <v>4</v>
          </cell>
          <cell r="N732" t="str">
            <v>40HQ</v>
          </cell>
          <cell r="O732">
            <v>2</v>
          </cell>
          <cell r="P732">
            <v>45875</v>
          </cell>
          <cell r="Q732">
            <v>45877</v>
          </cell>
          <cell r="R732" t="str">
            <v>金</v>
          </cell>
          <cell r="S732" t="str">
            <v>AM8:00</v>
          </cell>
        </row>
        <row r="733">
          <cell r="A733">
            <v>8883</v>
          </cell>
          <cell r="B733" t="str">
            <v>山本 和弥</v>
          </cell>
          <cell r="C733" t="str">
            <v>FUZILOGIX</v>
          </cell>
          <cell r="D733">
            <v>45868</v>
          </cell>
          <cell r="E733" t="str">
            <v>25T0714</v>
          </cell>
          <cell r="F733" t="str">
            <v>I000014434</v>
          </cell>
          <cell r="H733" t="str">
            <v>41473922330</v>
          </cell>
          <cell r="J733">
            <v>655411.4</v>
          </cell>
          <cell r="K733">
            <v>64.41</v>
          </cell>
          <cell r="L733" t="str">
            <v>WHSU6908671</v>
          </cell>
          <cell r="M733">
            <v>4</v>
          </cell>
          <cell r="N733" t="str">
            <v>40HQ</v>
          </cell>
          <cell r="O733">
            <v>2</v>
          </cell>
          <cell r="P733">
            <v>45875</v>
          </cell>
          <cell r="Q733">
            <v>45877</v>
          </cell>
          <cell r="R733" t="str">
            <v>金</v>
          </cell>
          <cell r="S733" t="str">
            <v>AM8:00</v>
          </cell>
        </row>
        <row r="734">
          <cell r="A734">
            <v>8884</v>
          </cell>
          <cell r="B734" t="str">
            <v>山本 和弥</v>
          </cell>
          <cell r="C734" t="str">
            <v>FUZILOGIX</v>
          </cell>
          <cell r="D734">
            <v>45874</v>
          </cell>
          <cell r="E734" t="str">
            <v>25T0713</v>
          </cell>
          <cell r="F734" t="str">
            <v>I000014443</v>
          </cell>
          <cell r="H734" t="str">
            <v>11792208620</v>
          </cell>
          <cell r="J734">
            <v>774798.4</v>
          </cell>
          <cell r="K734">
            <v>63.29</v>
          </cell>
          <cell r="L734" t="str">
            <v>WHSU6757385</v>
          </cell>
          <cell r="M734">
            <v>4</v>
          </cell>
          <cell r="N734" t="str">
            <v>40HQ</v>
          </cell>
          <cell r="O734">
            <v>5</v>
          </cell>
          <cell r="P734">
            <v>45879</v>
          </cell>
          <cell r="Q734">
            <v>45888</v>
          </cell>
          <cell r="R734" t="str">
            <v>火</v>
          </cell>
          <cell r="S734" t="str">
            <v>AM8:00</v>
          </cell>
        </row>
        <row r="735">
          <cell r="A735">
            <v>8885</v>
          </cell>
          <cell r="B735" t="str">
            <v>山本 和弥</v>
          </cell>
          <cell r="C735" t="str">
            <v>FUZILOGIX</v>
          </cell>
          <cell r="D735">
            <v>45875</v>
          </cell>
          <cell r="E735" t="str">
            <v>25T0801</v>
          </cell>
          <cell r="F735" t="str">
            <v>I000014453</v>
          </cell>
          <cell r="H735" t="str">
            <v>11794359720</v>
          </cell>
          <cell r="J735">
            <v>638750.4</v>
          </cell>
          <cell r="K735">
            <v>65.16</v>
          </cell>
          <cell r="L735" t="str">
            <v>WHSU8135230</v>
          </cell>
          <cell r="M735">
            <v>4</v>
          </cell>
          <cell r="N735" t="str">
            <v>40HQ</v>
          </cell>
          <cell r="O735">
            <v>5</v>
          </cell>
          <cell r="P735">
            <v>45880</v>
          </cell>
          <cell r="Q735">
            <v>45888</v>
          </cell>
          <cell r="R735" t="str">
            <v>火</v>
          </cell>
          <cell r="S735" t="str">
            <v>AM8:00</v>
          </cell>
        </row>
        <row r="736">
          <cell r="A736">
            <v>8886</v>
          </cell>
          <cell r="B736" t="str">
            <v>山本 和弥</v>
          </cell>
          <cell r="C736" t="str">
            <v>FUZILOGIX</v>
          </cell>
          <cell r="D736">
            <v>45876</v>
          </cell>
          <cell r="E736" t="str">
            <v>25T0715</v>
          </cell>
          <cell r="F736" t="str">
            <v>I000014448</v>
          </cell>
          <cell r="H736" t="str">
            <v>41473968750</v>
          </cell>
          <cell r="J736">
            <v>720940.48</v>
          </cell>
          <cell r="K736">
            <v>64.14</v>
          </cell>
          <cell r="L736" t="str">
            <v>WHSU6886525</v>
          </cell>
          <cell r="M736">
            <v>4</v>
          </cell>
          <cell r="N736" t="str">
            <v>40HQ</v>
          </cell>
          <cell r="O736">
            <v>2</v>
          </cell>
          <cell r="P736">
            <v>45879</v>
          </cell>
          <cell r="Q736">
            <v>45888</v>
          </cell>
          <cell r="R736" t="str">
            <v>火</v>
          </cell>
          <cell r="S736" t="str">
            <v>AM8:00</v>
          </cell>
        </row>
        <row r="737">
          <cell r="A737">
            <v>8887</v>
          </cell>
          <cell r="B737" t="str">
            <v>山本 和弥</v>
          </cell>
          <cell r="C737" t="str">
            <v>FUZILOGIX</v>
          </cell>
          <cell r="D737">
            <v>45876</v>
          </cell>
          <cell r="E737" t="str">
            <v>25T0802</v>
          </cell>
          <cell r="F737" t="str">
            <v>I000014455</v>
          </cell>
          <cell r="H737" t="str">
            <v>41475490810</v>
          </cell>
          <cell r="J737">
            <v>714424</v>
          </cell>
          <cell r="K737">
            <v>63.89</v>
          </cell>
          <cell r="L737" t="str">
            <v>WHSU6833720</v>
          </cell>
          <cell r="M737">
            <v>4</v>
          </cell>
          <cell r="N737" t="str">
            <v>40HQ</v>
          </cell>
          <cell r="O737">
            <v>2</v>
          </cell>
          <cell r="P737">
            <v>45882</v>
          </cell>
          <cell r="Q737">
            <v>45888</v>
          </cell>
          <cell r="R737" t="str">
            <v>火</v>
          </cell>
          <cell r="S737" t="str">
            <v>AM8:00</v>
          </cell>
        </row>
        <row r="738">
          <cell r="A738">
            <v>8888</v>
          </cell>
          <cell r="B738" t="str">
            <v>山本 和弥</v>
          </cell>
          <cell r="C738" t="str">
            <v>FUZILOGIX</v>
          </cell>
          <cell r="D738">
            <v>45877</v>
          </cell>
          <cell r="E738" t="str">
            <v>25T0803</v>
          </cell>
          <cell r="F738" t="str">
            <v>I000014462</v>
          </cell>
          <cell r="H738" t="str">
            <v>11794380350</v>
          </cell>
          <cell r="J738">
            <v>631541.64</v>
          </cell>
          <cell r="K738">
            <v>62.2</v>
          </cell>
          <cell r="L738" t="str">
            <v>WHSU6706834</v>
          </cell>
          <cell r="M738">
            <v>4</v>
          </cell>
          <cell r="N738" t="str">
            <v>40HQ</v>
          </cell>
          <cell r="O738">
            <v>5</v>
          </cell>
          <cell r="P738">
            <v>45884</v>
          </cell>
          <cell r="Q738">
            <v>45888</v>
          </cell>
          <cell r="R738" t="str">
            <v>火</v>
          </cell>
          <cell r="S738" t="str">
            <v>AM8:00</v>
          </cell>
        </row>
        <row r="739">
          <cell r="A739">
            <v>8889</v>
          </cell>
          <cell r="B739" t="str">
            <v>山本 和弥</v>
          </cell>
          <cell r="C739" t="str">
            <v>FUZILOGIX</v>
          </cell>
          <cell r="D739">
            <v>45877</v>
          </cell>
          <cell r="E739" t="str">
            <v>25T0805</v>
          </cell>
          <cell r="F739" t="str">
            <v>I000014468</v>
          </cell>
          <cell r="H739" t="str">
            <v>11794380350</v>
          </cell>
          <cell r="J739">
            <v>590261.69999999995</v>
          </cell>
          <cell r="K739">
            <v>63.26</v>
          </cell>
          <cell r="L739" t="str">
            <v>WHSU8325190</v>
          </cell>
          <cell r="M739">
            <v>4</v>
          </cell>
          <cell r="N739" t="str">
            <v>20GP</v>
          </cell>
          <cell r="O739">
            <v>5</v>
          </cell>
          <cell r="P739">
            <v>45884</v>
          </cell>
          <cell r="Q739">
            <v>45888</v>
          </cell>
          <cell r="R739" t="str">
            <v>火</v>
          </cell>
          <cell r="S739" t="str">
            <v>AM8:00</v>
          </cell>
        </row>
        <row r="740">
          <cell r="A740">
            <v>8890</v>
          </cell>
          <cell r="B740" t="str">
            <v>山本 和弥</v>
          </cell>
          <cell r="C740" t="str">
            <v>FUZILOGIX</v>
          </cell>
          <cell r="D740">
            <v>45877</v>
          </cell>
          <cell r="E740" t="str">
            <v>25T0716</v>
          </cell>
          <cell r="F740" t="str">
            <v>I000014444</v>
          </cell>
          <cell r="J740">
            <v>394811.32</v>
          </cell>
          <cell r="K740">
            <v>40.33</v>
          </cell>
          <cell r="O740">
            <v>9</v>
          </cell>
          <cell r="P740">
            <v>45870</v>
          </cell>
        </row>
        <row r="741">
          <cell r="A741">
            <v>8891</v>
          </cell>
          <cell r="B741" t="str">
            <v>山本 和弥</v>
          </cell>
          <cell r="C741" t="str">
            <v>FUZILOGIX</v>
          </cell>
          <cell r="D741">
            <v>45887</v>
          </cell>
          <cell r="E741" t="str">
            <v>25T0804</v>
          </cell>
          <cell r="F741" t="str">
            <v>I000014471</v>
          </cell>
          <cell r="H741" t="str">
            <v>41475804040</v>
          </cell>
          <cell r="J741">
            <v>671534.4</v>
          </cell>
          <cell r="K741">
            <v>62.42</v>
          </cell>
          <cell r="L741" t="str">
            <v>WHSU6805903</v>
          </cell>
          <cell r="M741">
            <v>4</v>
          </cell>
          <cell r="N741" t="str">
            <v>40HQ</v>
          </cell>
          <cell r="O741">
            <v>2</v>
          </cell>
          <cell r="P741">
            <v>45889</v>
          </cell>
          <cell r="Q741">
            <v>45891</v>
          </cell>
          <cell r="R741" t="str">
            <v>金</v>
          </cell>
          <cell r="S741" t="str">
            <v>AM8:00</v>
          </cell>
        </row>
        <row r="742">
          <cell r="A742">
            <v>8892</v>
          </cell>
          <cell r="B742" t="str">
            <v>山本 和弥</v>
          </cell>
          <cell r="C742" t="str">
            <v>FUZILOGIX</v>
          </cell>
          <cell r="D742">
            <v>45887</v>
          </cell>
          <cell r="E742" t="str">
            <v>25T0806</v>
          </cell>
          <cell r="F742" t="str">
            <v>I000014476</v>
          </cell>
          <cell r="H742" t="str">
            <v>41475804040</v>
          </cell>
          <cell r="J742">
            <v>777353.78</v>
          </cell>
          <cell r="K742">
            <v>63.1</v>
          </cell>
          <cell r="L742" t="str">
            <v>WHSU5471355</v>
          </cell>
          <cell r="M742">
            <v>4</v>
          </cell>
          <cell r="N742" t="str">
            <v>40HQ</v>
          </cell>
          <cell r="O742">
            <v>2</v>
          </cell>
          <cell r="P742">
            <v>45889</v>
          </cell>
          <cell r="Q742">
            <v>45891</v>
          </cell>
          <cell r="R742" t="str">
            <v>金</v>
          </cell>
          <cell r="S742" t="str">
            <v>AM8:00</v>
          </cell>
        </row>
        <row r="743">
          <cell r="A743">
            <v>8893</v>
          </cell>
          <cell r="B743" t="str">
            <v>山本 和弥</v>
          </cell>
          <cell r="C743" t="str">
            <v>FUZILOGIX</v>
          </cell>
          <cell r="D743">
            <v>45891</v>
          </cell>
          <cell r="E743" t="str">
            <v>25T0808</v>
          </cell>
          <cell r="F743" t="str">
            <v>I000014529</v>
          </cell>
          <cell r="H743" t="str">
            <v>41478574750</v>
          </cell>
          <cell r="J743">
            <v>897620.12</v>
          </cell>
          <cell r="K743">
            <v>62.78</v>
          </cell>
          <cell r="L743" t="str">
            <v>WHSU6555131</v>
          </cell>
          <cell r="M743">
            <v>4</v>
          </cell>
          <cell r="N743" t="str">
            <v>40HQ</v>
          </cell>
          <cell r="O743">
            <v>2</v>
          </cell>
          <cell r="P743">
            <v>45897</v>
          </cell>
          <cell r="Q743">
            <v>45901</v>
          </cell>
          <cell r="R743" t="str">
            <v>月</v>
          </cell>
          <cell r="S743" t="str">
            <v>AM8:00</v>
          </cell>
        </row>
        <row r="744">
          <cell r="A744">
            <v>8894</v>
          </cell>
          <cell r="B744" t="str">
            <v>山本 和弥</v>
          </cell>
          <cell r="C744" t="str">
            <v>FUZILOGIX</v>
          </cell>
          <cell r="D744">
            <v>45891</v>
          </cell>
          <cell r="E744" t="str">
            <v>25T0809</v>
          </cell>
          <cell r="F744" t="str">
            <v>I000014539</v>
          </cell>
          <cell r="H744" t="str">
            <v>41478574750</v>
          </cell>
          <cell r="J744">
            <v>794103.82</v>
          </cell>
          <cell r="K744">
            <v>61.52</v>
          </cell>
          <cell r="L744" t="str">
            <v>WHSU6508823</v>
          </cell>
          <cell r="M744">
            <v>4</v>
          </cell>
          <cell r="N744" t="str">
            <v>40HQ</v>
          </cell>
          <cell r="O744">
            <v>2</v>
          </cell>
          <cell r="P744">
            <v>45897</v>
          </cell>
          <cell r="Q744">
            <v>45901</v>
          </cell>
          <cell r="R744" t="str">
            <v>月</v>
          </cell>
          <cell r="S744" t="str">
            <v>AM8:00</v>
          </cell>
        </row>
        <row r="745">
          <cell r="A745">
            <v>8895</v>
          </cell>
          <cell r="B745" t="str">
            <v>山本 和弥</v>
          </cell>
          <cell r="C745" t="str">
            <v>FUZILOGIX</v>
          </cell>
          <cell r="D745">
            <v>45891</v>
          </cell>
          <cell r="E745" t="str">
            <v>25T0807</v>
          </cell>
          <cell r="F745" t="str">
            <v>I000014485</v>
          </cell>
          <cell r="H745" t="str">
            <v>11798035750</v>
          </cell>
          <cell r="J745">
            <v>637832.6</v>
          </cell>
          <cell r="K745">
            <v>62.79</v>
          </cell>
          <cell r="L745" t="str">
            <v>WHSU8173185</v>
          </cell>
          <cell r="M745">
            <v>4</v>
          </cell>
          <cell r="N745" t="str">
            <v>40HQ</v>
          </cell>
          <cell r="O745">
            <v>5</v>
          </cell>
          <cell r="P745">
            <v>45895</v>
          </cell>
          <cell r="Q745">
            <v>45897</v>
          </cell>
          <cell r="R745" t="str">
            <v>木</v>
          </cell>
          <cell r="S745" t="str">
            <v>AM8:00</v>
          </cell>
        </row>
        <row r="746">
          <cell r="A746">
            <v>8896</v>
          </cell>
          <cell r="B746" t="str">
            <v>山本 和弥</v>
          </cell>
          <cell r="C746" t="str">
            <v>FUZILOGIX</v>
          </cell>
          <cell r="D746">
            <v>45894</v>
          </cell>
          <cell r="E746" t="str">
            <v>25T0810</v>
          </cell>
          <cell r="F746" t="str">
            <v>I000014544</v>
          </cell>
          <cell r="H746" t="str">
            <v>41481126400</v>
          </cell>
          <cell r="J746">
            <v>736872.3</v>
          </cell>
          <cell r="K746">
            <v>59.58</v>
          </cell>
          <cell r="L746" t="str">
            <v>WHSU6489955</v>
          </cell>
          <cell r="M746">
            <v>4</v>
          </cell>
          <cell r="N746" t="str">
            <v>40HQ</v>
          </cell>
          <cell r="O746">
            <v>2</v>
          </cell>
          <cell r="P746">
            <v>45903</v>
          </cell>
          <cell r="Q746">
            <v>45905</v>
          </cell>
          <cell r="R746" t="str">
            <v>金</v>
          </cell>
          <cell r="S746" t="str">
            <v>AM8:00</v>
          </cell>
        </row>
        <row r="747">
          <cell r="A747">
            <v>8897</v>
          </cell>
          <cell r="B747" t="str">
            <v>山本 和弥</v>
          </cell>
          <cell r="C747" t="str">
            <v>FUZILOGIX</v>
          </cell>
          <cell r="D747">
            <v>45894</v>
          </cell>
          <cell r="E747" t="str">
            <v>25T0811</v>
          </cell>
          <cell r="F747" t="str">
            <v>I000014547</v>
          </cell>
          <cell r="H747" t="str">
            <v>11801114130</v>
          </cell>
          <cell r="J747">
            <v>586255.84</v>
          </cell>
          <cell r="K747">
            <v>63.88</v>
          </cell>
          <cell r="L747" t="str">
            <v>WHSU6621819</v>
          </cell>
          <cell r="M747">
            <v>4</v>
          </cell>
          <cell r="N747" t="str">
            <v>40HQ</v>
          </cell>
          <cell r="O747">
            <v>5</v>
          </cell>
          <cell r="P747">
            <v>45900</v>
          </cell>
          <cell r="Q747">
            <v>45902</v>
          </cell>
          <cell r="R747" t="str">
            <v>火</v>
          </cell>
          <cell r="S747" t="str">
            <v>AM8:00</v>
          </cell>
        </row>
        <row r="748">
          <cell r="A748">
            <v>8898</v>
          </cell>
          <cell r="B748" t="str">
            <v>山本 和弥</v>
          </cell>
          <cell r="C748" t="str">
            <v>FUZILOGIX</v>
          </cell>
          <cell r="D748">
            <v>45898</v>
          </cell>
          <cell r="E748" t="str">
            <v>25T0812</v>
          </cell>
          <cell r="F748" t="str">
            <v>I000014550</v>
          </cell>
          <cell r="H748" t="str">
            <v>41481619200</v>
          </cell>
          <cell r="J748">
            <v>796342.02</v>
          </cell>
          <cell r="K748">
            <v>57</v>
          </cell>
          <cell r="L748" t="str">
            <v>TCKU7583549</v>
          </cell>
          <cell r="M748">
            <v>4</v>
          </cell>
          <cell r="N748" t="str">
            <v>40HQ</v>
          </cell>
          <cell r="O748">
            <v>2</v>
          </cell>
          <cell r="P748">
            <v>45903</v>
          </cell>
          <cell r="Q748">
            <v>45905</v>
          </cell>
          <cell r="R748" t="str">
            <v>金</v>
          </cell>
          <cell r="S748" t="str">
            <v>AM8:00</v>
          </cell>
        </row>
        <row r="749">
          <cell r="A749">
            <v>8899</v>
          </cell>
          <cell r="B749" t="str">
            <v>山本 和弥</v>
          </cell>
          <cell r="C749" t="str">
            <v>FUZILOGIX</v>
          </cell>
          <cell r="D749">
            <v>45901</v>
          </cell>
          <cell r="E749" t="str">
            <v>25T0813</v>
          </cell>
          <cell r="F749" t="str">
            <v>I000014555</v>
          </cell>
          <cell r="H749" t="str">
            <v>41481619200</v>
          </cell>
          <cell r="J749">
            <v>623578.4</v>
          </cell>
          <cell r="K749">
            <v>62.14</v>
          </cell>
          <cell r="L749" t="str">
            <v>WHSU5173941</v>
          </cell>
          <cell r="M749">
            <v>4</v>
          </cell>
          <cell r="N749" t="str">
            <v>40HQ</v>
          </cell>
          <cell r="O749">
            <v>2</v>
          </cell>
          <cell r="P749">
            <v>45903</v>
          </cell>
          <cell r="Q749">
            <v>45905</v>
          </cell>
          <cell r="R749" t="str">
            <v>金</v>
          </cell>
          <cell r="S749" t="str">
            <v>AM8:00</v>
          </cell>
        </row>
        <row r="750">
          <cell r="A750">
            <v>8900</v>
          </cell>
          <cell r="B750" t="str">
            <v>山本 和弥</v>
          </cell>
          <cell r="C750" t="str">
            <v>FUZILOGIX</v>
          </cell>
          <cell r="D750">
            <v>45901</v>
          </cell>
          <cell r="E750" t="str">
            <v>25T0814</v>
          </cell>
          <cell r="F750" t="str">
            <v>I000014574</v>
          </cell>
          <cell r="H750" t="str">
            <v>11803476260</v>
          </cell>
          <cell r="J750">
            <v>572940.31999999995</v>
          </cell>
          <cell r="K750">
            <v>65.23</v>
          </cell>
          <cell r="L750" t="str">
            <v>WHSU6896971</v>
          </cell>
          <cell r="M750">
            <v>4</v>
          </cell>
          <cell r="N750" t="str">
            <v>40HQ</v>
          </cell>
          <cell r="O750">
            <v>5</v>
          </cell>
          <cell r="P750">
            <v>45910</v>
          </cell>
          <cell r="Q750">
            <v>45912</v>
          </cell>
          <cell r="R750" t="str">
            <v>金</v>
          </cell>
          <cell r="S750" t="str">
            <v>AM8:00</v>
          </cell>
        </row>
        <row r="751">
          <cell r="A751">
            <v>8901</v>
          </cell>
          <cell r="B751" t="str">
            <v>山本 和弥</v>
          </cell>
          <cell r="C751" t="str">
            <v>FUZILOGIX</v>
          </cell>
          <cell r="D751">
            <v>45903</v>
          </cell>
          <cell r="E751" t="str">
            <v>25T0815</v>
          </cell>
          <cell r="F751" t="str">
            <v>I000014565</v>
          </cell>
          <cell r="H751" t="str">
            <v>41482553550</v>
          </cell>
          <cell r="J751">
            <v>673986.32</v>
          </cell>
          <cell r="K751">
            <v>63.71</v>
          </cell>
          <cell r="L751" t="str">
            <v>WHSU6516120</v>
          </cell>
          <cell r="M751">
            <v>4</v>
          </cell>
          <cell r="N751" t="str">
            <v>40HQ</v>
          </cell>
          <cell r="O751">
            <v>2</v>
          </cell>
          <cell r="P751">
            <v>45908</v>
          </cell>
          <cell r="Q751">
            <v>45910</v>
          </cell>
          <cell r="R751" t="str">
            <v>水</v>
          </cell>
          <cell r="S751" t="str">
            <v>AM8:00</v>
          </cell>
        </row>
        <row r="752">
          <cell r="A752">
            <v>8902</v>
          </cell>
          <cell r="B752" t="str">
            <v>山本 和弥</v>
          </cell>
          <cell r="C752" t="str">
            <v>FUZILOGIX</v>
          </cell>
          <cell r="D752">
            <v>45905</v>
          </cell>
          <cell r="E752" t="str">
            <v>25T0901</v>
          </cell>
          <cell r="F752" t="str">
            <v>I000014586</v>
          </cell>
          <cell r="H752" t="str">
            <v>41483619650</v>
          </cell>
          <cell r="J752">
            <v>833330.78</v>
          </cell>
          <cell r="K752">
            <v>64.180000000000007</v>
          </cell>
          <cell r="L752" t="str">
            <v>WHSU8155411</v>
          </cell>
          <cell r="M752">
            <v>4</v>
          </cell>
          <cell r="N752" t="str">
            <v>40HQ</v>
          </cell>
          <cell r="O752">
            <v>2</v>
          </cell>
          <cell r="P752">
            <v>45910</v>
          </cell>
          <cell r="Q752">
            <v>45912</v>
          </cell>
          <cell r="R752" t="str">
            <v>金</v>
          </cell>
          <cell r="S752" t="str">
            <v>AM8:00</v>
          </cell>
        </row>
        <row r="753">
          <cell r="A753">
            <v>8903</v>
          </cell>
          <cell r="B753" t="str">
            <v>山本 和弥</v>
          </cell>
          <cell r="C753" t="str">
            <v>FUZILOGIX</v>
          </cell>
          <cell r="D753">
            <v>45908</v>
          </cell>
          <cell r="E753" t="str">
            <v>25T0902</v>
          </cell>
          <cell r="F753" t="str">
            <v>I000014597</v>
          </cell>
          <cell r="H753" t="str">
            <v>11807711850</v>
          </cell>
          <cell r="J753">
            <v>630946.02</v>
          </cell>
          <cell r="K753">
            <v>64.61</v>
          </cell>
          <cell r="L753" t="str">
            <v>WHSU5718722</v>
          </cell>
          <cell r="M753">
            <v>4</v>
          </cell>
          <cell r="N753" t="str">
            <v>40HQ</v>
          </cell>
          <cell r="O753">
            <v>5</v>
          </cell>
          <cell r="P753">
            <v>45915</v>
          </cell>
          <cell r="Q753">
            <v>45917</v>
          </cell>
          <cell r="R753" t="str">
            <v>水</v>
          </cell>
          <cell r="S753" t="str">
            <v>AM8:00</v>
          </cell>
        </row>
        <row r="754">
          <cell r="A754">
            <v>8904</v>
          </cell>
          <cell r="B754" t="str">
            <v>山本 和弥</v>
          </cell>
          <cell r="C754" t="str">
            <v>FUZILOGIX</v>
          </cell>
          <cell r="D754">
            <v>45908</v>
          </cell>
          <cell r="E754" t="str">
            <v>25T0818</v>
          </cell>
          <cell r="F754" t="str">
            <v>I000014576</v>
          </cell>
          <cell r="H754" t="str">
            <v>41482553550</v>
          </cell>
          <cell r="J754">
            <v>641785.54</v>
          </cell>
          <cell r="K754">
            <v>65.72</v>
          </cell>
          <cell r="L754" t="str">
            <v>WHSU5031886</v>
          </cell>
          <cell r="M754">
            <v>4</v>
          </cell>
          <cell r="N754" t="str">
            <v>40HQ</v>
          </cell>
          <cell r="O754">
            <v>2</v>
          </cell>
          <cell r="P754">
            <v>45908</v>
          </cell>
          <cell r="Q754">
            <v>45910</v>
          </cell>
          <cell r="R754" t="str">
            <v>水</v>
          </cell>
          <cell r="S754" t="str">
            <v>AM8:00</v>
          </cell>
        </row>
        <row r="755">
          <cell r="A755">
            <v>8905</v>
          </cell>
          <cell r="B755" t="str">
            <v>山本 和弥</v>
          </cell>
          <cell r="C755" t="str">
            <v>FUZILOGIX</v>
          </cell>
          <cell r="D755">
            <v>45911</v>
          </cell>
          <cell r="E755" t="str">
            <v>25T0903</v>
          </cell>
          <cell r="F755" t="str">
            <v>I000014602</v>
          </cell>
          <cell r="J755">
            <v>991248.96</v>
          </cell>
          <cell r="K755">
            <v>64.28</v>
          </cell>
          <cell r="L755" t="str">
            <v>CSNU8086904</v>
          </cell>
          <cell r="M755">
            <v>4</v>
          </cell>
          <cell r="N755" t="str">
            <v>40HQ</v>
          </cell>
          <cell r="O755">
            <v>2</v>
          </cell>
          <cell r="P755">
            <v>45917</v>
          </cell>
          <cell r="Q755">
            <v>45919</v>
          </cell>
          <cell r="R755" t="str">
            <v>金</v>
          </cell>
          <cell r="S755" t="str">
            <v>AM8:00</v>
          </cell>
        </row>
        <row r="756">
          <cell r="A756">
            <v>8906</v>
          </cell>
          <cell r="B756" t="str">
            <v>山本 和弥</v>
          </cell>
          <cell r="C756" t="str">
            <v>FUZILOGIX</v>
          </cell>
          <cell r="D756">
            <v>45912</v>
          </cell>
          <cell r="E756" t="str">
            <v>25T0905</v>
          </cell>
          <cell r="F756" t="str">
            <v>I000014608</v>
          </cell>
          <cell r="J756">
            <v>822403.14</v>
          </cell>
          <cell r="K756">
            <v>65.16</v>
          </cell>
          <cell r="L756" t="str">
            <v>GCXU5069466</v>
          </cell>
          <cell r="M756">
            <v>4</v>
          </cell>
          <cell r="N756" t="str">
            <v>40HQ</v>
          </cell>
          <cell r="O756">
            <v>2</v>
          </cell>
          <cell r="P756">
            <v>45917</v>
          </cell>
          <cell r="Q756">
            <v>45919</v>
          </cell>
          <cell r="R756" t="str">
            <v>金</v>
          </cell>
          <cell r="S756" t="str">
            <v>AM8:00</v>
          </cell>
        </row>
        <row r="757">
          <cell r="A757">
            <v>8907</v>
          </cell>
          <cell r="B757" t="str">
            <v>山本 和弥</v>
          </cell>
          <cell r="C757" t="str">
            <v>FUZILOGIX</v>
          </cell>
          <cell r="D757">
            <v>45912</v>
          </cell>
          <cell r="E757" t="str">
            <v>25T0816</v>
          </cell>
          <cell r="F757" t="str">
            <v>T00000017</v>
          </cell>
          <cell r="J757">
            <v>568180</v>
          </cell>
          <cell r="K757">
            <v>61.27</v>
          </cell>
          <cell r="L757" t="str">
            <v>WHSU8295753</v>
          </cell>
          <cell r="N757" t="str">
            <v>40HQ</v>
          </cell>
        </row>
        <row r="758">
          <cell r="A758">
            <v>8908</v>
          </cell>
          <cell r="B758" t="str">
            <v>山本 和弥</v>
          </cell>
          <cell r="C758" t="str">
            <v>FUZILOGIX</v>
          </cell>
          <cell r="D758">
            <v>45912</v>
          </cell>
          <cell r="E758" t="str">
            <v>25T0817</v>
          </cell>
          <cell r="F758" t="str">
            <v>T00000018</v>
          </cell>
          <cell r="J758">
            <v>284090</v>
          </cell>
          <cell r="K758">
            <v>30.63</v>
          </cell>
          <cell r="L758" t="str">
            <v>WHSU8295753</v>
          </cell>
          <cell r="N758" t="str">
            <v>40HQ</v>
          </cell>
        </row>
        <row r="759">
          <cell r="A759">
            <v>8909</v>
          </cell>
          <cell r="B759" t="str">
            <v>山本 和弥</v>
          </cell>
          <cell r="C759" t="str">
            <v>FUZILOGIX</v>
          </cell>
          <cell r="D759">
            <v>45916</v>
          </cell>
          <cell r="E759" t="str">
            <v>25T0916</v>
          </cell>
          <cell r="F759" t="str">
            <v>T00000019</v>
          </cell>
          <cell r="J759">
            <v>568180</v>
          </cell>
          <cell r="K759">
            <v>61.28</v>
          </cell>
          <cell r="L759" t="str">
            <v>WHSU5660298</v>
          </cell>
          <cell r="N759" t="str">
            <v>40HQ</v>
          </cell>
        </row>
        <row r="760">
          <cell r="A760">
            <v>8910</v>
          </cell>
          <cell r="B760" t="str">
            <v>山本 和弥</v>
          </cell>
          <cell r="C760" t="str">
            <v>FUZILOGIX</v>
          </cell>
          <cell r="D760">
            <v>45916</v>
          </cell>
          <cell r="E760" t="str">
            <v>25T0904</v>
          </cell>
          <cell r="F760" t="str">
            <v>I000014613</v>
          </cell>
          <cell r="J760">
            <v>821340.06</v>
          </cell>
          <cell r="K760">
            <v>62.7</v>
          </cell>
          <cell r="L760" t="str">
            <v>WHSU8142306</v>
          </cell>
          <cell r="M760">
            <v>4</v>
          </cell>
          <cell r="N760" t="str">
            <v>40HQ</v>
          </cell>
          <cell r="O760">
            <v>5</v>
          </cell>
          <cell r="P760">
            <v>45921</v>
          </cell>
          <cell r="Q760">
            <v>45923</v>
          </cell>
          <cell r="R760" t="str">
            <v>火</v>
          </cell>
          <cell r="S760" t="str">
            <v>AM8:00</v>
          </cell>
        </row>
        <row r="761">
          <cell r="A761">
            <v>8911</v>
          </cell>
          <cell r="B761" t="str">
            <v>山本 和弥</v>
          </cell>
          <cell r="C761" t="str">
            <v>FUZILOGIX</v>
          </cell>
          <cell r="D761">
            <v>45916</v>
          </cell>
          <cell r="E761" t="str">
            <v>25T0906</v>
          </cell>
          <cell r="F761" t="str">
            <v>I000014618</v>
          </cell>
          <cell r="J761">
            <v>816085.8</v>
          </cell>
          <cell r="K761">
            <v>65.59</v>
          </cell>
          <cell r="L761" t="str">
            <v>WHSU8178021</v>
          </cell>
          <cell r="M761">
            <v>4</v>
          </cell>
          <cell r="N761" t="str">
            <v>40HQ</v>
          </cell>
          <cell r="O761">
            <v>2</v>
          </cell>
          <cell r="P761">
            <v>45923</v>
          </cell>
          <cell r="Q761">
            <v>45925</v>
          </cell>
          <cell r="R761" t="str">
            <v>木</v>
          </cell>
          <cell r="S761" t="str">
            <v>AM8:00</v>
          </cell>
        </row>
        <row r="762">
          <cell r="A762">
            <v>8912</v>
          </cell>
          <cell r="B762" t="str">
            <v>山本 和弥</v>
          </cell>
          <cell r="C762" t="str">
            <v>FUZILOGIX</v>
          </cell>
          <cell r="D762">
            <v>45917</v>
          </cell>
          <cell r="E762" t="str">
            <v>25T0908</v>
          </cell>
          <cell r="F762" t="str">
            <v>I000014628</v>
          </cell>
          <cell r="J762">
            <v>711783.66</v>
          </cell>
          <cell r="K762">
            <v>61.31</v>
          </cell>
          <cell r="L762" t="str">
            <v>OOCU6497810</v>
          </cell>
          <cell r="M762">
            <v>4</v>
          </cell>
          <cell r="N762" t="str">
            <v>40HQ</v>
          </cell>
          <cell r="O762">
            <v>5</v>
          </cell>
          <cell r="P762">
            <v>45925</v>
          </cell>
          <cell r="Q762">
            <v>45929</v>
          </cell>
          <cell r="R762" t="str">
            <v>月</v>
          </cell>
          <cell r="S762" t="str">
            <v>AM8:00</v>
          </cell>
        </row>
        <row r="763">
          <cell r="A763">
            <v>8913</v>
          </cell>
          <cell r="B763" t="str">
            <v>山本 和弥</v>
          </cell>
          <cell r="C763" t="str">
            <v>FUZILOGIX</v>
          </cell>
          <cell r="D763">
            <v>45922</v>
          </cell>
          <cell r="E763" t="str">
            <v>25T0907</v>
          </cell>
          <cell r="F763" t="str">
            <v>I000014636</v>
          </cell>
          <cell r="J763">
            <v>1077574.6000000001</v>
          </cell>
          <cell r="K763">
            <v>62.83</v>
          </cell>
          <cell r="L763" t="str">
            <v>WHSU6357291</v>
          </cell>
          <cell r="M763">
            <v>4</v>
          </cell>
          <cell r="N763" t="str">
            <v>40HQ</v>
          </cell>
          <cell r="O763">
            <v>2</v>
          </cell>
          <cell r="P763">
            <v>45932</v>
          </cell>
          <cell r="Q763">
            <v>45936</v>
          </cell>
          <cell r="R763" t="str">
            <v>月</v>
          </cell>
          <cell r="S763" t="str">
            <v>AM8:00</v>
          </cell>
        </row>
        <row r="764">
          <cell r="A764">
            <v>8914</v>
          </cell>
          <cell r="B764" t="str">
            <v>山本 和弥</v>
          </cell>
          <cell r="C764" t="str">
            <v>FUZILOGIX</v>
          </cell>
          <cell r="D764">
            <v>45922</v>
          </cell>
          <cell r="E764" t="str">
            <v>25T0909</v>
          </cell>
          <cell r="F764" t="str">
            <v>I000014642</v>
          </cell>
          <cell r="J764">
            <v>814993.96</v>
          </cell>
          <cell r="K764">
            <v>66.56</v>
          </cell>
          <cell r="L764" t="str">
            <v>WHSU6389771</v>
          </cell>
          <cell r="M764">
            <v>4</v>
          </cell>
          <cell r="N764" t="str">
            <v>40HQ</v>
          </cell>
          <cell r="O764">
            <v>2</v>
          </cell>
          <cell r="P764">
            <v>45932</v>
          </cell>
          <cell r="Q764">
            <v>45936</v>
          </cell>
          <cell r="R764" t="str">
            <v>月</v>
          </cell>
          <cell r="S764" t="str">
            <v>AM8:00</v>
          </cell>
        </row>
        <row r="765">
          <cell r="A765">
            <v>8915</v>
          </cell>
          <cell r="B765" t="str">
            <v>山本 和弥</v>
          </cell>
          <cell r="C765" t="str">
            <v>FUZILOGIX</v>
          </cell>
          <cell r="D765">
            <v>45922</v>
          </cell>
          <cell r="E765" t="str">
            <v>25T0910</v>
          </cell>
          <cell r="F765" t="str">
            <v>I000014643</v>
          </cell>
          <cell r="J765">
            <v>552619.81999999995</v>
          </cell>
          <cell r="K765">
            <v>65.849999999999994</v>
          </cell>
          <cell r="L765" t="str">
            <v>WHSU6784755</v>
          </cell>
          <cell r="M765">
            <v>4</v>
          </cell>
          <cell r="N765" t="str">
            <v>40HQ</v>
          </cell>
          <cell r="O765">
            <v>5</v>
          </cell>
          <cell r="P765">
            <v>45930</v>
          </cell>
          <cell r="Q765">
            <v>45932</v>
          </cell>
          <cell r="R765" t="str">
            <v>木</v>
          </cell>
          <cell r="S765" t="str">
            <v>AM8:00</v>
          </cell>
        </row>
        <row r="766">
          <cell r="A766">
            <v>8916</v>
          </cell>
          <cell r="B766" t="str">
            <v>山本 和弥</v>
          </cell>
          <cell r="C766" t="str">
            <v>FUZILOGIX</v>
          </cell>
          <cell r="D766">
            <v>45926</v>
          </cell>
          <cell r="E766" t="str">
            <v>25T0911</v>
          </cell>
          <cell r="F766" t="str">
            <v>I000014657</v>
          </cell>
          <cell r="J766">
            <v>776187.44</v>
          </cell>
          <cell r="K766">
            <v>53.32</v>
          </cell>
          <cell r="L766" t="str">
            <v>WHSU6487042</v>
          </cell>
          <cell r="M766">
            <v>4</v>
          </cell>
          <cell r="N766" t="str">
            <v>40HQ</v>
          </cell>
          <cell r="O766">
            <v>2</v>
          </cell>
          <cell r="P766">
            <v>45934</v>
          </cell>
          <cell r="Q766">
            <v>45937</v>
          </cell>
          <cell r="R766" t="str">
            <v>火</v>
          </cell>
          <cell r="S766" t="str">
            <v>AM8:00</v>
          </cell>
        </row>
        <row r="767">
          <cell r="A767">
            <v>8917</v>
          </cell>
          <cell r="B767" t="str">
            <v>山本 和弥</v>
          </cell>
          <cell r="C767" t="str">
            <v>FUZILOGIX</v>
          </cell>
          <cell r="D767">
            <v>45930</v>
          </cell>
          <cell r="E767" t="str">
            <v>25T0912</v>
          </cell>
          <cell r="F767" t="str">
            <v>I000014668</v>
          </cell>
          <cell r="J767">
            <v>659470.35</v>
          </cell>
          <cell r="K767">
            <v>65.239999999999995</v>
          </cell>
          <cell r="L767" t="str">
            <v>WHSU6977380</v>
          </cell>
          <cell r="M767">
            <v>4</v>
          </cell>
          <cell r="N767" t="str">
            <v>40HQ</v>
          </cell>
          <cell r="O767">
            <v>2</v>
          </cell>
          <cell r="P767">
            <v>45938</v>
          </cell>
          <cell r="Q767">
            <v>45940</v>
          </cell>
          <cell r="R767" t="str">
            <v>金</v>
          </cell>
          <cell r="S767" t="str">
            <v>AM8:00</v>
          </cell>
        </row>
        <row r="768">
          <cell r="A768">
            <v>8918</v>
          </cell>
          <cell r="B768" t="str">
            <v>山本 和弥</v>
          </cell>
          <cell r="C768" t="str">
            <v>FUZILOGIX</v>
          </cell>
          <cell r="D768">
            <v>45930</v>
          </cell>
          <cell r="E768" t="str">
            <v>25T0913</v>
          </cell>
          <cell r="F768" t="str">
            <v>I000014666</v>
          </cell>
          <cell r="J768">
            <v>558114.43999999994</v>
          </cell>
          <cell r="K768">
            <v>65.22</v>
          </cell>
          <cell r="L768" t="str">
            <v>WHSU6374827</v>
          </cell>
          <cell r="M768">
            <v>4</v>
          </cell>
          <cell r="N768" t="str">
            <v>40HQ</v>
          </cell>
          <cell r="O768">
            <v>5</v>
          </cell>
          <cell r="P768">
            <v>45936</v>
          </cell>
          <cell r="Q768">
            <v>45938</v>
          </cell>
          <cell r="R768" t="str">
            <v>水</v>
          </cell>
          <cell r="S768" t="str">
            <v>AM8:00</v>
          </cell>
        </row>
        <row r="769">
          <cell r="A769">
            <v>8919</v>
          </cell>
          <cell r="B769" t="str">
            <v>山本 和弥</v>
          </cell>
          <cell r="C769" t="str">
            <v>FUZILOGIX</v>
          </cell>
          <cell r="D769">
            <v>45930</v>
          </cell>
          <cell r="E769" t="str">
            <v>25T0914</v>
          </cell>
          <cell r="F769" t="str">
            <v>I000014676</v>
          </cell>
          <cell r="J769">
            <v>678560.64</v>
          </cell>
          <cell r="K769">
            <v>63.38</v>
          </cell>
          <cell r="L769" t="str">
            <v>WHSU6129012</v>
          </cell>
          <cell r="M769">
            <v>4</v>
          </cell>
          <cell r="N769" t="str">
            <v>40HQ</v>
          </cell>
          <cell r="O769">
            <v>2</v>
          </cell>
          <cell r="P769">
            <v>45943</v>
          </cell>
          <cell r="Q769">
            <v>45945</v>
          </cell>
          <cell r="R769" t="str">
            <v>水</v>
          </cell>
          <cell r="S769" t="str">
            <v>AM8:00</v>
          </cell>
        </row>
        <row r="770">
          <cell r="A770">
            <v>8920</v>
          </cell>
          <cell r="B770" t="str">
            <v>山本 和弥</v>
          </cell>
          <cell r="C770" t="str">
            <v>FUZILOGIX</v>
          </cell>
          <cell r="D770">
            <v>45945</v>
          </cell>
          <cell r="E770" t="str">
            <v>25T1001</v>
          </cell>
          <cell r="F770" t="str">
            <v>I000014690</v>
          </cell>
          <cell r="J770">
            <v>608459.80000000005</v>
          </cell>
          <cell r="K770">
            <v>64.209999999999994</v>
          </cell>
          <cell r="L770" t="str">
            <v>WHSU8468632</v>
          </cell>
          <cell r="M770">
            <v>4</v>
          </cell>
          <cell r="N770" t="str">
            <v>40HQ</v>
          </cell>
          <cell r="O770">
            <v>2</v>
          </cell>
          <cell r="P770">
            <v>45952</v>
          </cell>
          <cell r="Q770">
            <v>45954</v>
          </cell>
          <cell r="R770" t="str">
            <v>金</v>
          </cell>
          <cell r="S770" t="str">
            <v>AM8:00</v>
          </cell>
        </row>
        <row r="771">
          <cell r="A771">
            <v>8921</v>
          </cell>
          <cell r="B771" t="str">
            <v>山本 和弥</v>
          </cell>
          <cell r="C771" t="str">
            <v>FUZILOGIX</v>
          </cell>
          <cell r="D771">
            <v>45945</v>
          </cell>
          <cell r="E771" t="str">
            <v>25T1002</v>
          </cell>
          <cell r="F771" t="str">
            <v>I000014694</v>
          </cell>
          <cell r="J771">
            <v>678632.04</v>
          </cell>
          <cell r="K771">
            <v>64.02</v>
          </cell>
          <cell r="L771" t="str">
            <v>WHSU6225660</v>
          </cell>
          <cell r="M771">
            <v>4</v>
          </cell>
          <cell r="N771" t="str">
            <v>40HQ</v>
          </cell>
          <cell r="O771">
            <v>2</v>
          </cell>
          <cell r="P771">
            <v>45952</v>
          </cell>
          <cell r="Q771">
            <v>45954</v>
          </cell>
          <cell r="R771" t="str">
            <v>金</v>
          </cell>
          <cell r="S771" t="str">
            <v>AM8:00</v>
          </cell>
        </row>
        <row r="772">
          <cell r="A772">
            <v>8922</v>
          </cell>
          <cell r="B772" t="str">
            <v>山本 和弥</v>
          </cell>
          <cell r="C772" t="str">
            <v>FUZILOGIX</v>
          </cell>
          <cell r="D772">
            <v>45947</v>
          </cell>
          <cell r="E772" t="str">
            <v>25T1003</v>
          </cell>
          <cell r="F772" t="str">
            <v>I000014705</v>
          </cell>
          <cell r="J772">
            <v>583351.06000000006</v>
          </cell>
          <cell r="K772">
            <v>64.37</v>
          </cell>
          <cell r="L772" t="str">
            <v>WHSU6817930</v>
          </cell>
          <cell r="M772">
            <v>4</v>
          </cell>
          <cell r="N772" t="str">
            <v>40HQ</v>
          </cell>
          <cell r="O772">
            <v>5</v>
          </cell>
          <cell r="P772">
            <v>45953</v>
          </cell>
          <cell r="Q772">
            <v>45957</v>
          </cell>
          <cell r="R772" t="str">
            <v>月</v>
          </cell>
          <cell r="S772" t="str">
            <v>AM8:00</v>
          </cell>
        </row>
        <row r="773">
          <cell r="A773">
            <v>8923</v>
          </cell>
          <cell r="B773" t="str">
            <v>山本 和弥</v>
          </cell>
          <cell r="C773" t="str">
            <v>FUZILOGIX</v>
          </cell>
          <cell r="D773">
            <v>45947</v>
          </cell>
          <cell r="E773" t="str">
            <v>25T1004</v>
          </cell>
          <cell r="F773" t="str">
            <v>I000014713</v>
          </cell>
          <cell r="J773">
            <v>963731.8</v>
          </cell>
          <cell r="K773">
            <v>64.62</v>
          </cell>
          <cell r="L773" t="str">
            <v>WHSU6515910</v>
          </cell>
          <cell r="M773">
            <v>4</v>
          </cell>
          <cell r="N773" t="str">
            <v>40HQ</v>
          </cell>
          <cell r="O773">
            <v>2</v>
          </cell>
          <cell r="P773">
            <v>45954</v>
          </cell>
          <cell r="Q773">
            <v>45958</v>
          </cell>
          <cell r="R773" t="str">
            <v>火</v>
          </cell>
          <cell r="S773" t="str">
            <v>AM8:00</v>
          </cell>
        </row>
        <row r="774">
          <cell r="A774">
            <v>8924</v>
          </cell>
          <cell r="B774" t="str">
            <v>山本 和弥</v>
          </cell>
          <cell r="C774" t="str">
            <v>FUZILOGIX</v>
          </cell>
          <cell r="D774">
            <v>45951</v>
          </cell>
          <cell r="E774" t="str">
            <v>25T1005</v>
          </cell>
          <cell r="F774" t="str">
            <v>I000014717</v>
          </cell>
          <cell r="J774">
            <v>574118.69999999995</v>
          </cell>
          <cell r="K774">
            <v>64.790000000000006</v>
          </cell>
          <cell r="L774" t="str">
            <v>WHSU6210839</v>
          </cell>
          <cell r="M774">
            <v>4</v>
          </cell>
          <cell r="N774" t="str">
            <v>40HQ</v>
          </cell>
          <cell r="O774">
            <v>5</v>
          </cell>
          <cell r="P774">
            <v>45957</v>
          </cell>
          <cell r="Q774">
            <v>45959</v>
          </cell>
          <cell r="R774" t="str">
            <v>水</v>
          </cell>
          <cell r="S774" t="str">
            <v>AM8:00</v>
          </cell>
        </row>
        <row r="775">
          <cell r="A775">
            <v>8925</v>
          </cell>
          <cell r="B775" t="str">
            <v>山本 和弥</v>
          </cell>
          <cell r="C775" t="str">
            <v>TRADIA</v>
          </cell>
          <cell r="D775">
            <v>45954</v>
          </cell>
          <cell r="E775" t="str">
            <v>25P0501</v>
          </cell>
          <cell r="F775" t="str">
            <v>I000014196</v>
          </cell>
          <cell r="H775" t="str">
            <v>41450268630</v>
          </cell>
          <cell r="I775">
            <v>419612.88</v>
          </cell>
          <cell r="J775">
            <v>419612.88</v>
          </cell>
          <cell r="K775">
            <v>64.260000000000005</v>
          </cell>
          <cell r="L775" t="str">
            <v>GCXU6517312</v>
          </cell>
          <cell r="M775">
            <v>14</v>
          </cell>
          <cell r="N775" t="str">
            <v>40HQ</v>
          </cell>
          <cell r="O775">
            <v>2</v>
          </cell>
          <cell r="P775">
            <v>45803</v>
          </cell>
          <cell r="Q775">
            <v>45805</v>
          </cell>
          <cell r="R775" t="str">
            <v>水</v>
          </cell>
          <cell r="S775" t="str">
            <v>AM9:30</v>
          </cell>
        </row>
        <row r="776">
          <cell r="A776">
            <v>8926</v>
          </cell>
          <cell r="B776" t="str">
            <v>山本 和弥</v>
          </cell>
          <cell r="C776" t="str">
            <v>TRADIA</v>
          </cell>
          <cell r="D776">
            <v>45954</v>
          </cell>
          <cell r="E776" t="str">
            <v>25P0502</v>
          </cell>
          <cell r="F776" t="str">
            <v>I000014246</v>
          </cell>
          <cell r="H776" t="str">
            <v>21610153930</v>
          </cell>
          <cell r="I776">
            <v>196874.64</v>
          </cell>
          <cell r="J776">
            <v>196874.64</v>
          </cell>
          <cell r="K776">
            <v>29.03</v>
          </cell>
          <cell r="L776" t="str">
            <v>WHSU0014361</v>
          </cell>
          <cell r="M776">
            <v>11</v>
          </cell>
          <cell r="N776" t="str">
            <v>20GP</v>
          </cell>
          <cell r="O776">
            <v>4</v>
          </cell>
          <cell r="P776">
            <v>45819</v>
          </cell>
          <cell r="Q776">
            <v>45821</v>
          </cell>
          <cell r="R776" t="str">
            <v>金</v>
          </cell>
          <cell r="S776" t="str">
            <v>AM7:30</v>
          </cell>
        </row>
        <row r="777">
          <cell r="A777">
            <v>8927</v>
          </cell>
          <cell r="B777" t="str">
            <v>山本 和弥</v>
          </cell>
          <cell r="C777" t="str">
            <v>TRADIA</v>
          </cell>
          <cell r="D777">
            <v>45954</v>
          </cell>
          <cell r="E777" t="str">
            <v>25P0601</v>
          </cell>
          <cell r="F777" t="str">
            <v>I000014299</v>
          </cell>
          <cell r="H777" t="str">
            <v>21612946120</v>
          </cell>
          <cell r="I777">
            <v>441366.36</v>
          </cell>
          <cell r="J777">
            <v>441366.36</v>
          </cell>
          <cell r="K777">
            <v>64.31</v>
          </cell>
          <cell r="L777" t="str">
            <v>WHSU6385734</v>
          </cell>
          <cell r="M777">
            <v>11</v>
          </cell>
          <cell r="N777" t="str">
            <v>40HQ</v>
          </cell>
          <cell r="O777">
            <v>4</v>
          </cell>
          <cell r="P777">
            <v>45835</v>
          </cell>
          <cell r="Q777">
            <v>45839</v>
          </cell>
          <cell r="R777" t="str">
            <v>火</v>
          </cell>
          <cell r="S777" t="str">
            <v>AM7:30</v>
          </cell>
        </row>
        <row r="778">
          <cell r="A778">
            <v>8928</v>
          </cell>
          <cell r="B778" t="str">
            <v>山本 和弥</v>
          </cell>
          <cell r="C778" t="str">
            <v>TRADIA</v>
          </cell>
          <cell r="D778">
            <v>45954</v>
          </cell>
          <cell r="E778" t="str">
            <v>25P0602</v>
          </cell>
          <cell r="F778" t="str">
            <v>I000014333</v>
          </cell>
          <cell r="H778" t="str">
            <v>41462906320</v>
          </cell>
          <cell r="I778">
            <v>417859.68</v>
          </cell>
          <cell r="J778">
            <v>417859.68</v>
          </cell>
          <cell r="K778">
            <v>65.45</v>
          </cell>
          <cell r="L778" t="str">
            <v>WHSU6882392</v>
          </cell>
          <cell r="M778">
            <v>14</v>
          </cell>
          <cell r="N778" t="str">
            <v>40HQ</v>
          </cell>
          <cell r="O778">
            <v>2</v>
          </cell>
          <cell r="P778">
            <v>45838</v>
          </cell>
          <cell r="Q778">
            <v>45840</v>
          </cell>
          <cell r="R778" t="str">
            <v>水</v>
          </cell>
          <cell r="S778" t="str">
            <v>AM9:30</v>
          </cell>
        </row>
        <row r="779">
          <cell r="A779">
            <v>8929</v>
          </cell>
          <cell r="B779" t="str">
            <v>山本 和弥</v>
          </cell>
          <cell r="C779" t="str">
            <v>TRADIA</v>
          </cell>
          <cell r="D779">
            <v>45954</v>
          </cell>
          <cell r="E779" t="str">
            <v>25P0701</v>
          </cell>
          <cell r="F779" t="str">
            <v>I000014365</v>
          </cell>
          <cell r="H779" t="str">
            <v>21615746560</v>
          </cell>
          <cell r="I779">
            <v>436398.48</v>
          </cell>
          <cell r="J779">
            <v>436398.48</v>
          </cell>
          <cell r="K779">
            <v>6.5060000000000002</v>
          </cell>
          <cell r="L779" t="str">
            <v>TSSU5263365</v>
          </cell>
          <cell r="M779">
            <v>11</v>
          </cell>
          <cell r="N779" t="str">
            <v>40HQ</v>
          </cell>
          <cell r="O779">
            <v>4</v>
          </cell>
          <cell r="P779">
            <v>45853</v>
          </cell>
          <cell r="Q779">
            <v>45855</v>
          </cell>
          <cell r="R779" t="str">
            <v>木</v>
          </cell>
          <cell r="S779" t="str">
            <v>AM7:30</v>
          </cell>
        </row>
        <row r="780">
          <cell r="A780">
            <v>8930</v>
          </cell>
          <cell r="B780" t="str">
            <v>山本 和弥</v>
          </cell>
          <cell r="C780" t="str">
            <v>TRADIA</v>
          </cell>
          <cell r="D780">
            <v>45954</v>
          </cell>
          <cell r="E780" t="str">
            <v>25P0702</v>
          </cell>
          <cell r="F780" t="str">
            <v>I000014394</v>
          </cell>
          <cell r="H780" t="str">
            <v>41468653760</v>
          </cell>
          <cell r="I780">
            <v>480704.7</v>
          </cell>
          <cell r="J780">
            <v>480704.7</v>
          </cell>
          <cell r="K780">
            <v>66.400000000000006</v>
          </cell>
          <cell r="L780" t="str">
            <v>WHSU8025228</v>
          </cell>
          <cell r="M780">
            <v>14</v>
          </cell>
          <cell r="N780" t="str">
            <v>40HQ</v>
          </cell>
          <cell r="O780">
            <v>2</v>
          </cell>
          <cell r="P780">
            <v>45862</v>
          </cell>
          <cell r="Q780">
            <v>45866</v>
          </cell>
          <cell r="R780" t="str">
            <v>月</v>
          </cell>
          <cell r="S780" t="str">
            <v>AM9:30</v>
          </cell>
        </row>
        <row r="781">
          <cell r="A781">
            <v>8931</v>
          </cell>
          <cell r="B781" t="str">
            <v>山本 和弥</v>
          </cell>
          <cell r="C781" t="str">
            <v>TRADIA</v>
          </cell>
          <cell r="D781">
            <v>45954</v>
          </cell>
          <cell r="E781" t="str">
            <v>25P0703</v>
          </cell>
          <cell r="F781" t="str">
            <v>I000014420</v>
          </cell>
          <cell r="H781" t="str">
            <v>21619020240</v>
          </cell>
          <cell r="I781">
            <v>461444.94</v>
          </cell>
          <cell r="J781">
            <v>461444.94</v>
          </cell>
          <cell r="K781">
            <v>64.89</v>
          </cell>
          <cell r="L781" t="str">
            <v>CAAU8035050</v>
          </cell>
          <cell r="M781">
            <v>11</v>
          </cell>
          <cell r="N781" t="str">
            <v>40HQ</v>
          </cell>
          <cell r="O781">
            <v>4</v>
          </cell>
          <cell r="P781">
            <v>45869</v>
          </cell>
          <cell r="Q781">
            <v>45873</v>
          </cell>
          <cell r="R781" t="str">
            <v>月</v>
          </cell>
          <cell r="S781" t="str">
            <v>AM7:30</v>
          </cell>
        </row>
        <row r="782">
          <cell r="A782">
            <v>8932</v>
          </cell>
          <cell r="B782" t="str">
            <v>山本 和弥</v>
          </cell>
          <cell r="C782" t="str">
            <v>TRADIA</v>
          </cell>
          <cell r="D782">
            <v>45954</v>
          </cell>
          <cell r="E782" t="str">
            <v>25P0801</v>
          </cell>
          <cell r="F782" t="str">
            <v>I000014454</v>
          </cell>
          <cell r="H782" t="str">
            <v>41476250310</v>
          </cell>
          <cell r="I782">
            <v>433056</v>
          </cell>
          <cell r="J782">
            <v>425128.4</v>
          </cell>
          <cell r="K782">
            <v>62.27</v>
          </cell>
          <cell r="L782" t="str">
            <v>WHSU6863730</v>
          </cell>
          <cell r="M782">
            <v>14</v>
          </cell>
          <cell r="N782" t="str">
            <v>40HQ</v>
          </cell>
          <cell r="O782">
            <v>2</v>
          </cell>
          <cell r="P782">
            <v>45883</v>
          </cell>
          <cell r="Q782">
            <v>45887</v>
          </cell>
          <cell r="R782" t="str">
            <v>月</v>
          </cell>
          <cell r="S782" t="str">
            <v>AM9:30</v>
          </cell>
        </row>
        <row r="783">
          <cell r="A783">
            <v>8933</v>
          </cell>
          <cell r="B783" t="str">
            <v>山本 和弥</v>
          </cell>
          <cell r="C783" t="str">
            <v>TRADIA</v>
          </cell>
          <cell r="D783">
            <v>45954</v>
          </cell>
          <cell r="E783" t="str">
            <v>25P0801-2</v>
          </cell>
          <cell r="F783" t="str">
            <v>I000014454</v>
          </cell>
          <cell r="H783" t="str">
            <v>41476250310</v>
          </cell>
          <cell r="J783">
            <v>7927.6</v>
          </cell>
          <cell r="K783">
            <v>47.4</v>
          </cell>
          <cell r="L783" t="str">
            <v>WHSU6863730</v>
          </cell>
          <cell r="M783">
            <v>14</v>
          </cell>
          <cell r="N783" t="str">
            <v>40HQ</v>
          </cell>
          <cell r="O783">
            <v>2</v>
          </cell>
          <cell r="P783">
            <v>45883</v>
          </cell>
          <cell r="Q783">
            <v>45887</v>
          </cell>
          <cell r="R783" t="str">
            <v>月</v>
          </cell>
          <cell r="S783" t="str">
            <v>AM9:30</v>
          </cell>
        </row>
        <row r="784">
          <cell r="A784">
            <v>8934</v>
          </cell>
          <cell r="B784" t="str">
            <v>山本 和弥</v>
          </cell>
          <cell r="C784" t="str">
            <v>TRADIA</v>
          </cell>
          <cell r="D784">
            <v>45954</v>
          </cell>
          <cell r="E784" t="str">
            <v>25P0802</v>
          </cell>
          <cell r="F784" t="str">
            <v>I000014477</v>
          </cell>
          <cell r="H784" t="str">
            <v>21621544440</v>
          </cell>
          <cell r="I784">
            <v>440340.96</v>
          </cell>
          <cell r="J784">
            <v>440340.96</v>
          </cell>
          <cell r="K784">
            <v>67.28</v>
          </cell>
          <cell r="L784" t="str">
            <v>TRHU8671508</v>
          </cell>
          <cell r="M784">
            <v>11</v>
          </cell>
          <cell r="N784" t="str">
            <v>40HQ</v>
          </cell>
          <cell r="O784">
            <v>4</v>
          </cell>
          <cell r="P784">
            <v>45888</v>
          </cell>
          <cell r="Q784">
            <v>45890</v>
          </cell>
          <cell r="R784" t="str">
            <v>木</v>
          </cell>
          <cell r="S784" t="str">
            <v>AM7:30</v>
          </cell>
        </row>
        <row r="785">
          <cell r="A785">
            <v>8935</v>
          </cell>
          <cell r="B785" t="str">
            <v>山本 和弥</v>
          </cell>
          <cell r="C785" t="str">
            <v>TRADIA</v>
          </cell>
          <cell r="D785">
            <v>45954</v>
          </cell>
          <cell r="E785" t="str">
            <v>25P0803</v>
          </cell>
          <cell r="F785" t="str">
            <v>I000014534</v>
          </cell>
          <cell r="H785" t="str">
            <v>41481239910</v>
          </cell>
          <cell r="I785">
            <v>217828.36</v>
          </cell>
          <cell r="J785">
            <v>217828.36</v>
          </cell>
          <cell r="K785">
            <v>27.57</v>
          </cell>
          <cell r="L785" t="str">
            <v>WHSU2517642</v>
          </cell>
          <cell r="M785">
            <v>14</v>
          </cell>
          <cell r="N785" t="str">
            <v>20GP</v>
          </cell>
          <cell r="O785">
            <v>2</v>
          </cell>
          <cell r="P785">
            <v>45897</v>
          </cell>
          <cell r="Q785">
            <v>45901</v>
          </cell>
          <cell r="R785" t="str">
            <v>月</v>
          </cell>
          <cell r="S785" t="str">
            <v>AM9:30</v>
          </cell>
        </row>
        <row r="786">
          <cell r="A786">
            <v>8936</v>
          </cell>
          <cell r="B786" t="str">
            <v>山本 和弥</v>
          </cell>
          <cell r="C786" t="str">
            <v>TRADIA</v>
          </cell>
          <cell r="D786">
            <v>45954</v>
          </cell>
          <cell r="E786" t="str">
            <v>25P0804</v>
          </cell>
          <cell r="F786" t="str">
            <v>I000014556</v>
          </cell>
          <cell r="H786" t="str">
            <v>21623752240</v>
          </cell>
          <cell r="I786">
            <v>463068.6</v>
          </cell>
          <cell r="J786">
            <v>463068.6</v>
          </cell>
          <cell r="K786">
            <v>63.67</v>
          </cell>
          <cell r="L786" t="str">
            <v>TSSU5064390</v>
          </cell>
          <cell r="M786">
            <v>11</v>
          </cell>
          <cell r="N786" t="str">
            <v>40HQ</v>
          </cell>
          <cell r="O786">
            <v>4</v>
          </cell>
          <cell r="P786">
            <v>45905</v>
          </cell>
          <cell r="Q786">
            <v>45909</v>
          </cell>
          <cell r="R786" t="str">
            <v>火</v>
          </cell>
          <cell r="S786" t="str">
            <v>AM7:30</v>
          </cell>
        </row>
        <row r="787">
          <cell r="A787">
            <v>8937</v>
          </cell>
          <cell r="B787" t="str">
            <v>山本 和弥</v>
          </cell>
          <cell r="C787" t="str">
            <v>TRADIA</v>
          </cell>
          <cell r="D787">
            <v>45954</v>
          </cell>
          <cell r="E787" t="str">
            <v>25P0805</v>
          </cell>
          <cell r="F787" t="str">
            <v>I000014579</v>
          </cell>
          <cell r="H787" t="str">
            <v>41483413300</v>
          </cell>
          <cell r="I787">
            <v>417441.6</v>
          </cell>
          <cell r="J787">
            <v>417441.6</v>
          </cell>
          <cell r="K787">
            <v>59.66</v>
          </cell>
          <cell r="L787" t="str">
            <v>GCXU5358860</v>
          </cell>
          <cell r="M787">
            <v>14</v>
          </cell>
          <cell r="N787" t="str">
            <v>40HQ</v>
          </cell>
          <cell r="O787">
            <v>2</v>
          </cell>
          <cell r="P787">
            <v>45908</v>
          </cell>
          <cell r="Q787">
            <v>45910</v>
          </cell>
          <cell r="R787" t="str">
            <v>水</v>
          </cell>
          <cell r="S787" t="str">
            <v>AM9:30</v>
          </cell>
        </row>
        <row r="788">
          <cell r="A788">
            <v>8938</v>
          </cell>
          <cell r="B788" t="str">
            <v>山本 和弥</v>
          </cell>
          <cell r="C788" t="str">
            <v>TRADIA</v>
          </cell>
          <cell r="D788">
            <v>45954</v>
          </cell>
          <cell r="E788" t="str">
            <v>25P0901</v>
          </cell>
          <cell r="F788" t="str">
            <v>I000014598</v>
          </cell>
          <cell r="H788" t="str">
            <v>21625967150</v>
          </cell>
          <cell r="I788">
            <v>408715.5</v>
          </cell>
          <cell r="J788">
            <v>408715.5</v>
          </cell>
          <cell r="K788">
            <v>67.069999999999993</v>
          </cell>
          <cell r="L788" t="str">
            <v>WHSU6728330</v>
          </cell>
          <cell r="M788">
            <v>11</v>
          </cell>
          <cell r="N788" t="str">
            <v>40HQ</v>
          </cell>
          <cell r="O788">
            <v>4</v>
          </cell>
          <cell r="P788">
            <v>45885</v>
          </cell>
          <cell r="Q788">
            <v>45888</v>
          </cell>
          <cell r="R788" t="str">
            <v>火</v>
          </cell>
          <cell r="S788" t="str">
            <v>AM7:30</v>
          </cell>
        </row>
        <row r="789">
          <cell r="A789">
            <v>8939</v>
          </cell>
          <cell r="B789" t="str">
            <v>山本 和弥</v>
          </cell>
          <cell r="C789" t="str">
            <v>TRADIA</v>
          </cell>
          <cell r="D789">
            <v>45954</v>
          </cell>
          <cell r="E789" t="str">
            <v>25P0902</v>
          </cell>
          <cell r="F789" t="str">
            <v>I000014617</v>
          </cell>
          <cell r="H789" t="str">
            <v>41487479820</v>
          </cell>
          <cell r="I789">
            <v>488524.32</v>
          </cell>
          <cell r="J789">
            <v>488524.32</v>
          </cell>
          <cell r="K789">
            <v>67.05</v>
          </cell>
          <cell r="L789" t="str">
            <v>WHSU6437859</v>
          </cell>
          <cell r="M789">
            <v>14</v>
          </cell>
          <cell r="N789" t="str">
            <v>40HQ</v>
          </cell>
          <cell r="O789">
            <v>2</v>
          </cell>
          <cell r="P789">
            <v>45923</v>
          </cell>
          <cell r="Q789">
            <v>45925</v>
          </cell>
          <cell r="R789" t="str">
            <v>木</v>
          </cell>
          <cell r="S789" t="str">
            <v>AM9:30</v>
          </cell>
        </row>
        <row r="790">
          <cell r="A790">
            <v>8940</v>
          </cell>
          <cell r="B790" t="str">
            <v>山本 和弥</v>
          </cell>
          <cell r="C790" t="str">
            <v>TRADIA</v>
          </cell>
          <cell r="D790">
            <v>45954</v>
          </cell>
          <cell r="E790" t="str">
            <v>25P0903</v>
          </cell>
          <cell r="F790" t="str">
            <v>I000014655</v>
          </cell>
          <cell r="H790" t="str">
            <v>21629916440</v>
          </cell>
          <cell r="I790">
            <v>475823.52</v>
          </cell>
          <cell r="J790">
            <v>475823.52</v>
          </cell>
          <cell r="K790">
            <v>65.959999999999994</v>
          </cell>
          <cell r="L790" t="str">
            <v>WHSU6679364</v>
          </cell>
          <cell r="M790">
            <v>11</v>
          </cell>
          <cell r="N790" t="str">
            <v>40HQ</v>
          </cell>
          <cell r="O790">
            <v>4</v>
          </cell>
          <cell r="P790">
            <v>45937</v>
          </cell>
          <cell r="Q790">
            <v>45939</v>
          </cell>
          <cell r="R790" t="str">
            <v>木</v>
          </cell>
          <cell r="S790" t="str">
            <v>AM7:30</v>
          </cell>
        </row>
        <row r="791">
          <cell r="A791">
            <v>8941</v>
          </cell>
          <cell r="B791" t="str">
            <v>山本 和弥</v>
          </cell>
          <cell r="C791" t="str">
            <v>TRADIA</v>
          </cell>
          <cell r="D791">
            <v>45954</v>
          </cell>
          <cell r="E791" t="str">
            <v>25P0904</v>
          </cell>
          <cell r="F791" t="str">
            <v>I000014667</v>
          </cell>
          <cell r="H791" t="str">
            <v>41491775500</v>
          </cell>
          <cell r="I791">
            <v>209905.44</v>
          </cell>
          <cell r="J791">
            <v>209905.44</v>
          </cell>
          <cell r="K791">
            <v>28.81</v>
          </cell>
          <cell r="L791" t="str">
            <v>CAAU2029830</v>
          </cell>
          <cell r="M791">
            <v>14</v>
          </cell>
          <cell r="N791" t="str">
            <v>20GP</v>
          </cell>
          <cell r="O791">
            <v>2</v>
          </cell>
          <cell r="P791">
            <v>45934</v>
          </cell>
          <cell r="Q791">
            <v>45937</v>
          </cell>
          <cell r="R791" t="str">
            <v>火</v>
          </cell>
          <cell r="S791" t="str">
            <v>AM9:30</v>
          </cell>
        </row>
        <row r="792">
          <cell r="A792">
            <v>8942</v>
          </cell>
          <cell r="B792" t="str">
            <v>山本 和弥</v>
          </cell>
          <cell r="C792" t="str">
            <v>TRADIA</v>
          </cell>
          <cell r="D792">
            <v>45954</v>
          </cell>
          <cell r="E792" t="str">
            <v>25P1001</v>
          </cell>
          <cell r="F792" t="str">
            <v>I000014700</v>
          </cell>
          <cell r="J792">
            <v>432997.26</v>
          </cell>
          <cell r="K792">
            <v>65.84</v>
          </cell>
          <cell r="L792" t="str">
            <v>TXGU8263110</v>
          </cell>
          <cell r="M792">
            <v>11</v>
          </cell>
          <cell r="N792" t="str">
            <v>40HQ</v>
          </cell>
          <cell r="O792">
            <v>4</v>
          </cell>
          <cell r="P792">
            <v>45956</v>
          </cell>
          <cell r="Q792">
            <v>45958</v>
          </cell>
          <cell r="R792" t="str">
            <v>火</v>
          </cell>
          <cell r="S792" t="str">
            <v>AM7:30</v>
          </cell>
        </row>
        <row r="793">
          <cell r="A793">
            <v>8943</v>
          </cell>
          <cell r="B793" t="str">
            <v>山本 和弥</v>
          </cell>
          <cell r="C793" t="str">
            <v>TRADIA</v>
          </cell>
          <cell r="D793">
            <v>45954</v>
          </cell>
          <cell r="E793" t="str">
            <v>25P1002</v>
          </cell>
          <cell r="F793" t="str">
            <v>I000014724</v>
          </cell>
          <cell r="J793">
            <v>424063.68</v>
          </cell>
          <cell r="K793">
            <v>59.96</v>
          </cell>
          <cell r="L793" t="str">
            <v>TXGU8263640</v>
          </cell>
          <cell r="M793">
            <v>14</v>
          </cell>
          <cell r="N793" t="str">
            <v>40HQ</v>
          </cell>
          <cell r="O793">
            <v>2</v>
          </cell>
          <cell r="P793">
            <v>45958</v>
          </cell>
          <cell r="Q793">
            <v>45960</v>
          </cell>
          <cell r="R793" t="str">
            <v>木</v>
          </cell>
          <cell r="S793" t="str">
            <v>AM9:30</v>
          </cell>
        </row>
        <row r="794">
          <cell r="A794">
            <v>8944</v>
          </cell>
          <cell r="B794" t="str">
            <v>山本 和弥</v>
          </cell>
          <cell r="C794" t="str">
            <v>TRADIA</v>
          </cell>
          <cell r="D794">
            <v>45954</v>
          </cell>
          <cell r="E794" t="str">
            <v>25P1002-2</v>
          </cell>
          <cell r="F794" t="str">
            <v>I000014724</v>
          </cell>
          <cell r="J794">
            <v>997.4</v>
          </cell>
          <cell r="K794">
            <v>0.79</v>
          </cell>
          <cell r="L794" t="str">
            <v>TXGU8263640</v>
          </cell>
          <cell r="M794">
            <v>14</v>
          </cell>
          <cell r="N794" t="str">
            <v>40HQ</v>
          </cell>
          <cell r="O794">
            <v>2</v>
          </cell>
          <cell r="P794">
            <v>45958</v>
          </cell>
          <cell r="Q794">
            <v>45960</v>
          </cell>
          <cell r="R794" t="str">
            <v>木</v>
          </cell>
          <cell r="S794" t="str">
            <v>AM9:30</v>
          </cell>
        </row>
        <row r="795">
          <cell r="A795">
            <v>8945</v>
          </cell>
          <cell r="B795" t="str">
            <v>梅田 勝太</v>
          </cell>
          <cell r="C795" t="str">
            <v>TRADIA</v>
          </cell>
          <cell r="D795">
            <v>45954</v>
          </cell>
          <cell r="E795" t="str">
            <v>25K0101</v>
          </cell>
          <cell r="F795" t="str">
            <v>I000013796</v>
          </cell>
          <cell r="H795" t="str">
            <v>41409631900</v>
          </cell>
          <cell r="I795">
            <v>1226522.28</v>
          </cell>
          <cell r="J795">
            <v>315960.15999999997</v>
          </cell>
          <cell r="K795">
            <v>25.34</v>
          </cell>
          <cell r="L795" t="str">
            <v>GAOU2500388</v>
          </cell>
          <cell r="M795">
            <v>3</v>
          </cell>
          <cell r="N795" t="str">
            <v>20GP</v>
          </cell>
          <cell r="O795">
            <v>2</v>
          </cell>
          <cell r="P795">
            <v>45670</v>
          </cell>
          <cell r="S795" t="str">
            <v>AM8:00</v>
          </cell>
        </row>
        <row r="796">
          <cell r="A796">
            <v>8946</v>
          </cell>
          <cell r="B796" t="str">
            <v>梅田 勝太</v>
          </cell>
          <cell r="C796" t="str">
            <v>TRADIA</v>
          </cell>
          <cell r="D796">
            <v>45954</v>
          </cell>
          <cell r="E796" t="str">
            <v>25K0102</v>
          </cell>
          <cell r="F796" t="str">
            <v>I000013799</v>
          </cell>
          <cell r="H796" t="str">
            <v>41409631900</v>
          </cell>
          <cell r="J796">
            <v>429257.32</v>
          </cell>
          <cell r="K796">
            <v>26.25</v>
          </cell>
          <cell r="L796" t="str">
            <v>TSSU2266400</v>
          </cell>
          <cell r="M796">
            <v>3</v>
          </cell>
          <cell r="N796" t="str">
            <v>20GP</v>
          </cell>
          <cell r="O796">
            <v>2</v>
          </cell>
          <cell r="P796">
            <v>45670</v>
          </cell>
          <cell r="S796" t="str">
            <v>AM8:00</v>
          </cell>
        </row>
        <row r="797">
          <cell r="A797">
            <v>8947</v>
          </cell>
          <cell r="B797" t="str">
            <v>梅田 勝太</v>
          </cell>
          <cell r="C797" t="str">
            <v>TRADIA</v>
          </cell>
          <cell r="D797">
            <v>45954</v>
          </cell>
          <cell r="E797" t="str">
            <v>25K0103</v>
          </cell>
          <cell r="F797" t="str">
            <v>I000013802</v>
          </cell>
          <cell r="H797" t="str">
            <v>41409631900</v>
          </cell>
          <cell r="J797">
            <v>481304.8</v>
          </cell>
          <cell r="K797">
            <v>26.17</v>
          </cell>
          <cell r="L797" t="str">
            <v>TSSU2182819</v>
          </cell>
          <cell r="M797">
            <v>3</v>
          </cell>
          <cell r="N797" t="str">
            <v>20GP</v>
          </cell>
          <cell r="O797">
            <v>2</v>
          </cell>
          <cell r="P797">
            <v>45670</v>
          </cell>
          <cell r="S797" t="str">
            <v>AM8:00</v>
          </cell>
        </row>
        <row r="798">
          <cell r="A798">
            <v>8948</v>
          </cell>
          <cell r="B798" t="str">
            <v>梅田 勝太</v>
          </cell>
          <cell r="C798" t="str">
            <v>TRADIA</v>
          </cell>
          <cell r="D798">
            <v>45954</v>
          </cell>
          <cell r="E798" t="str">
            <v>25K0104</v>
          </cell>
          <cell r="F798" t="str">
            <v>I000013807</v>
          </cell>
          <cell r="H798" t="str">
            <v>41411281101</v>
          </cell>
          <cell r="I798">
            <v>731750.12</v>
          </cell>
          <cell r="J798">
            <v>262670.12</v>
          </cell>
          <cell r="K798">
            <v>25.8</v>
          </cell>
          <cell r="L798" t="str">
            <v>WHLU0285542</v>
          </cell>
          <cell r="M798">
            <v>3</v>
          </cell>
          <cell r="N798" t="str">
            <v>20GP</v>
          </cell>
          <cell r="O798">
            <v>2</v>
          </cell>
          <cell r="P798">
            <v>45678</v>
          </cell>
          <cell r="S798" t="str">
            <v>AM8:00</v>
          </cell>
        </row>
        <row r="799">
          <cell r="A799">
            <v>8949</v>
          </cell>
          <cell r="B799" t="str">
            <v>梅田 勝太</v>
          </cell>
          <cell r="C799" t="str">
            <v>TRADIA</v>
          </cell>
          <cell r="D799">
            <v>45954</v>
          </cell>
          <cell r="E799" t="str">
            <v>25K0105</v>
          </cell>
          <cell r="F799" t="str">
            <v>I000013811</v>
          </cell>
          <cell r="H799" t="str">
            <v>41411281101</v>
          </cell>
          <cell r="J799">
            <v>469080</v>
          </cell>
          <cell r="K799">
            <v>27.8</v>
          </cell>
          <cell r="L799" t="str">
            <v>DFSU3032875</v>
          </cell>
          <cell r="M799">
            <v>3</v>
          </cell>
          <cell r="N799" t="str">
            <v>20GP</v>
          </cell>
          <cell r="O799">
            <v>2</v>
          </cell>
          <cell r="P799">
            <v>45678</v>
          </cell>
          <cell r="S799" t="str">
            <v>AM8:00</v>
          </cell>
        </row>
        <row r="800">
          <cell r="A800">
            <v>8950</v>
          </cell>
          <cell r="B800" t="str">
            <v>梅田 勝太</v>
          </cell>
          <cell r="C800" t="str">
            <v>TRADIA</v>
          </cell>
          <cell r="D800">
            <v>45954</v>
          </cell>
          <cell r="E800" t="str">
            <v>25K0106</v>
          </cell>
          <cell r="F800" t="str">
            <v>I000013813</v>
          </cell>
          <cell r="H800" t="str">
            <v>41412056110</v>
          </cell>
          <cell r="I800">
            <v>766820.72</v>
          </cell>
          <cell r="J800">
            <v>362689.28000000003</v>
          </cell>
          <cell r="K800">
            <v>28.78</v>
          </cell>
          <cell r="L800" t="str">
            <v>WHSU2522398</v>
          </cell>
          <cell r="M800">
            <v>3</v>
          </cell>
          <cell r="N800" t="str">
            <v>20GP</v>
          </cell>
          <cell r="O800">
            <v>2</v>
          </cell>
          <cell r="P800">
            <v>45671</v>
          </cell>
          <cell r="S800" t="str">
            <v>AM8:00</v>
          </cell>
        </row>
        <row r="801">
          <cell r="A801">
            <v>8951</v>
          </cell>
          <cell r="B801" t="str">
            <v>梅田 勝太</v>
          </cell>
          <cell r="C801" t="str">
            <v>TRADIA</v>
          </cell>
          <cell r="D801">
            <v>45954</v>
          </cell>
          <cell r="E801" t="str">
            <v>25K0107</v>
          </cell>
          <cell r="F801" t="str">
            <v>I000013824</v>
          </cell>
          <cell r="H801" t="str">
            <v>41412056110</v>
          </cell>
          <cell r="J801">
            <v>404131.44</v>
          </cell>
          <cell r="K801">
            <v>30.07</v>
          </cell>
          <cell r="L801" t="str">
            <v>WHSU0033968</v>
          </cell>
          <cell r="M801">
            <v>3</v>
          </cell>
          <cell r="N801" t="str">
            <v>20GP</v>
          </cell>
          <cell r="O801">
            <v>2</v>
          </cell>
          <cell r="P801">
            <v>45676</v>
          </cell>
          <cell r="S801" t="str">
            <v>AM8:00</v>
          </cell>
        </row>
        <row r="802">
          <cell r="A802">
            <v>8952</v>
          </cell>
          <cell r="B802" t="str">
            <v>梅田 勝太</v>
          </cell>
          <cell r="C802" t="str">
            <v>TRADIA</v>
          </cell>
          <cell r="D802">
            <v>45954</v>
          </cell>
          <cell r="E802" t="str">
            <v>25K0108</v>
          </cell>
          <cell r="F802" t="str">
            <v>I000013831</v>
          </cell>
          <cell r="H802" t="str">
            <v>41411842610</v>
          </cell>
          <cell r="I802">
            <v>1009339.76</v>
          </cell>
          <cell r="J802">
            <v>475319.92</v>
          </cell>
          <cell r="K802">
            <v>28.77</v>
          </cell>
          <cell r="L802" t="str">
            <v>WHSU2908570</v>
          </cell>
          <cell r="M802">
            <v>3</v>
          </cell>
          <cell r="N802" t="str">
            <v>20GP</v>
          </cell>
          <cell r="O802">
            <v>2</v>
          </cell>
          <cell r="P802">
            <v>45681</v>
          </cell>
          <cell r="S802" t="str">
            <v>AM8:00</v>
          </cell>
        </row>
        <row r="803">
          <cell r="A803">
            <v>8953</v>
          </cell>
          <cell r="B803" t="str">
            <v>梅田 勝太</v>
          </cell>
          <cell r="C803" t="str">
            <v>TRADIA</v>
          </cell>
          <cell r="D803">
            <v>45954</v>
          </cell>
          <cell r="E803" t="str">
            <v>25K0109</v>
          </cell>
          <cell r="F803" t="str">
            <v>I000013834</v>
          </cell>
          <cell r="H803" t="str">
            <v>41411842610</v>
          </cell>
          <cell r="J803">
            <v>534017.84</v>
          </cell>
          <cell r="K803">
            <v>27.87</v>
          </cell>
          <cell r="L803" t="str">
            <v>WHSU0027590</v>
          </cell>
          <cell r="M803">
            <v>3</v>
          </cell>
          <cell r="N803" t="str">
            <v>20GP</v>
          </cell>
          <cell r="O803">
            <v>2</v>
          </cell>
          <cell r="P803">
            <v>45681</v>
          </cell>
          <cell r="S803" t="str">
            <v>AM8:00</v>
          </cell>
        </row>
        <row r="804">
          <cell r="A804">
            <v>8954</v>
          </cell>
          <cell r="B804" t="str">
            <v>梅田 勝太</v>
          </cell>
          <cell r="C804" t="str">
            <v>TRADIA</v>
          </cell>
          <cell r="D804">
            <v>45954</v>
          </cell>
          <cell r="E804" t="str">
            <v>25K0109-2</v>
          </cell>
          <cell r="F804" t="str">
            <v>I000013834</v>
          </cell>
          <cell r="H804" t="str">
            <v>41411842610</v>
          </cell>
          <cell r="J804">
            <v>2</v>
          </cell>
          <cell r="K804">
            <v>0.01</v>
          </cell>
          <cell r="L804" t="str">
            <v>WHSU0027590</v>
          </cell>
          <cell r="M804">
            <v>3</v>
          </cell>
          <cell r="N804" t="str">
            <v>20GP</v>
          </cell>
          <cell r="O804">
            <v>2</v>
          </cell>
          <cell r="P804">
            <v>45681</v>
          </cell>
          <cell r="S804" t="str">
            <v>AM8:00</v>
          </cell>
        </row>
        <row r="805">
          <cell r="A805">
            <v>8955</v>
          </cell>
          <cell r="B805" t="str">
            <v>梅田 勝太</v>
          </cell>
          <cell r="C805" t="str">
            <v>TRADIA</v>
          </cell>
          <cell r="D805">
            <v>45954</v>
          </cell>
          <cell r="E805" t="str">
            <v>25K0110</v>
          </cell>
          <cell r="F805" t="str">
            <v>I000013845</v>
          </cell>
          <cell r="H805" t="str">
            <v>41415451810</v>
          </cell>
          <cell r="I805">
            <v>810125.96</v>
          </cell>
          <cell r="J805">
            <v>431005.68</v>
          </cell>
          <cell r="K805">
            <v>25.97</v>
          </cell>
          <cell r="L805" t="str">
            <v>WHSU0340347</v>
          </cell>
          <cell r="M805">
            <v>3</v>
          </cell>
          <cell r="N805" t="str">
            <v>20GP</v>
          </cell>
          <cell r="O805">
            <v>2</v>
          </cell>
          <cell r="P805">
            <v>45684</v>
          </cell>
          <cell r="S805" t="str">
            <v>AM8:00</v>
          </cell>
        </row>
        <row r="806">
          <cell r="A806">
            <v>8956</v>
          </cell>
          <cell r="B806" t="str">
            <v>梅田 勝太</v>
          </cell>
          <cell r="C806" t="str">
            <v>TRADIA</v>
          </cell>
          <cell r="D806">
            <v>45954</v>
          </cell>
          <cell r="E806" t="str">
            <v>25K0110-2</v>
          </cell>
          <cell r="F806" t="str">
            <v>I000013845</v>
          </cell>
          <cell r="H806" t="str">
            <v>41415451810</v>
          </cell>
          <cell r="J806">
            <v>4160</v>
          </cell>
          <cell r="K806">
            <v>1.2E-2</v>
          </cell>
          <cell r="L806" t="str">
            <v>WHSU0340347</v>
          </cell>
          <cell r="M806">
            <v>3</v>
          </cell>
          <cell r="N806" t="str">
            <v>20GP</v>
          </cell>
          <cell r="O806">
            <v>2</v>
          </cell>
          <cell r="P806">
            <v>45684</v>
          </cell>
          <cell r="S806" t="str">
            <v>AM8:00</v>
          </cell>
        </row>
        <row r="807">
          <cell r="A807">
            <v>8957</v>
          </cell>
          <cell r="B807" t="str">
            <v>梅田 勝太</v>
          </cell>
          <cell r="C807" t="str">
            <v>TRADIA</v>
          </cell>
          <cell r="D807">
            <v>45954</v>
          </cell>
          <cell r="E807" t="str">
            <v>25K0111</v>
          </cell>
          <cell r="F807" t="str">
            <v>I000013849</v>
          </cell>
          <cell r="H807" t="str">
            <v>41415451810</v>
          </cell>
          <cell r="J807">
            <v>374960.28</v>
          </cell>
          <cell r="K807">
            <v>24.14</v>
          </cell>
          <cell r="L807" t="str">
            <v>WHSU2961702</v>
          </cell>
          <cell r="M807">
            <v>3</v>
          </cell>
          <cell r="N807" t="str">
            <v>20GP</v>
          </cell>
          <cell r="O807">
            <v>2</v>
          </cell>
          <cell r="P807">
            <v>45684</v>
          </cell>
          <cell r="S807" t="str">
            <v>AM8:00</v>
          </cell>
        </row>
        <row r="808">
          <cell r="A808">
            <v>8958</v>
          </cell>
          <cell r="B808" t="str">
            <v>梅田 勝太</v>
          </cell>
          <cell r="C808" t="str">
            <v>TRADIA</v>
          </cell>
          <cell r="D808">
            <v>45954</v>
          </cell>
          <cell r="E808" t="str">
            <v>25K0112</v>
          </cell>
          <cell r="F808" t="str">
            <v>I000013858</v>
          </cell>
          <cell r="J808">
            <v>351700.38</v>
          </cell>
          <cell r="K808">
            <v>25.38</v>
          </cell>
          <cell r="L808" t="str">
            <v>OOLU0674010</v>
          </cell>
          <cell r="M808">
            <v>3</v>
          </cell>
          <cell r="N808" t="str">
            <v>20GP</v>
          </cell>
          <cell r="O808">
            <v>2</v>
          </cell>
          <cell r="P808">
            <v>45688</v>
          </cell>
          <cell r="S808" t="str">
            <v>AM8:00</v>
          </cell>
        </row>
        <row r="809">
          <cell r="A809">
            <v>8959</v>
          </cell>
          <cell r="B809" t="str">
            <v>梅田 勝太</v>
          </cell>
          <cell r="C809" t="str">
            <v>TRADIA</v>
          </cell>
          <cell r="D809">
            <v>45954</v>
          </cell>
          <cell r="E809" t="str">
            <v>25K0113</v>
          </cell>
          <cell r="F809" t="str">
            <v>I000013869</v>
          </cell>
          <cell r="J809">
            <v>313683.86</v>
          </cell>
          <cell r="K809">
            <v>24.39</v>
          </cell>
          <cell r="L809" t="str">
            <v>WHSU2977069</v>
          </cell>
          <cell r="M809">
            <v>3</v>
          </cell>
          <cell r="N809" t="str">
            <v>20GP</v>
          </cell>
          <cell r="O809">
            <v>2</v>
          </cell>
          <cell r="P809">
            <v>45694</v>
          </cell>
          <cell r="S809" t="str">
            <v>AM8:00</v>
          </cell>
        </row>
        <row r="810">
          <cell r="A810">
            <v>8960</v>
          </cell>
          <cell r="B810" t="str">
            <v>梅田 勝太</v>
          </cell>
          <cell r="C810" t="str">
            <v>TRADIA</v>
          </cell>
          <cell r="D810">
            <v>45954</v>
          </cell>
          <cell r="E810" t="str">
            <v>25K0114</v>
          </cell>
          <cell r="F810" t="str">
            <v>I000013873</v>
          </cell>
          <cell r="J810">
            <v>424540.68</v>
          </cell>
          <cell r="K810">
            <v>24.68</v>
          </cell>
          <cell r="L810" t="str">
            <v>WHSU0207777</v>
          </cell>
          <cell r="M810">
            <v>3</v>
          </cell>
          <cell r="N810" t="str">
            <v>20GP</v>
          </cell>
          <cell r="O810">
            <v>2</v>
          </cell>
          <cell r="P810">
            <v>45694</v>
          </cell>
          <cell r="S810" t="str">
            <v>AM8:00</v>
          </cell>
        </row>
        <row r="811">
          <cell r="A811">
            <v>8961</v>
          </cell>
          <cell r="B811" t="str">
            <v>梅田 勝太</v>
          </cell>
          <cell r="C811" t="str">
            <v>TRADIA</v>
          </cell>
          <cell r="D811">
            <v>45954</v>
          </cell>
          <cell r="E811" t="str">
            <v>25K0150</v>
          </cell>
          <cell r="J811">
            <v>144</v>
          </cell>
          <cell r="M811">
            <v>3</v>
          </cell>
          <cell r="N811" t="str">
            <v>AIR</v>
          </cell>
          <cell r="P811">
            <v>45664</v>
          </cell>
          <cell r="S811" t="str">
            <v>AM8:00</v>
          </cell>
        </row>
        <row r="812">
          <cell r="A812">
            <v>8962</v>
          </cell>
          <cell r="B812" t="str">
            <v>梅田 勝太</v>
          </cell>
          <cell r="C812" t="str">
            <v>TRADIA</v>
          </cell>
          <cell r="D812">
            <v>45954</v>
          </cell>
          <cell r="E812" t="str">
            <v>25K0151</v>
          </cell>
          <cell r="F812" t="str">
            <v>I000013820</v>
          </cell>
          <cell r="J812">
            <v>392</v>
          </cell>
          <cell r="K812">
            <v>0.1</v>
          </cell>
          <cell r="M812">
            <v>3</v>
          </cell>
          <cell r="N812" t="str">
            <v>AIR</v>
          </cell>
          <cell r="P812">
            <v>45666</v>
          </cell>
          <cell r="S812" t="str">
            <v>AM8:00</v>
          </cell>
        </row>
        <row r="813">
          <cell r="A813">
            <v>8963</v>
          </cell>
          <cell r="B813" t="str">
            <v>梅田 勝太</v>
          </cell>
          <cell r="C813" t="str">
            <v>TRADIA</v>
          </cell>
          <cell r="D813">
            <v>45954</v>
          </cell>
          <cell r="E813" t="str">
            <v>25K0152</v>
          </cell>
          <cell r="F813" t="str">
            <v>I000013828</v>
          </cell>
          <cell r="J813">
            <v>18364.759999999998</v>
          </cell>
          <cell r="K813">
            <v>0.78</v>
          </cell>
          <cell r="M813">
            <v>3</v>
          </cell>
          <cell r="N813" t="str">
            <v>AIR</v>
          </cell>
          <cell r="P813">
            <v>45671</v>
          </cell>
          <cell r="S813" t="str">
            <v>AM8:00</v>
          </cell>
        </row>
        <row r="814">
          <cell r="A814">
            <v>8964</v>
          </cell>
          <cell r="B814" t="str">
            <v>梅田 勝太</v>
          </cell>
          <cell r="C814" t="str">
            <v>TRADIA</v>
          </cell>
          <cell r="D814">
            <v>45954</v>
          </cell>
          <cell r="E814" t="str">
            <v>25K0153</v>
          </cell>
          <cell r="F814" t="str">
            <v>I000013844</v>
          </cell>
          <cell r="J814">
            <v>11010</v>
          </cell>
          <cell r="K814">
            <v>0.69</v>
          </cell>
          <cell r="M814">
            <v>3</v>
          </cell>
          <cell r="N814" t="str">
            <v>AIR</v>
          </cell>
          <cell r="P814">
            <v>45674</v>
          </cell>
          <cell r="S814" t="str">
            <v>AM8:00</v>
          </cell>
        </row>
        <row r="815">
          <cell r="A815">
            <v>8965</v>
          </cell>
          <cell r="B815" t="str">
            <v>梅田 勝太</v>
          </cell>
          <cell r="C815" t="str">
            <v>TRADIA</v>
          </cell>
          <cell r="D815">
            <v>45954</v>
          </cell>
          <cell r="E815" t="str">
            <v>25K0154</v>
          </cell>
          <cell r="F815" t="str">
            <v>I000013830</v>
          </cell>
          <cell r="J815">
            <v>79.010000000000005</v>
          </cell>
          <cell r="K815">
            <v>0.01</v>
          </cell>
          <cell r="M815">
            <v>3</v>
          </cell>
          <cell r="N815" t="str">
            <v>AIR</v>
          </cell>
          <cell r="P815">
            <v>45671</v>
          </cell>
          <cell r="S815" t="str">
            <v>AM8:00</v>
          </cell>
        </row>
        <row r="816">
          <cell r="A816">
            <v>8966</v>
          </cell>
          <cell r="B816" t="str">
            <v>梅田 勝太</v>
          </cell>
          <cell r="C816" t="str">
            <v>TRADIA</v>
          </cell>
          <cell r="D816">
            <v>45954</v>
          </cell>
          <cell r="E816" t="str">
            <v>25K0155</v>
          </cell>
          <cell r="J816">
            <v>100</v>
          </cell>
          <cell r="M816">
            <v>3</v>
          </cell>
          <cell r="N816" t="str">
            <v>AIR</v>
          </cell>
          <cell r="P816">
            <v>45670</v>
          </cell>
          <cell r="S816" t="str">
            <v>AM8:00</v>
          </cell>
        </row>
        <row r="817">
          <cell r="A817">
            <v>8967</v>
          </cell>
          <cell r="B817" t="str">
            <v>梅田 勝太</v>
          </cell>
          <cell r="C817" t="str">
            <v>TRADIA</v>
          </cell>
          <cell r="D817">
            <v>45954</v>
          </cell>
          <cell r="E817" t="str">
            <v>25K0156</v>
          </cell>
          <cell r="F817" t="str">
            <v>I000013836</v>
          </cell>
          <cell r="J817">
            <v>3290</v>
          </cell>
          <cell r="K817">
            <v>0.14000000000000001</v>
          </cell>
          <cell r="M817">
            <v>3</v>
          </cell>
          <cell r="N817" t="str">
            <v>AIR</v>
          </cell>
          <cell r="P817">
            <v>45670</v>
          </cell>
          <cell r="S817" t="str">
            <v>AM8:00</v>
          </cell>
        </row>
        <row r="818">
          <cell r="A818">
            <v>8968</v>
          </cell>
          <cell r="B818" t="str">
            <v>梅田 勝太</v>
          </cell>
          <cell r="C818" t="str">
            <v>TRADIA</v>
          </cell>
          <cell r="D818">
            <v>45954</v>
          </cell>
          <cell r="E818" t="str">
            <v>25K0157</v>
          </cell>
          <cell r="F818" t="str">
            <v>I000013829</v>
          </cell>
          <cell r="J818">
            <v>400</v>
          </cell>
          <cell r="K818">
            <v>0.03</v>
          </cell>
          <cell r="M818">
            <v>3</v>
          </cell>
          <cell r="N818" t="str">
            <v>AIR</v>
          </cell>
          <cell r="P818">
            <v>45671</v>
          </cell>
          <cell r="S818" t="str">
            <v>AM8:00</v>
          </cell>
        </row>
        <row r="819">
          <cell r="A819">
            <v>8969</v>
          </cell>
          <cell r="B819" t="str">
            <v>梅田 勝太</v>
          </cell>
          <cell r="C819" t="str">
            <v>TRADIA</v>
          </cell>
          <cell r="D819">
            <v>45954</v>
          </cell>
          <cell r="E819" t="str">
            <v>25K0159</v>
          </cell>
          <cell r="F819" t="str">
            <v>I000013838</v>
          </cell>
          <cell r="J819">
            <v>904.12</v>
          </cell>
          <cell r="K819">
            <v>0.1</v>
          </cell>
          <cell r="M819">
            <v>3</v>
          </cell>
          <cell r="N819" t="str">
            <v>AIR</v>
          </cell>
          <cell r="P819">
            <v>45673</v>
          </cell>
          <cell r="S819" t="str">
            <v>AM8:00</v>
          </cell>
        </row>
        <row r="820">
          <cell r="A820">
            <v>8970</v>
          </cell>
          <cell r="B820" t="str">
            <v>梅田 勝太</v>
          </cell>
          <cell r="C820" t="str">
            <v>TRADIA</v>
          </cell>
          <cell r="D820">
            <v>45954</v>
          </cell>
          <cell r="E820" t="str">
            <v>25K0160</v>
          </cell>
          <cell r="F820" t="str">
            <v>I000013856</v>
          </cell>
          <cell r="J820">
            <v>24738.44</v>
          </cell>
          <cell r="K820">
            <v>0.56999999999999995</v>
          </cell>
          <cell r="M820">
            <v>3</v>
          </cell>
          <cell r="N820" t="str">
            <v>AIR</v>
          </cell>
          <cell r="P820">
            <v>45677</v>
          </cell>
          <cell r="S820" t="str">
            <v>AM8:00</v>
          </cell>
        </row>
        <row r="821">
          <cell r="A821">
            <v>8971</v>
          </cell>
          <cell r="B821" t="str">
            <v>梅田 勝太</v>
          </cell>
          <cell r="C821" t="str">
            <v>TRADIA</v>
          </cell>
          <cell r="D821">
            <v>45954</v>
          </cell>
          <cell r="E821" t="str">
            <v>25K0161</v>
          </cell>
          <cell r="F821" t="str">
            <v>I000013855</v>
          </cell>
          <cell r="J821">
            <v>980</v>
          </cell>
          <cell r="K821">
            <v>0.12</v>
          </cell>
          <cell r="M821">
            <v>3</v>
          </cell>
          <cell r="N821" t="str">
            <v>AIR</v>
          </cell>
          <cell r="P821">
            <v>45677</v>
          </cell>
          <cell r="S821" t="str">
            <v>AM8:00</v>
          </cell>
        </row>
        <row r="822">
          <cell r="A822">
            <v>8972</v>
          </cell>
          <cell r="B822" t="str">
            <v>梅田 勝太</v>
          </cell>
          <cell r="C822" t="str">
            <v>TRADIA</v>
          </cell>
          <cell r="D822">
            <v>45954</v>
          </cell>
          <cell r="E822" t="str">
            <v>25K0162</v>
          </cell>
          <cell r="F822" t="str">
            <v>I000013871</v>
          </cell>
          <cell r="J822">
            <v>116473.12</v>
          </cell>
          <cell r="K822">
            <v>0.67</v>
          </cell>
          <cell r="M822">
            <v>3</v>
          </cell>
          <cell r="N822" t="str">
            <v>AIR</v>
          </cell>
          <cell r="P822">
            <v>45679</v>
          </cell>
          <cell r="S822" t="str">
            <v>AM8:00</v>
          </cell>
        </row>
        <row r="823">
          <cell r="A823">
            <v>8973</v>
          </cell>
          <cell r="B823" t="str">
            <v>梅田 勝太</v>
          </cell>
          <cell r="C823" t="str">
            <v>TRADIA</v>
          </cell>
          <cell r="D823">
            <v>45954</v>
          </cell>
          <cell r="E823" t="str">
            <v>25K0163</v>
          </cell>
          <cell r="F823" t="str">
            <v>I000013863</v>
          </cell>
          <cell r="J823">
            <v>537.6</v>
          </cell>
          <cell r="K823">
            <v>0.1</v>
          </cell>
          <cell r="M823">
            <v>3</v>
          </cell>
          <cell r="N823" t="str">
            <v>AIR</v>
          </cell>
          <cell r="P823">
            <v>45679</v>
          </cell>
          <cell r="S823" t="str">
            <v>AM8:00</v>
          </cell>
        </row>
        <row r="824">
          <cell r="A824">
            <v>8974</v>
          </cell>
          <cell r="B824" t="str">
            <v>梅田 勝太</v>
          </cell>
          <cell r="C824" t="str">
            <v>TRADIA</v>
          </cell>
          <cell r="D824">
            <v>45954</v>
          </cell>
          <cell r="E824" t="str">
            <v>25K0163-2</v>
          </cell>
          <cell r="F824" t="str">
            <v>I000013863</v>
          </cell>
          <cell r="J824">
            <v>160</v>
          </cell>
          <cell r="K824">
            <v>2.5999999999999999E-2</v>
          </cell>
          <cell r="M824">
            <v>3</v>
          </cell>
          <cell r="N824" t="str">
            <v>AIR</v>
          </cell>
          <cell r="P824">
            <v>45679</v>
          </cell>
          <cell r="S824" t="str">
            <v>AM8:00</v>
          </cell>
        </row>
        <row r="825">
          <cell r="A825">
            <v>8975</v>
          </cell>
          <cell r="B825" t="str">
            <v>梅田 勝太</v>
          </cell>
          <cell r="C825" t="str">
            <v>TRADIA</v>
          </cell>
          <cell r="D825">
            <v>45954</v>
          </cell>
          <cell r="E825" t="str">
            <v>25K0164</v>
          </cell>
          <cell r="F825" t="str">
            <v>I000013872</v>
          </cell>
          <cell r="J825">
            <v>8756.7099999999991</v>
          </cell>
          <cell r="K825">
            <v>0.12</v>
          </cell>
          <cell r="M825">
            <v>3</v>
          </cell>
          <cell r="N825" t="str">
            <v>AIR</v>
          </cell>
          <cell r="P825">
            <v>45679</v>
          </cell>
          <cell r="S825" t="str">
            <v>AM8:00</v>
          </cell>
        </row>
        <row r="826">
          <cell r="A826">
            <v>8976</v>
          </cell>
          <cell r="B826" t="str">
            <v>梅田 勝太</v>
          </cell>
          <cell r="C826" t="str">
            <v>TRADIA</v>
          </cell>
          <cell r="D826">
            <v>45954</v>
          </cell>
          <cell r="E826" t="str">
            <v>25K0165</v>
          </cell>
          <cell r="F826" t="str">
            <v>I000013870</v>
          </cell>
          <cell r="J826">
            <v>946.84</v>
          </cell>
          <cell r="K826">
            <v>0.3</v>
          </cell>
          <cell r="M826">
            <v>3</v>
          </cell>
          <cell r="N826" t="str">
            <v>AIR</v>
          </cell>
          <cell r="P826">
            <v>45679</v>
          </cell>
          <cell r="S826" t="str">
            <v>AM8:00</v>
          </cell>
        </row>
        <row r="827">
          <cell r="A827">
            <v>8977</v>
          </cell>
          <cell r="B827" t="str">
            <v>梅田 勝太</v>
          </cell>
          <cell r="C827" t="str">
            <v>TRADIA</v>
          </cell>
          <cell r="D827">
            <v>45954</v>
          </cell>
          <cell r="E827" t="str">
            <v>25K0201</v>
          </cell>
          <cell r="F827" t="str">
            <v>I000013880</v>
          </cell>
          <cell r="H827" t="str">
            <v>41419816640</v>
          </cell>
          <cell r="I827">
            <v>737131.31</v>
          </cell>
          <cell r="J827">
            <v>343034.42</v>
          </cell>
          <cell r="K827">
            <v>25.92</v>
          </cell>
          <cell r="L827" t="str">
            <v>TSSU2242693</v>
          </cell>
          <cell r="M827">
            <v>3</v>
          </cell>
          <cell r="N827" t="str">
            <v>20GP</v>
          </cell>
          <cell r="O827">
            <v>2</v>
          </cell>
          <cell r="P827">
            <v>45706</v>
          </cell>
          <cell r="S827" t="str">
            <v>AM8:00</v>
          </cell>
        </row>
        <row r="828">
          <cell r="A828">
            <v>8978</v>
          </cell>
          <cell r="B828" t="str">
            <v>梅田 勝太</v>
          </cell>
          <cell r="C828" t="str">
            <v>TRADIA</v>
          </cell>
          <cell r="D828">
            <v>45954</v>
          </cell>
          <cell r="E828" t="str">
            <v>25K0202</v>
          </cell>
          <cell r="F828" t="str">
            <v>I000013883</v>
          </cell>
          <cell r="H828" t="str">
            <v>41419816640</v>
          </cell>
          <cell r="J828">
            <v>394096.89</v>
          </cell>
          <cell r="K828">
            <v>26.44</v>
          </cell>
          <cell r="L828" t="str">
            <v>TSSU2264901</v>
          </cell>
          <cell r="M828">
            <v>3</v>
          </cell>
          <cell r="N828" t="str">
            <v>20GP</v>
          </cell>
          <cell r="O828">
            <v>2</v>
          </cell>
          <cell r="P828">
            <v>45706</v>
          </cell>
          <cell r="S828" t="str">
            <v>AM8:00</v>
          </cell>
        </row>
        <row r="829">
          <cell r="A829">
            <v>8979</v>
          </cell>
          <cell r="B829" t="str">
            <v>梅田 勝太</v>
          </cell>
          <cell r="C829" t="str">
            <v>TRADIA</v>
          </cell>
          <cell r="D829">
            <v>45954</v>
          </cell>
          <cell r="E829" t="str">
            <v>25K0203</v>
          </cell>
          <cell r="F829" t="str">
            <v>I000013888</v>
          </cell>
          <cell r="H829" t="str">
            <v>41419817120</v>
          </cell>
          <cell r="I829">
            <v>896980.04</v>
          </cell>
          <cell r="J829">
            <v>487405.26</v>
          </cell>
          <cell r="K829">
            <v>26.09</v>
          </cell>
          <cell r="L829" t="str">
            <v>FYCU7227981</v>
          </cell>
          <cell r="M829">
            <v>3</v>
          </cell>
          <cell r="N829" t="str">
            <v>20GP</v>
          </cell>
          <cell r="O829">
            <v>2</v>
          </cell>
          <cell r="P829">
            <v>45708</v>
          </cell>
          <cell r="S829" t="str">
            <v>AM8:00</v>
          </cell>
        </row>
        <row r="830">
          <cell r="A830">
            <v>8980</v>
          </cell>
          <cell r="B830" t="str">
            <v>梅田 勝太</v>
          </cell>
          <cell r="C830" t="str">
            <v>TRADIA</v>
          </cell>
          <cell r="D830">
            <v>45954</v>
          </cell>
          <cell r="E830" t="str">
            <v>25K0205</v>
          </cell>
          <cell r="F830" t="str">
            <v>I000013902</v>
          </cell>
          <cell r="H830" t="str">
            <v>41419817120</v>
          </cell>
          <cell r="J830">
            <v>409574.78</v>
          </cell>
          <cell r="K830">
            <v>27.24</v>
          </cell>
          <cell r="L830" t="str">
            <v>TSSU2181026</v>
          </cell>
          <cell r="M830">
            <v>3</v>
          </cell>
          <cell r="N830" t="str">
            <v>20GP</v>
          </cell>
          <cell r="O830">
            <v>2</v>
          </cell>
          <cell r="P830">
            <v>45708</v>
          </cell>
          <cell r="S830" t="str">
            <v>AM8:00</v>
          </cell>
        </row>
        <row r="831">
          <cell r="A831">
            <v>8981</v>
          </cell>
          <cell r="B831" t="str">
            <v>梅田 勝太</v>
          </cell>
          <cell r="C831" t="str">
            <v>TRADIA</v>
          </cell>
          <cell r="D831">
            <v>45954</v>
          </cell>
          <cell r="E831" t="str">
            <v>25K0204</v>
          </cell>
          <cell r="F831" t="str">
            <v>I000013805</v>
          </cell>
          <cell r="H831" t="str">
            <v>41420163620</v>
          </cell>
          <cell r="I831">
            <v>399230.48</v>
          </cell>
          <cell r="J831">
            <v>399230.48</v>
          </cell>
          <cell r="K831">
            <v>26.48</v>
          </cell>
          <cell r="L831" t="str">
            <v>EGSU3315306</v>
          </cell>
          <cell r="M831">
            <v>3</v>
          </cell>
          <cell r="N831" t="str">
            <v>20GP</v>
          </cell>
          <cell r="O831">
            <v>2</v>
          </cell>
          <cell r="P831">
            <v>45710</v>
          </cell>
          <cell r="S831" t="str">
            <v>AM8:00</v>
          </cell>
        </row>
        <row r="832">
          <cell r="A832">
            <v>8982</v>
          </cell>
          <cell r="B832" t="str">
            <v>梅田 勝太</v>
          </cell>
          <cell r="C832" t="str">
            <v>TRADIA</v>
          </cell>
          <cell r="D832">
            <v>45954</v>
          </cell>
          <cell r="E832" t="str">
            <v>25K0206</v>
          </cell>
          <cell r="F832" t="str">
            <v>I000013911</v>
          </cell>
          <cell r="H832" t="str">
            <v>41421502240</v>
          </cell>
          <cell r="I832">
            <v>497104.62</v>
          </cell>
          <cell r="J832">
            <v>497104.62</v>
          </cell>
          <cell r="K832">
            <v>28.33</v>
          </cell>
          <cell r="L832" t="str">
            <v>WHSU0242546</v>
          </cell>
          <cell r="M832">
            <v>3</v>
          </cell>
          <cell r="N832" t="str">
            <v>20GP</v>
          </cell>
          <cell r="O832">
            <v>2</v>
          </cell>
          <cell r="P832">
            <v>45714</v>
          </cell>
          <cell r="S832" t="str">
            <v>AM8:00</v>
          </cell>
        </row>
        <row r="833">
          <cell r="A833">
            <v>8983</v>
          </cell>
          <cell r="B833" t="str">
            <v>梅田 勝太</v>
          </cell>
          <cell r="C833" t="str">
            <v>TRADIA</v>
          </cell>
          <cell r="D833">
            <v>45954</v>
          </cell>
          <cell r="E833" t="str">
            <v>25K0207</v>
          </cell>
          <cell r="F833" t="str">
            <v>I000013918</v>
          </cell>
          <cell r="H833" t="str">
            <v>41422608130</v>
          </cell>
          <cell r="I833">
            <v>408538.06</v>
          </cell>
          <cell r="J833">
            <v>408538.06</v>
          </cell>
          <cell r="K833">
            <v>26.23</v>
          </cell>
          <cell r="L833" t="str">
            <v>TSSU2161570</v>
          </cell>
          <cell r="M833">
            <v>3</v>
          </cell>
          <cell r="N833" t="str">
            <v>20GP</v>
          </cell>
          <cell r="O833">
            <v>2</v>
          </cell>
          <cell r="P833">
            <v>45716</v>
          </cell>
          <cell r="S833" t="str">
            <v>AM8:00</v>
          </cell>
        </row>
        <row r="834">
          <cell r="A834">
            <v>8984</v>
          </cell>
          <cell r="B834" t="str">
            <v>梅田 勝太</v>
          </cell>
          <cell r="C834" t="str">
            <v>TRADIA</v>
          </cell>
          <cell r="D834">
            <v>45954</v>
          </cell>
          <cell r="E834" t="str">
            <v>25K0208</v>
          </cell>
          <cell r="F834" t="str">
            <v>I000013930</v>
          </cell>
          <cell r="H834" t="str">
            <v>41423680310</v>
          </cell>
          <cell r="I834">
            <v>455764.6</v>
          </cell>
          <cell r="J834">
            <v>455764.6</v>
          </cell>
          <cell r="K834">
            <v>26.36</v>
          </cell>
          <cell r="L834" t="str">
            <v>WHSU0017680</v>
          </cell>
          <cell r="M834">
            <v>3</v>
          </cell>
          <cell r="N834" t="str">
            <v>20GP</v>
          </cell>
          <cell r="O834">
            <v>2</v>
          </cell>
          <cell r="P834">
            <v>45720</v>
          </cell>
          <cell r="S834" t="str">
            <v>AM8:00</v>
          </cell>
        </row>
        <row r="835">
          <cell r="A835">
            <v>8985</v>
          </cell>
          <cell r="B835" t="str">
            <v>梅田 勝太</v>
          </cell>
          <cell r="C835" t="str">
            <v>TRADIA</v>
          </cell>
          <cell r="D835">
            <v>45954</v>
          </cell>
          <cell r="E835" t="str">
            <v>25K0209</v>
          </cell>
          <cell r="F835" t="str">
            <v>I000013934</v>
          </cell>
          <cell r="J835">
            <v>183915.88</v>
          </cell>
          <cell r="K835">
            <v>29.24</v>
          </cell>
          <cell r="L835" t="str">
            <v>BSIU2955803</v>
          </cell>
          <cell r="M835">
            <v>3</v>
          </cell>
          <cell r="N835" t="str">
            <v>20GP</v>
          </cell>
          <cell r="O835">
            <v>2</v>
          </cell>
          <cell r="P835">
            <v>45726</v>
          </cell>
          <cell r="S835" t="str">
            <v>AM8:00</v>
          </cell>
        </row>
        <row r="836">
          <cell r="A836">
            <v>8986</v>
          </cell>
          <cell r="B836" t="str">
            <v>梅田 勝太</v>
          </cell>
          <cell r="C836" t="str">
            <v>TRADIA</v>
          </cell>
          <cell r="D836">
            <v>45954</v>
          </cell>
          <cell r="E836" t="str">
            <v>25K0210</v>
          </cell>
          <cell r="F836" t="str">
            <v>I000013938</v>
          </cell>
          <cell r="J836">
            <v>529318.04</v>
          </cell>
          <cell r="K836">
            <v>27.68</v>
          </cell>
          <cell r="L836" t="str">
            <v>OOLU2989716</v>
          </cell>
          <cell r="M836">
            <v>3</v>
          </cell>
          <cell r="N836" t="str">
            <v>20GP</v>
          </cell>
          <cell r="O836">
            <v>2</v>
          </cell>
          <cell r="P836">
            <v>45726</v>
          </cell>
          <cell r="S836" t="str">
            <v>AM8:00</v>
          </cell>
        </row>
        <row r="837">
          <cell r="A837">
            <v>8987</v>
          </cell>
          <cell r="B837" t="str">
            <v>梅田 勝太</v>
          </cell>
          <cell r="C837" t="str">
            <v>TRADIA</v>
          </cell>
          <cell r="D837">
            <v>45954</v>
          </cell>
          <cell r="E837" t="str">
            <v>25K0211</v>
          </cell>
          <cell r="F837" t="str">
            <v>I000013950</v>
          </cell>
          <cell r="J837">
            <v>637996.4</v>
          </cell>
          <cell r="K837">
            <v>29.25</v>
          </cell>
          <cell r="L837" t="str">
            <v>TGBU3024655</v>
          </cell>
          <cell r="M837">
            <v>3</v>
          </cell>
          <cell r="N837" t="str">
            <v>20GP</v>
          </cell>
          <cell r="O837">
            <v>2</v>
          </cell>
          <cell r="P837">
            <v>45726</v>
          </cell>
          <cell r="S837" t="str">
            <v>AM8:00</v>
          </cell>
        </row>
        <row r="838">
          <cell r="A838">
            <v>8988</v>
          </cell>
          <cell r="B838" t="str">
            <v>梅田 勝太</v>
          </cell>
          <cell r="C838" t="str">
            <v>TRADIA</v>
          </cell>
          <cell r="D838">
            <v>45954</v>
          </cell>
          <cell r="E838" t="str">
            <v>25K0250</v>
          </cell>
          <cell r="F838" t="str">
            <v>I000013879</v>
          </cell>
          <cell r="J838">
            <v>78730.11</v>
          </cell>
          <cell r="K838">
            <v>0.22</v>
          </cell>
          <cell r="M838">
            <v>3</v>
          </cell>
          <cell r="N838" t="str">
            <v>AIR</v>
          </cell>
          <cell r="P838">
            <v>45696</v>
          </cell>
          <cell r="S838" t="str">
            <v>AM8:00</v>
          </cell>
        </row>
        <row r="839">
          <cell r="A839">
            <v>8989</v>
          </cell>
          <cell r="B839" t="str">
            <v>梅田 勝太</v>
          </cell>
          <cell r="C839" t="str">
            <v>TRADIA</v>
          </cell>
          <cell r="D839">
            <v>45954</v>
          </cell>
          <cell r="E839" t="str">
            <v>25K0251</v>
          </cell>
          <cell r="F839" t="str">
            <v>I000013808</v>
          </cell>
          <cell r="J839">
            <v>63850.559999999998</v>
          </cell>
          <cell r="K839">
            <v>0.27</v>
          </cell>
          <cell r="M839">
            <v>3</v>
          </cell>
          <cell r="N839" t="str">
            <v>AIR</v>
          </cell>
          <cell r="P839">
            <v>45702</v>
          </cell>
          <cell r="S839" t="str">
            <v>AM8:00</v>
          </cell>
        </row>
        <row r="840">
          <cell r="A840">
            <v>8990</v>
          </cell>
          <cell r="B840" t="str">
            <v>梅田 勝太</v>
          </cell>
          <cell r="C840" t="str">
            <v>TRADIA</v>
          </cell>
          <cell r="D840">
            <v>45954</v>
          </cell>
          <cell r="E840" t="str">
            <v>25K0252</v>
          </cell>
          <cell r="F840" t="str">
            <v>I000013913</v>
          </cell>
          <cell r="J840">
            <v>21298.98</v>
          </cell>
          <cell r="K840">
            <v>0.41</v>
          </cell>
          <cell r="M840">
            <v>3</v>
          </cell>
          <cell r="N840" t="str">
            <v>AIR</v>
          </cell>
          <cell r="P840">
            <v>45706</v>
          </cell>
          <cell r="S840" t="str">
            <v>AM8:00</v>
          </cell>
        </row>
        <row r="841">
          <cell r="A841">
            <v>8991</v>
          </cell>
          <cell r="B841" t="str">
            <v>梅田 勝太</v>
          </cell>
          <cell r="C841" t="str">
            <v>TRADIA</v>
          </cell>
          <cell r="D841">
            <v>45954</v>
          </cell>
          <cell r="E841" t="str">
            <v>25K0253</v>
          </cell>
          <cell r="F841" t="str">
            <v>I000013904</v>
          </cell>
          <cell r="J841">
            <v>571.79999999999995</v>
          </cell>
          <cell r="K841">
            <v>0.01</v>
          </cell>
          <cell r="M841">
            <v>3</v>
          </cell>
          <cell r="N841" t="str">
            <v>AIR</v>
          </cell>
          <cell r="P841">
            <v>45705</v>
          </cell>
          <cell r="S841" t="str">
            <v>AM8:00</v>
          </cell>
        </row>
        <row r="842">
          <cell r="A842">
            <v>8992</v>
          </cell>
          <cell r="B842" t="str">
            <v>梅田 勝太</v>
          </cell>
          <cell r="C842" t="str">
            <v>TRADIA</v>
          </cell>
          <cell r="D842">
            <v>45954</v>
          </cell>
          <cell r="E842" t="str">
            <v>25K0256</v>
          </cell>
          <cell r="F842" t="str">
            <v>I000013905</v>
          </cell>
          <cell r="J842">
            <v>11577.6</v>
          </cell>
          <cell r="K842">
            <v>0.18</v>
          </cell>
          <cell r="M842">
            <v>3</v>
          </cell>
          <cell r="N842" t="str">
            <v>AIR</v>
          </cell>
          <cell r="P842">
            <v>45705</v>
          </cell>
          <cell r="S842" t="str">
            <v>AM8:00</v>
          </cell>
        </row>
        <row r="843">
          <cell r="A843">
            <v>8993</v>
          </cell>
          <cell r="B843" t="str">
            <v>梅田 勝太</v>
          </cell>
          <cell r="C843" t="str">
            <v>TRADIA</v>
          </cell>
          <cell r="D843">
            <v>45954</v>
          </cell>
          <cell r="E843" t="str">
            <v>25K0259</v>
          </cell>
          <cell r="F843" t="str">
            <v>I000013946</v>
          </cell>
          <cell r="J843">
            <v>22318.6</v>
          </cell>
          <cell r="K843">
            <v>0.15</v>
          </cell>
          <cell r="M843">
            <v>3</v>
          </cell>
          <cell r="N843" t="str">
            <v>AIR</v>
          </cell>
          <cell r="P843">
            <v>45716</v>
          </cell>
          <cell r="S843" t="str">
            <v>AM8:00</v>
          </cell>
        </row>
        <row r="844">
          <cell r="A844">
            <v>8994</v>
          </cell>
          <cell r="B844" t="str">
            <v>梅田 勝太</v>
          </cell>
          <cell r="C844" t="str">
            <v>TRADIA</v>
          </cell>
          <cell r="D844">
            <v>45954</v>
          </cell>
          <cell r="E844" t="str">
            <v>25T0351</v>
          </cell>
          <cell r="J844">
            <v>331.44</v>
          </cell>
          <cell r="M844">
            <v>4</v>
          </cell>
          <cell r="N844" t="str">
            <v>AIR</v>
          </cell>
          <cell r="P844">
            <v>45716</v>
          </cell>
          <cell r="S844" t="str">
            <v>AM8:00</v>
          </cell>
        </row>
        <row r="845">
          <cell r="A845">
            <v>8995</v>
          </cell>
          <cell r="B845" t="str">
            <v>梅田 勝太</v>
          </cell>
          <cell r="C845" t="str">
            <v>TRADIA</v>
          </cell>
          <cell r="D845">
            <v>45954</v>
          </cell>
          <cell r="E845" t="str">
            <v>25K0360</v>
          </cell>
          <cell r="J845">
            <v>20</v>
          </cell>
          <cell r="M845">
            <v>3</v>
          </cell>
          <cell r="N845" t="str">
            <v>AIR</v>
          </cell>
          <cell r="P845">
            <v>45741</v>
          </cell>
          <cell r="S845" t="str">
            <v>AM8:00</v>
          </cell>
        </row>
        <row r="846">
          <cell r="A846">
            <v>8996</v>
          </cell>
          <cell r="B846" t="str">
            <v>梅田 勝太</v>
          </cell>
          <cell r="C846" t="str">
            <v>TRADIA</v>
          </cell>
          <cell r="D846">
            <v>45954</v>
          </cell>
          <cell r="E846" t="str">
            <v>25K0362</v>
          </cell>
          <cell r="J846">
            <v>222</v>
          </cell>
          <cell r="M846">
            <v>3</v>
          </cell>
          <cell r="N846" t="str">
            <v>AIR</v>
          </cell>
          <cell r="P846">
            <v>45741</v>
          </cell>
          <cell r="S846" t="str">
            <v>AM8:00</v>
          </cell>
        </row>
        <row r="847">
          <cell r="A847">
            <v>8997</v>
          </cell>
          <cell r="B847" t="str">
            <v>梅田 勝太</v>
          </cell>
          <cell r="C847" t="str">
            <v>TRADIA</v>
          </cell>
          <cell r="D847">
            <v>45954</v>
          </cell>
          <cell r="E847" t="str">
            <v>25K0301</v>
          </cell>
          <cell r="F847" t="str">
            <v>I000013955</v>
          </cell>
          <cell r="H847" t="str">
            <v>41425173850</v>
          </cell>
          <cell r="I847">
            <v>403188.04</v>
          </cell>
          <cell r="J847">
            <v>403188.04</v>
          </cell>
          <cell r="K847">
            <v>25.85</v>
          </cell>
          <cell r="L847" t="str">
            <v>WHSU0035512</v>
          </cell>
          <cell r="M847">
            <v>3</v>
          </cell>
          <cell r="N847" t="str">
            <v>20GP</v>
          </cell>
          <cell r="O847">
            <v>2</v>
          </cell>
          <cell r="P847">
            <v>45726</v>
          </cell>
          <cell r="S847" t="str">
            <v>AM8:00</v>
          </cell>
        </row>
        <row r="848">
          <cell r="A848">
            <v>8998</v>
          </cell>
          <cell r="B848" t="str">
            <v>梅田 勝太</v>
          </cell>
          <cell r="C848" t="str">
            <v>TRADIA</v>
          </cell>
          <cell r="D848">
            <v>45954</v>
          </cell>
          <cell r="E848" t="str">
            <v>25K0302</v>
          </cell>
          <cell r="F848" t="str">
            <v>I000013962</v>
          </cell>
          <cell r="H848" t="str">
            <v>41426116640</v>
          </cell>
          <cell r="I848">
            <v>348477.96</v>
          </cell>
          <cell r="J848">
            <v>348477.96</v>
          </cell>
          <cell r="K848">
            <v>24.43</v>
          </cell>
          <cell r="L848" t="str">
            <v>GAOU2507382</v>
          </cell>
          <cell r="M848">
            <v>3</v>
          </cell>
          <cell r="N848" t="str">
            <v>20GP</v>
          </cell>
          <cell r="O848">
            <v>2</v>
          </cell>
          <cell r="P848">
            <v>45728</v>
          </cell>
          <cell r="S848" t="str">
            <v>AM8:00</v>
          </cell>
        </row>
        <row r="849">
          <cell r="A849">
            <v>8999</v>
          </cell>
          <cell r="B849" t="str">
            <v>梅田 勝太</v>
          </cell>
          <cell r="C849" t="str">
            <v>TRADIA</v>
          </cell>
          <cell r="D849">
            <v>45954</v>
          </cell>
          <cell r="E849" t="str">
            <v>25K0303</v>
          </cell>
          <cell r="F849" t="str">
            <v>I000013967</v>
          </cell>
          <cell r="H849" t="str">
            <v>41426404230</v>
          </cell>
          <cell r="I849">
            <v>392525.97</v>
          </cell>
          <cell r="J849">
            <v>370680.97</v>
          </cell>
          <cell r="K849">
            <v>23.61</v>
          </cell>
          <cell r="L849" t="str">
            <v>WHSU0120506</v>
          </cell>
          <cell r="M849">
            <v>3</v>
          </cell>
          <cell r="N849" t="str">
            <v>20GP</v>
          </cell>
          <cell r="O849">
            <v>2</v>
          </cell>
          <cell r="P849">
            <v>45728</v>
          </cell>
          <cell r="S849" t="str">
            <v>AM8:00</v>
          </cell>
        </row>
        <row r="850">
          <cell r="A850">
            <v>9000</v>
          </cell>
          <cell r="B850" t="str">
            <v>梅田 勝太</v>
          </cell>
          <cell r="C850" t="str">
            <v>TRADIA</v>
          </cell>
          <cell r="D850">
            <v>45954</v>
          </cell>
          <cell r="E850" t="str">
            <v>25K0303-2</v>
          </cell>
          <cell r="F850" t="str">
            <v>I000013967</v>
          </cell>
          <cell r="H850" t="str">
            <v>41426404230</v>
          </cell>
          <cell r="J850">
            <v>21845</v>
          </cell>
          <cell r="K850">
            <v>0.64800000000000002</v>
          </cell>
          <cell r="L850" t="str">
            <v>WHSU0120506</v>
          </cell>
          <cell r="M850">
            <v>3</v>
          </cell>
          <cell r="N850" t="str">
            <v>20GP</v>
          </cell>
          <cell r="O850">
            <v>2</v>
          </cell>
          <cell r="P850">
            <v>45728</v>
          </cell>
          <cell r="S850" t="str">
            <v>AM8:00</v>
          </cell>
        </row>
        <row r="851">
          <cell r="A851">
            <v>9001</v>
          </cell>
          <cell r="B851" t="str">
            <v>梅田 勝太</v>
          </cell>
          <cell r="C851" t="str">
            <v>TRADIA</v>
          </cell>
          <cell r="D851">
            <v>45954</v>
          </cell>
          <cell r="E851" t="str">
            <v>25K0304</v>
          </cell>
          <cell r="F851" t="str">
            <v>I000013970</v>
          </cell>
          <cell r="H851" t="str">
            <v>41426445530</v>
          </cell>
          <cell r="I851">
            <v>372444.3</v>
          </cell>
          <cell r="J851">
            <v>372444.3</v>
          </cell>
          <cell r="K851">
            <v>25.25</v>
          </cell>
          <cell r="L851" t="str">
            <v>TIIU2057381</v>
          </cell>
          <cell r="M851">
            <v>3</v>
          </cell>
          <cell r="N851" t="str">
            <v>20GP</v>
          </cell>
          <cell r="O851">
            <v>2</v>
          </cell>
          <cell r="P851">
            <v>45729</v>
          </cell>
          <cell r="S851" t="str">
            <v>AM8:00</v>
          </cell>
        </row>
        <row r="852">
          <cell r="A852">
            <v>9002</v>
          </cell>
          <cell r="B852" t="str">
            <v>梅田 勝太</v>
          </cell>
          <cell r="C852" t="str">
            <v>TRADIA</v>
          </cell>
          <cell r="D852">
            <v>45954</v>
          </cell>
          <cell r="E852" t="str">
            <v>25K0305</v>
          </cell>
          <cell r="F852" t="str">
            <v>I000013976</v>
          </cell>
          <cell r="H852" t="str">
            <v>41426533030</v>
          </cell>
          <cell r="I852">
            <v>359230.56</v>
          </cell>
          <cell r="J852">
            <v>359230.56</v>
          </cell>
          <cell r="K852">
            <v>26.16</v>
          </cell>
          <cell r="L852" t="str">
            <v>WHSU0216383</v>
          </cell>
          <cell r="M852">
            <v>3</v>
          </cell>
          <cell r="N852" t="str">
            <v>20GP</v>
          </cell>
          <cell r="O852">
            <v>2</v>
          </cell>
          <cell r="P852">
            <v>45733</v>
          </cell>
          <cell r="S852" t="str">
            <v>AM8:00</v>
          </cell>
        </row>
        <row r="853">
          <cell r="A853">
            <v>9003</v>
          </cell>
          <cell r="B853" t="str">
            <v>梅田 勝太</v>
          </cell>
          <cell r="C853" t="str">
            <v>TRADIA</v>
          </cell>
          <cell r="D853">
            <v>45954</v>
          </cell>
          <cell r="E853" t="str">
            <v>25K0306</v>
          </cell>
          <cell r="F853" t="str">
            <v>I000013982</v>
          </cell>
          <cell r="H853" t="str">
            <v>41428731620</v>
          </cell>
          <cell r="I853">
            <v>760838.09</v>
          </cell>
          <cell r="J853">
            <v>361156.79</v>
          </cell>
          <cell r="K853">
            <v>27.39</v>
          </cell>
          <cell r="L853" t="str">
            <v>WHSU0114355</v>
          </cell>
          <cell r="M853">
            <v>3</v>
          </cell>
          <cell r="N853" t="str">
            <v>20GP</v>
          </cell>
          <cell r="O853">
            <v>2</v>
          </cell>
          <cell r="P853">
            <v>45737</v>
          </cell>
          <cell r="S853" t="str">
            <v>AM8:00</v>
          </cell>
        </row>
        <row r="854">
          <cell r="A854">
            <v>9004</v>
          </cell>
          <cell r="B854" t="str">
            <v>梅田 勝太</v>
          </cell>
          <cell r="C854" t="str">
            <v>TRADIA</v>
          </cell>
          <cell r="D854">
            <v>45954</v>
          </cell>
          <cell r="E854" t="str">
            <v>25K0307</v>
          </cell>
          <cell r="F854" t="str">
            <v>I000013995</v>
          </cell>
          <cell r="H854" t="str">
            <v>41428731620</v>
          </cell>
          <cell r="J854">
            <v>399681.3</v>
          </cell>
          <cell r="K854">
            <v>25.96</v>
          </cell>
          <cell r="L854" t="str">
            <v>WHSU2360168</v>
          </cell>
          <cell r="M854">
            <v>3</v>
          </cell>
          <cell r="N854" t="str">
            <v>20GP</v>
          </cell>
          <cell r="O854">
            <v>2</v>
          </cell>
          <cell r="P854">
            <v>45737</v>
          </cell>
          <cell r="S854" t="str">
            <v>AM8:00</v>
          </cell>
        </row>
        <row r="855">
          <cell r="A855">
            <v>9005</v>
          </cell>
          <cell r="B855" t="str">
            <v>梅田 勝太</v>
          </cell>
          <cell r="C855" t="str">
            <v>TRADIA</v>
          </cell>
          <cell r="D855">
            <v>45954</v>
          </cell>
          <cell r="E855" t="str">
            <v>25K0308</v>
          </cell>
          <cell r="F855" t="str">
            <v>I000013996</v>
          </cell>
          <cell r="H855" t="str">
            <v>41430808740</v>
          </cell>
          <cell r="I855">
            <v>710871.17</v>
          </cell>
          <cell r="J855">
            <v>297102.12</v>
          </cell>
          <cell r="K855">
            <v>26.13</v>
          </cell>
          <cell r="L855" t="str">
            <v>WHSU2142910</v>
          </cell>
          <cell r="M855">
            <v>3</v>
          </cell>
          <cell r="N855" t="str">
            <v>20GP</v>
          </cell>
          <cell r="O855">
            <v>2</v>
          </cell>
          <cell r="P855">
            <v>45739</v>
          </cell>
          <cell r="S855" t="str">
            <v>AM8:00</v>
          </cell>
        </row>
        <row r="856">
          <cell r="A856">
            <v>9006</v>
          </cell>
          <cell r="B856" t="str">
            <v>梅田 勝太</v>
          </cell>
          <cell r="C856" t="str">
            <v>TRADIA</v>
          </cell>
          <cell r="D856">
            <v>45954</v>
          </cell>
          <cell r="E856" t="str">
            <v>25K0309</v>
          </cell>
          <cell r="F856" t="str">
            <v>I000013999</v>
          </cell>
          <cell r="H856" t="str">
            <v>41430808740</v>
          </cell>
          <cell r="J856">
            <v>413769.05</v>
          </cell>
          <cell r="K856">
            <v>26.96</v>
          </cell>
          <cell r="L856" t="str">
            <v>TIIU2569876</v>
          </cell>
          <cell r="M856">
            <v>3</v>
          </cell>
          <cell r="N856" t="str">
            <v>20GP</v>
          </cell>
          <cell r="O856">
            <v>2</v>
          </cell>
          <cell r="P856">
            <v>45739</v>
          </cell>
          <cell r="S856" t="str">
            <v>AM8:00</v>
          </cell>
        </row>
        <row r="857">
          <cell r="A857">
            <v>9007</v>
          </cell>
          <cell r="B857" t="str">
            <v>梅田 勝太</v>
          </cell>
          <cell r="C857" t="str">
            <v>TRADIA</v>
          </cell>
          <cell r="D857">
            <v>45954</v>
          </cell>
          <cell r="E857" t="str">
            <v>25K0310</v>
          </cell>
          <cell r="F857" t="str">
            <v>I000014008</v>
          </cell>
          <cell r="H857" t="str">
            <v>41431355110</v>
          </cell>
          <cell r="I857">
            <v>349341.1</v>
          </cell>
          <cell r="J857">
            <v>349341.1</v>
          </cell>
          <cell r="K857">
            <v>26.97</v>
          </cell>
          <cell r="L857" t="str">
            <v>TSSU2069850</v>
          </cell>
          <cell r="M857">
            <v>3</v>
          </cell>
          <cell r="N857" t="str">
            <v>20GP</v>
          </cell>
          <cell r="O857">
            <v>2</v>
          </cell>
          <cell r="P857">
            <v>45740</v>
          </cell>
          <cell r="S857" t="str">
            <v>AM8:00</v>
          </cell>
        </row>
        <row r="858">
          <cell r="A858">
            <v>9008</v>
          </cell>
          <cell r="B858" t="str">
            <v>梅田 勝太</v>
          </cell>
          <cell r="C858" t="str">
            <v>TRADIA</v>
          </cell>
          <cell r="D858">
            <v>45954</v>
          </cell>
          <cell r="E858" t="str">
            <v>25K0311</v>
          </cell>
          <cell r="F858" t="str">
            <v>I000014006</v>
          </cell>
          <cell r="H858" t="str">
            <v>41431362810</v>
          </cell>
          <cell r="I858">
            <v>384767.84</v>
          </cell>
          <cell r="J858">
            <v>384767.84</v>
          </cell>
          <cell r="K858">
            <v>27.72</v>
          </cell>
          <cell r="L858" t="str">
            <v>TSSU2172050</v>
          </cell>
          <cell r="M858">
            <v>3</v>
          </cell>
          <cell r="N858" t="str">
            <v>20GP</v>
          </cell>
          <cell r="O858">
            <v>2</v>
          </cell>
          <cell r="P858">
            <v>45742</v>
          </cell>
          <cell r="S858" t="str">
            <v>AM8:00</v>
          </cell>
        </row>
        <row r="859">
          <cell r="A859">
            <v>9009</v>
          </cell>
          <cell r="B859" t="str">
            <v>梅田 勝太</v>
          </cell>
          <cell r="C859" t="str">
            <v>TRADIA</v>
          </cell>
          <cell r="D859">
            <v>45954</v>
          </cell>
          <cell r="E859" t="str">
            <v>25K0312</v>
          </cell>
          <cell r="F859" t="str">
            <v>I000014013</v>
          </cell>
          <cell r="H859" t="str">
            <v>41432767600</v>
          </cell>
          <cell r="I859">
            <v>431306.2</v>
          </cell>
          <cell r="J859">
            <v>431306.2</v>
          </cell>
          <cell r="K859">
            <v>27.38</v>
          </cell>
          <cell r="L859" t="str">
            <v>WHSU2467958</v>
          </cell>
          <cell r="M859">
            <v>3</v>
          </cell>
          <cell r="N859" t="str">
            <v>20GP</v>
          </cell>
          <cell r="O859">
            <v>2</v>
          </cell>
          <cell r="P859">
            <v>45743</v>
          </cell>
          <cell r="S859" t="str">
            <v>AM8:00</v>
          </cell>
        </row>
        <row r="860">
          <cell r="A860">
            <v>9010</v>
          </cell>
          <cell r="B860" t="str">
            <v>梅田 勝太</v>
          </cell>
          <cell r="C860" t="str">
            <v>TRADIA</v>
          </cell>
          <cell r="D860">
            <v>45954</v>
          </cell>
          <cell r="E860" t="str">
            <v>25K0313</v>
          </cell>
          <cell r="F860" t="str">
            <v>I000014023</v>
          </cell>
          <cell r="J860">
            <v>468356.04</v>
          </cell>
          <cell r="K860">
            <v>27.1</v>
          </cell>
          <cell r="L860" t="str">
            <v>IAAU2715395</v>
          </cell>
          <cell r="M860">
            <v>3</v>
          </cell>
          <cell r="N860" t="str">
            <v>20GP</v>
          </cell>
          <cell r="O860">
            <v>2</v>
          </cell>
          <cell r="P860">
            <v>45747</v>
          </cell>
          <cell r="S860" t="str">
            <v>AM8:00</v>
          </cell>
        </row>
        <row r="861">
          <cell r="A861">
            <v>9011</v>
          </cell>
          <cell r="B861" t="str">
            <v>梅田 勝太</v>
          </cell>
          <cell r="C861" t="str">
            <v>TRADIA</v>
          </cell>
          <cell r="D861">
            <v>45954</v>
          </cell>
          <cell r="E861" t="str">
            <v>25K0314</v>
          </cell>
          <cell r="F861" t="str">
            <v>I000014025</v>
          </cell>
          <cell r="J861">
            <v>377667.79</v>
          </cell>
          <cell r="K861">
            <v>26.03</v>
          </cell>
          <cell r="L861" t="str">
            <v>IAAU2965049</v>
          </cell>
          <cell r="M861">
            <v>3</v>
          </cell>
          <cell r="N861" t="str">
            <v>20GP</v>
          </cell>
          <cell r="O861">
            <v>2</v>
          </cell>
          <cell r="P861">
            <v>45747</v>
          </cell>
          <cell r="S861" t="str">
            <v>AM8:00</v>
          </cell>
        </row>
        <row r="862">
          <cell r="A862">
            <v>9012</v>
          </cell>
          <cell r="B862" t="str">
            <v>梅田 勝太</v>
          </cell>
          <cell r="C862" t="str">
            <v>TRADIA</v>
          </cell>
          <cell r="D862">
            <v>45954</v>
          </cell>
          <cell r="E862" t="str">
            <v>25K0315</v>
          </cell>
          <cell r="F862" t="str">
            <v>I000014033</v>
          </cell>
          <cell r="J862">
            <v>457630.71999999997</v>
          </cell>
          <cell r="K862">
            <v>26.46</v>
          </cell>
          <cell r="L862" t="str">
            <v>WHSU0173297</v>
          </cell>
          <cell r="M862">
            <v>3</v>
          </cell>
          <cell r="N862" t="str">
            <v>20GP</v>
          </cell>
          <cell r="O862">
            <v>2</v>
          </cell>
          <cell r="P862">
            <v>45750</v>
          </cell>
          <cell r="S862" t="str">
            <v>AM8:00</v>
          </cell>
        </row>
        <row r="863">
          <cell r="A863">
            <v>9013</v>
          </cell>
          <cell r="B863" t="str">
            <v>梅田 勝太</v>
          </cell>
          <cell r="C863" t="str">
            <v>TRADIA</v>
          </cell>
          <cell r="D863">
            <v>45954</v>
          </cell>
          <cell r="E863" t="str">
            <v>25K0316</v>
          </cell>
          <cell r="F863" t="str">
            <v>I000014038</v>
          </cell>
          <cell r="J863">
            <v>404569.12</v>
          </cell>
          <cell r="K863">
            <v>27.31</v>
          </cell>
          <cell r="L863" t="str">
            <v>TGBU2644836</v>
          </cell>
          <cell r="M863">
            <v>3</v>
          </cell>
          <cell r="N863" t="str">
            <v>20GP</v>
          </cell>
          <cell r="O863">
            <v>2</v>
          </cell>
          <cell r="P863">
            <v>45754</v>
          </cell>
          <cell r="S863" t="str">
            <v>AM8:00</v>
          </cell>
        </row>
        <row r="864">
          <cell r="A864">
            <v>9014</v>
          </cell>
          <cell r="B864" t="str">
            <v>梅田 勝太</v>
          </cell>
          <cell r="C864" t="str">
            <v>TRADIA</v>
          </cell>
          <cell r="D864">
            <v>45954</v>
          </cell>
          <cell r="E864" t="str">
            <v>25K0317</v>
          </cell>
          <cell r="F864" t="str">
            <v>I000014046</v>
          </cell>
          <cell r="J864">
            <v>348794.44</v>
          </cell>
          <cell r="K864">
            <v>27</v>
          </cell>
          <cell r="L864" t="str">
            <v>IAAU2948822</v>
          </cell>
          <cell r="M864">
            <v>3</v>
          </cell>
          <cell r="N864" t="str">
            <v>20GP</v>
          </cell>
          <cell r="O864">
            <v>2</v>
          </cell>
          <cell r="P864">
            <v>45754</v>
          </cell>
          <cell r="S864" t="str">
            <v>AM8:00</v>
          </cell>
        </row>
        <row r="865">
          <cell r="A865">
            <v>9015</v>
          </cell>
          <cell r="B865" t="str">
            <v>梅田 勝太</v>
          </cell>
          <cell r="C865" t="str">
            <v>TRADIA</v>
          </cell>
          <cell r="D865">
            <v>45954</v>
          </cell>
          <cell r="E865" t="str">
            <v>25K0318</v>
          </cell>
          <cell r="F865" t="str">
            <v>I000014054</v>
          </cell>
          <cell r="J865">
            <v>388368.36</v>
          </cell>
          <cell r="K865">
            <v>26.2</v>
          </cell>
          <cell r="L865" t="str">
            <v>IAAU2808348</v>
          </cell>
          <cell r="M865">
            <v>3</v>
          </cell>
          <cell r="N865" t="str">
            <v>20GP</v>
          </cell>
          <cell r="O865">
            <v>2</v>
          </cell>
          <cell r="P865">
            <v>45754</v>
          </cell>
          <cell r="S865" t="str">
            <v>AM8:00</v>
          </cell>
        </row>
        <row r="866">
          <cell r="A866">
            <v>9016</v>
          </cell>
          <cell r="B866" t="str">
            <v>梅田 勝太</v>
          </cell>
          <cell r="C866" t="str">
            <v>TRADIA</v>
          </cell>
          <cell r="D866">
            <v>45954</v>
          </cell>
          <cell r="E866" t="str">
            <v>25K0350</v>
          </cell>
          <cell r="F866" t="str">
            <v>I000013949</v>
          </cell>
          <cell r="J866">
            <v>30146.880000000001</v>
          </cell>
          <cell r="K866">
            <v>0.2</v>
          </cell>
          <cell r="M866">
            <v>3</v>
          </cell>
          <cell r="N866" t="str">
            <v>AIR</v>
          </cell>
          <cell r="P866">
            <v>45717</v>
          </cell>
          <cell r="S866" t="str">
            <v>AM8:00</v>
          </cell>
        </row>
        <row r="867">
          <cell r="A867">
            <v>9017</v>
          </cell>
          <cell r="B867" t="str">
            <v>梅田 勝太</v>
          </cell>
          <cell r="C867" t="str">
            <v>TRADIA</v>
          </cell>
          <cell r="D867">
            <v>45954</v>
          </cell>
          <cell r="E867" t="str">
            <v>25K0351</v>
          </cell>
          <cell r="F867" t="str">
            <v>I000013956</v>
          </cell>
          <cell r="J867">
            <v>4765.8500000000004</v>
          </cell>
          <cell r="K867">
            <v>0.26</v>
          </cell>
          <cell r="M867">
            <v>3</v>
          </cell>
          <cell r="N867" t="str">
            <v>AIR</v>
          </cell>
          <cell r="P867">
            <v>45719</v>
          </cell>
          <cell r="S867" t="str">
            <v>AM8:00</v>
          </cell>
        </row>
        <row r="868">
          <cell r="A868">
            <v>9018</v>
          </cell>
          <cell r="B868" t="str">
            <v>梅田 勝太</v>
          </cell>
          <cell r="C868" t="str">
            <v>TRADIA</v>
          </cell>
          <cell r="D868">
            <v>45954</v>
          </cell>
          <cell r="E868" t="str">
            <v>25K0352</v>
          </cell>
          <cell r="F868" t="str">
            <v>I000013972</v>
          </cell>
          <cell r="J868">
            <v>5737.72</v>
          </cell>
          <cell r="K868">
            <v>0.02</v>
          </cell>
          <cell r="M868">
            <v>3</v>
          </cell>
          <cell r="N868" t="str">
            <v>AIR</v>
          </cell>
          <cell r="P868">
            <v>45722</v>
          </cell>
          <cell r="S868" t="str">
            <v>AM8:00</v>
          </cell>
        </row>
        <row r="869">
          <cell r="A869">
            <v>9019</v>
          </cell>
          <cell r="B869" t="str">
            <v>梅田 勝太</v>
          </cell>
          <cell r="C869" t="str">
            <v>TRADIA</v>
          </cell>
          <cell r="D869">
            <v>45954</v>
          </cell>
          <cell r="E869" t="str">
            <v>25K0353</v>
          </cell>
          <cell r="F869" t="str">
            <v>I000013961</v>
          </cell>
          <cell r="J869">
            <v>967.12</v>
          </cell>
          <cell r="K869">
            <v>0.01</v>
          </cell>
          <cell r="M869">
            <v>3</v>
          </cell>
          <cell r="N869" t="str">
            <v>AIR</v>
          </cell>
          <cell r="P869">
            <v>45720</v>
          </cell>
          <cell r="S869" t="str">
            <v>AM8:00</v>
          </cell>
        </row>
        <row r="870">
          <cell r="A870">
            <v>9020</v>
          </cell>
          <cell r="B870" t="str">
            <v>梅田 勝太</v>
          </cell>
          <cell r="C870" t="str">
            <v>TRADIA</v>
          </cell>
          <cell r="D870">
            <v>45954</v>
          </cell>
          <cell r="E870" t="str">
            <v>25K0354</v>
          </cell>
          <cell r="F870" t="str">
            <v>I000013973</v>
          </cell>
          <cell r="J870">
            <v>48298.32</v>
          </cell>
          <cell r="K870">
            <v>0.21</v>
          </cell>
          <cell r="M870">
            <v>3</v>
          </cell>
          <cell r="N870" t="str">
            <v>AIR</v>
          </cell>
          <cell r="P870">
            <v>45722</v>
          </cell>
          <cell r="S870" t="str">
            <v>AM8:00</v>
          </cell>
        </row>
        <row r="871">
          <cell r="A871">
            <v>9021</v>
          </cell>
          <cell r="B871" t="str">
            <v>梅田 勝太</v>
          </cell>
          <cell r="C871" t="str">
            <v>TRADIA</v>
          </cell>
          <cell r="D871">
            <v>45954</v>
          </cell>
          <cell r="E871" t="str">
            <v>25K0355</v>
          </cell>
          <cell r="F871" t="str">
            <v>I000013981</v>
          </cell>
          <cell r="J871">
            <v>9550.4</v>
          </cell>
          <cell r="K871">
            <v>0.39</v>
          </cell>
          <cell r="M871">
            <v>3</v>
          </cell>
          <cell r="N871" t="str">
            <v>AIR</v>
          </cell>
          <cell r="P871">
            <v>45727</v>
          </cell>
          <cell r="S871" t="str">
            <v>AM8:00</v>
          </cell>
        </row>
        <row r="872">
          <cell r="A872">
            <v>9022</v>
          </cell>
          <cell r="B872" t="str">
            <v>梅田 勝太</v>
          </cell>
          <cell r="C872" t="str">
            <v>TRADIA</v>
          </cell>
          <cell r="D872">
            <v>45954</v>
          </cell>
          <cell r="E872" t="str">
            <v>25K0356</v>
          </cell>
          <cell r="F872" t="str">
            <v>I000013971</v>
          </cell>
          <cell r="J872">
            <v>4792.5</v>
          </cell>
          <cell r="K872">
            <v>0.01</v>
          </cell>
          <cell r="M872">
            <v>3</v>
          </cell>
          <cell r="N872" t="str">
            <v>AIR</v>
          </cell>
          <cell r="P872">
            <v>45722</v>
          </cell>
          <cell r="S872" t="str">
            <v>AM8:00</v>
          </cell>
        </row>
        <row r="873">
          <cell r="A873">
            <v>9023</v>
          </cell>
          <cell r="B873" t="str">
            <v>梅田 勝太</v>
          </cell>
          <cell r="C873" t="str">
            <v>TRADIA</v>
          </cell>
          <cell r="D873">
            <v>45954</v>
          </cell>
          <cell r="E873" t="str">
            <v>25K0357</v>
          </cell>
          <cell r="F873" t="str">
            <v>I000013975</v>
          </cell>
          <cell r="J873">
            <v>0.9</v>
          </cell>
          <cell r="K873">
            <v>0.01</v>
          </cell>
          <cell r="M873">
            <v>3</v>
          </cell>
          <cell r="N873" t="str">
            <v>AIR</v>
          </cell>
          <cell r="P873">
            <v>45726</v>
          </cell>
          <cell r="S873" t="str">
            <v>AM8:00</v>
          </cell>
        </row>
        <row r="874">
          <cell r="A874">
            <v>9024</v>
          </cell>
          <cell r="B874" t="str">
            <v>梅田 勝太</v>
          </cell>
          <cell r="C874" t="str">
            <v>TRADIA</v>
          </cell>
          <cell r="D874">
            <v>45954</v>
          </cell>
          <cell r="E874" t="str">
            <v>25K0358</v>
          </cell>
          <cell r="F874" t="str">
            <v>I000013984</v>
          </cell>
          <cell r="J874">
            <v>31278.959999999999</v>
          </cell>
          <cell r="K874">
            <v>7.0000000000000007E-2</v>
          </cell>
          <cell r="M874">
            <v>3</v>
          </cell>
          <cell r="N874" t="str">
            <v>AIR</v>
          </cell>
          <cell r="P874">
            <v>45727</v>
          </cell>
          <cell r="S874" t="str">
            <v>AM8:00</v>
          </cell>
        </row>
        <row r="875">
          <cell r="A875">
            <v>9025</v>
          </cell>
          <cell r="B875" t="str">
            <v>梅田 勝太</v>
          </cell>
          <cell r="C875" t="str">
            <v>TRADIA</v>
          </cell>
          <cell r="D875">
            <v>45954</v>
          </cell>
          <cell r="E875" t="str">
            <v>25K0359</v>
          </cell>
          <cell r="F875" t="str">
            <v>I000013994</v>
          </cell>
          <cell r="J875">
            <v>185936.04</v>
          </cell>
          <cell r="K875">
            <v>0.43</v>
          </cell>
          <cell r="M875">
            <v>3</v>
          </cell>
          <cell r="N875" t="str">
            <v>AIR</v>
          </cell>
          <cell r="P875">
            <v>45729</v>
          </cell>
          <cell r="S875" t="str">
            <v>AM8:00</v>
          </cell>
        </row>
        <row r="876">
          <cell r="A876">
            <v>9026</v>
          </cell>
          <cell r="B876" t="str">
            <v>梅田 勝太</v>
          </cell>
          <cell r="C876" t="str">
            <v>TRADIA</v>
          </cell>
          <cell r="D876">
            <v>45954</v>
          </cell>
          <cell r="E876" t="str">
            <v>25K0359-2</v>
          </cell>
          <cell r="F876" t="str">
            <v>I000013994</v>
          </cell>
          <cell r="J876">
            <v>1080</v>
          </cell>
          <cell r="K876">
            <v>0.01</v>
          </cell>
          <cell r="M876">
            <v>3</v>
          </cell>
          <cell r="N876" t="str">
            <v>AIR</v>
          </cell>
          <cell r="P876">
            <v>45729</v>
          </cell>
          <cell r="S876" t="str">
            <v>AM8:00</v>
          </cell>
        </row>
        <row r="877">
          <cell r="A877">
            <v>9027</v>
          </cell>
          <cell r="B877" t="str">
            <v>梅田 勝太</v>
          </cell>
          <cell r="C877" t="str">
            <v>TRADIA</v>
          </cell>
          <cell r="D877">
            <v>45954</v>
          </cell>
          <cell r="E877" t="str">
            <v>25K0361</v>
          </cell>
          <cell r="F877" t="str">
            <v>I000013989</v>
          </cell>
          <cell r="J877">
            <v>659.4</v>
          </cell>
          <cell r="K877">
            <v>0.05</v>
          </cell>
          <cell r="M877">
            <v>3</v>
          </cell>
          <cell r="N877" t="str">
            <v>AIR</v>
          </cell>
          <cell r="P877">
            <v>45728</v>
          </cell>
          <cell r="S877" t="str">
            <v>AM8:00</v>
          </cell>
        </row>
        <row r="878">
          <cell r="A878">
            <v>9028</v>
          </cell>
          <cell r="B878" t="str">
            <v>梅田 勝太</v>
          </cell>
          <cell r="C878" t="str">
            <v>TRADIA</v>
          </cell>
          <cell r="D878">
            <v>45954</v>
          </cell>
          <cell r="E878" t="str">
            <v>25K0363</v>
          </cell>
          <cell r="F878" t="str">
            <v>I000014011</v>
          </cell>
          <cell r="J878">
            <v>33.76</v>
          </cell>
          <cell r="K878">
            <v>0.02</v>
          </cell>
          <cell r="M878">
            <v>3</v>
          </cell>
          <cell r="N878" t="str">
            <v>AIR</v>
          </cell>
          <cell r="P878">
            <v>45735</v>
          </cell>
          <cell r="S878" t="str">
            <v>AM8:00</v>
          </cell>
        </row>
        <row r="879">
          <cell r="A879">
            <v>9029</v>
          </cell>
          <cell r="B879" t="str">
            <v>梅田 勝太</v>
          </cell>
          <cell r="C879" t="str">
            <v>TRADIA</v>
          </cell>
          <cell r="D879">
            <v>45954</v>
          </cell>
          <cell r="E879" t="str">
            <v>25K0366</v>
          </cell>
          <cell r="F879" t="str">
            <v>I000014043</v>
          </cell>
          <cell r="J879">
            <v>27108.560000000001</v>
          </cell>
          <cell r="K879">
            <v>1.04</v>
          </cell>
          <cell r="M879">
            <v>3</v>
          </cell>
          <cell r="N879" t="str">
            <v>AIR</v>
          </cell>
          <cell r="P879">
            <v>45744</v>
          </cell>
          <cell r="S879" t="str">
            <v>AM8:00</v>
          </cell>
        </row>
        <row r="880">
          <cell r="A880">
            <v>9030</v>
          </cell>
          <cell r="B880" t="str">
            <v>梅田 勝太</v>
          </cell>
          <cell r="C880" t="str">
            <v>TRADIA</v>
          </cell>
          <cell r="D880">
            <v>45954</v>
          </cell>
          <cell r="E880" t="str">
            <v>25K0367</v>
          </cell>
          <cell r="F880" t="str">
            <v>I000014016</v>
          </cell>
          <cell r="J880">
            <v>1166.01</v>
          </cell>
          <cell r="K880">
            <v>7.0000000000000007E-2</v>
          </cell>
          <cell r="M880">
            <v>3</v>
          </cell>
          <cell r="N880" t="str">
            <v>AIR</v>
          </cell>
          <cell r="P880">
            <v>45736</v>
          </cell>
          <cell r="S880" t="str">
            <v>AM8:00</v>
          </cell>
        </row>
        <row r="881">
          <cell r="A881">
            <v>9031</v>
          </cell>
          <cell r="B881" t="str">
            <v>梅田 勝太</v>
          </cell>
          <cell r="C881" t="str">
            <v>TRADIA</v>
          </cell>
          <cell r="D881">
            <v>45954</v>
          </cell>
          <cell r="E881" t="str">
            <v>25K0368</v>
          </cell>
          <cell r="F881" t="str">
            <v>I000014015</v>
          </cell>
          <cell r="J881">
            <v>2258.4</v>
          </cell>
          <cell r="K881">
            <v>0.03</v>
          </cell>
          <cell r="M881">
            <v>3</v>
          </cell>
          <cell r="N881" t="str">
            <v>AIR</v>
          </cell>
          <cell r="P881">
            <v>45736</v>
          </cell>
          <cell r="S881" t="str">
            <v>AM8:00</v>
          </cell>
        </row>
        <row r="882">
          <cell r="A882">
            <v>9032</v>
          </cell>
          <cell r="B882" t="str">
            <v>梅田 勝太</v>
          </cell>
          <cell r="C882" t="str">
            <v>TRADIA</v>
          </cell>
          <cell r="D882">
            <v>45954</v>
          </cell>
          <cell r="E882" t="str">
            <v>25K0369</v>
          </cell>
          <cell r="F882" t="str">
            <v>I000014047</v>
          </cell>
          <cell r="J882">
            <v>472.57</v>
          </cell>
          <cell r="K882">
            <v>0.03</v>
          </cell>
          <cell r="M882">
            <v>3</v>
          </cell>
          <cell r="N882" t="str">
            <v>AIR</v>
          </cell>
          <cell r="P882">
            <v>45744</v>
          </cell>
          <cell r="S882" t="str">
            <v>AM8:00</v>
          </cell>
        </row>
        <row r="883">
          <cell r="A883">
            <v>9033</v>
          </cell>
          <cell r="B883" t="str">
            <v>梅田 勝太</v>
          </cell>
          <cell r="C883" t="str">
            <v>TRADIA</v>
          </cell>
          <cell r="D883">
            <v>45954</v>
          </cell>
          <cell r="E883" t="str">
            <v>25K0370</v>
          </cell>
          <cell r="F883" t="str">
            <v>I000014034</v>
          </cell>
          <cell r="J883">
            <v>8000</v>
          </cell>
          <cell r="K883">
            <v>0.1</v>
          </cell>
          <cell r="M883">
            <v>3</v>
          </cell>
          <cell r="N883" t="str">
            <v>AIR</v>
          </cell>
          <cell r="P883">
            <v>45741</v>
          </cell>
          <cell r="S883" t="str">
            <v>AM8:00</v>
          </cell>
        </row>
        <row r="884">
          <cell r="A884">
            <v>9034</v>
          </cell>
          <cell r="B884" t="str">
            <v>梅田 勝太</v>
          </cell>
          <cell r="C884" t="str">
            <v>TRADIA</v>
          </cell>
          <cell r="D884">
            <v>45954</v>
          </cell>
          <cell r="E884" t="str">
            <v>25K0372</v>
          </cell>
          <cell r="F884" t="str">
            <v>I000014039</v>
          </cell>
          <cell r="J884">
            <v>1468</v>
          </cell>
          <cell r="K884">
            <v>0.03</v>
          </cell>
          <cell r="M884">
            <v>3</v>
          </cell>
          <cell r="N884" t="str">
            <v>AIR</v>
          </cell>
          <cell r="P884">
            <v>45743</v>
          </cell>
          <cell r="S884" t="str">
            <v>AM8:00</v>
          </cell>
        </row>
        <row r="885">
          <cell r="A885">
            <v>9035</v>
          </cell>
          <cell r="B885" t="str">
            <v>梅田 勝太</v>
          </cell>
          <cell r="C885" t="str">
            <v>TRADIA</v>
          </cell>
          <cell r="D885">
            <v>45954</v>
          </cell>
          <cell r="E885" t="str">
            <v>25K0374</v>
          </cell>
          <cell r="F885" t="str">
            <v>I000014044</v>
          </cell>
          <cell r="J885">
            <v>16317</v>
          </cell>
          <cell r="K885">
            <v>7.0000000000000007E-2</v>
          </cell>
          <cell r="M885">
            <v>3</v>
          </cell>
          <cell r="N885" t="str">
            <v>AIR</v>
          </cell>
          <cell r="P885">
            <v>45744</v>
          </cell>
          <cell r="S885" t="str">
            <v>AM8:00</v>
          </cell>
        </row>
        <row r="886">
          <cell r="A886">
            <v>9036</v>
          </cell>
          <cell r="B886" t="str">
            <v>梅田 勝太</v>
          </cell>
          <cell r="C886" t="str">
            <v>TRADIA</v>
          </cell>
          <cell r="D886">
            <v>45954</v>
          </cell>
          <cell r="E886" t="str">
            <v>25K0375</v>
          </cell>
          <cell r="F886" t="str">
            <v>I000014051</v>
          </cell>
          <cell r="J886">
            <v>1350</v>
          </cell>
          <cell r="K886">
            <v>0.01</v>
          </cell>
          <cell r="M886">
            <v>3</v>
          </cell>
          <cell r="N886" t="str">
            <v>AIR</v>
          </cell>
          <cell r="P886">
            <v>45747</v>
          </cell>
          <cell r="S886" t="str">
            <v>AM8:00</v>
          </cell>
        </row>
        <row r="887">
          <cell r="A887">
            <v>9037</v>
          </cell>
          <cell r="B887" t="str">
            <v>梅田 勝太</v>
          </cell>
          <cell r="C887" t="str">
            <v>TRADIA</v>
          </cell>
          <cell r="D887">
            <v>45954</v>
          </cell>
          <cell r="E887" t="str">
            <v>25K0376</v>
          </cell>
          <cell r="F887" t="str">
            <v>I000014052</v>
          </cell>
          <cell r="J887">
            <v>573.54</v>
          </cell>
          <cell r="K887">
            <v>7.0000000000000007E-2</v>
          </cell>
          <cell r="M887">
            <v>3</v>
          </cell>
          <cell r="N887" t="str">
            <v>AIR</v>
          </cell>
          <cell r="P887">
            <v>45747</v>
          </cell>
          <cell r="S887" t="str">
            <v>AM8:00</v>
          </cell>
        </row>
        <row r="888">
          <cell r="A888">
            <v>9038</v>
          </cell>
          <cell r="B888" t="str">
            <v>梅田 勝太</v>
          </cell>
          <cell r="C888" t="str">
            <v>TRADIA</v>
          </cell>
          <cell r="D888">
            <v>45954</v>
          </cell>
          <cell r="E888" t="str">
            <v>25K0401</v>
          </cell>
          <cell r="F888" t="str">
            <v>I000014058</v>
          </cell>
          <cell r="J888">
            <v>355521.85</v>
          </cell>
          <cell r="K888">
            <v>25.97</v>
          </cell>
          <cell r="L888" t="str">
            <v>WHSU0171761</v>
          </cell>
          <cell r="M888">
            <v>3</v>
          </cell>
          <cell r="N888" t="str">
            <v>20GP</v>
          </cell>
          <cell r="O888">
            <v>2</v>
          </cell>
          <cell r="P888">
            <v>45758</v>
          </cell>
          <cell r="S888" t="str">
            <v>AM8:00</v>
          </cell>
        </row>
        <row r="889">
          <cell r="A889">
            <v>9039</v>
          </cell>
          <cell r="B889" t="str">
            <v>梅田 勝太</v>
          </cell>
          <cell r="C889" t="str">
            <v>TRADIA</v>
          </cell>
          <cell r="D889">
            <v>45954</v>
          </cell>
          <cell r="E889" t="str">
            <v>25K0402</v>
          </cell>
          <cell r="F889" t="str">
            <v>I000014064</v>
          </cell>
          <cell r="J889">
            <v>372551.1</v>
          </cell>
          <cell r="K889">
            <v>26.02</v>
          </cell>
          <cell r="L889" t="str">
            <v>WHSU0083228</v>
          </cell>
          <cell r="M889">
            <v>3</v>
          </cell>
          <cell r="N889" t="str">
            <v>20GP</v>
          </cell>
          <cell r="O889">
            <v>2</v>
          </cell>
          <cell r="P889">
            <v>45758</v>
          </cell>
          <cell r="S889" t="str">
            <v>AM8:00</v>
          </cell>
        </row>
        <row r="890">
          <cell r="A890">
            <v>9040</v>
          </cell>
          <cell r="B890" t="str">
            <v>梅田 勝太</v>
          </cell>
          <cell r="C890" t="str">
            <v>TRADIA</v>
          </cell>
          <cell r="D890">
            <v>45954</v>
          </cell>
          <cell r="E890" t="str">
            <v>25K0403</v>
          </cell>
          <cell r="F890" t="str">
            <v>I000014071</v>
          </cell>
          <cell r="J890">
            <v>348262.62</v>
          </cell>
          <cell r="K890">
            <v>26.07</v>
          </cell>
          <cell r="L890" t="str">
            <v>IAAU2735745</v>
          </cell>
          <cell r="M890">
            <v>3</v>
          </cell>
          <cell r="N890" t="str">
            <v>20GP</v>
          </cell>
          <cell r="O890">
            <v>2</v>
          </cell>
          <cell r="P890">
            <v>45761</v>
          </cell>
          <cell r="S890" t="str">
            <v>AM8:00</v>
          </cell>
        </row>
        <row r="891">
          <cell r="A891">
            <v>9041</v>
          </cell>
          <cell r="B891" t="str">
            <v>梅田 勝太</v>
          </cell>
          <cell r="C891" t="str">
            <v>TRADIA</v>
          </cell>
          <cell r="D891">
            <v>45954</v>
          </cell>
          <cell r="E891" t="str">
            <v>25K0404</v>
          </cell>
          <cell r="F891" t="str">
            <v>I000014074</v>
          </cell>
          <cell r="J891">
            <v>332891.09999999998</v>
          </cell>
          <cell r="K891">
            <v>26.59</v>
          </cell>
          <cell r="L891" t="str">
            <v>GLDU2895415</v>
          </cell>
          <cell r="M891">
            <v>3</v>
          </cell>
          <cell r="N891" t="str">
            <v>20GP</v>
          </cell>
          <cell r="O891">
            <v>2</v>
          </cell>
          <cell r="P891">
            <v>45761</v>
          </cell>
          <cell r="S891" t="str">
            <v>AM8:00</v>
          </cell>
        </row>
        <row r="892">
          <cell r="A892">
            <v>9042</v>
          </cell>
          <cell r="B892" t="str">
            <v>梅田 勝太</v>
          </cell>
          <cell r="C892" t="str">
            <v>TRADIA</v>
          </cell>
          <cell r="D892">
            <v>45954</v>
          </cell>
          <cell r="E892" t="str">
            <v>25K0405</v>
          </cell>
          <cell r="F892" t="str">
            <v>I000014080</v>
          </cell>
          <cell r="J892">
            <v>343867.6</v>
          </cell>
          <cell r="K892">
            <v>26.1</v>
          </cell>
          <cell r="L892" t="str">
            <v>WHSU0273655</v>
          </cell>
          <cell r="M892">
            <v>3</v>
          </cell>
          <cell r="N892" t="str">
            <v>20GP</v>
          </cell>
          <cell r="O892">
            <v>2</v>
          </cell>
          <cell r="P892">
            <v>45764</v>
          </cell>
          <cell r="S892" t="str">
            <v>AM8:00</v>
          </cell>
        </row>
        <row r="893">
          <cell r="A893">
            <v>9043</v>
          </cell>
          <cell r="B893" t="str">
            <v>梅田 勝太</v>
          </cell>
          <cell r="C893" t="str">
            <v>TRADIA</v>
          </cell>
          <cell r="D893">
            <v>45954</v>
          </cell>
          <cell r="E893" t="str">
            <v>25K0406</v>
          </cell>
          <cell r="F893" t="str">
            <v>I000014088</v>
          </cell>
          <cell r="J893">
            <v>343658.04</v>
          </cell>
          <cell r="K893">
            <v>25.48</v>
          </cell>
          <cell r="L893" t="str">
            <v>IAAU2945211</v>
          </cell>
          <cell r="M893">
            <v>3</v>
          </cell>
          <cell r="N893" t="str">
            <v>20GP</v>
          </cell>
          <cell r="O893">
            <v>2</v>
          </cell>
          <cell r="P893">
            <v>45762</v>
          </cell>
          <cell r="S893" t="str">
            <v>AM8:00</v>
          </cell>
        </row>
        <row r="894">
          <cell r="A894">
            <v>9044</v>
          </cell>
          <cell r="B894" t="str">
            <v>梅田 勝太</v>
          </cell>
          <cell r="C894" t="str">
            <v>TRADIA</v>
          </cell>
          <cell r="D894">
            <v>45954</v>
          </cell>
          <cell r="E894" t="str">
            <v>25K0407</v>
          </cell>
          <cell r="F894" t="str">
            <v>I000014091</v>
          </cell>
          <cell r="J894">
            <v>387674.72</v>
          </cell>
          <cell r="K894">
            <v>26.4</v>
          </cell>
          <cell r="L894" t="str">
            <v>FCIU2994551</v>
          </cell>
          <cell r="M894">
            <v>3</v>
          </cell>
          <cell r="N894" t="str">
            <v>20GP</v>
          </cell>
          <cell r="O894">
            <v>2</v>
          </cell>
          <cell r="P894">
            <v>45768</v>
          </cell>
          <cell r="S894" t="str">
            <v>AM8:00</v>
          </cell>
        </row>
        <row r="895">
          <cell r="A895">
            <v>9045</v>
          </cell>
          <cell r="B895" t="str">
            <v>梅田 勝太</v>
          </cell>
          <cell r="C895" t="str">
            <v>TRADIA</v>
          </cell>
          <cell r="D895">
            <v>45954</v>
          </cell>
          <cell r="E895" t="str">
            <v>25K0408</v>
          </cell>
          <cell r="F895" t="str">
            <v>I000014100</v>
          </cell>
          <cell r="J895">
            <v>456612.8</v>
          </cell>
          <cell r="K895">
            <v>24.18</v>
          </cell>
          <cell r="L895" t="str">
            <v>IAAU2788452</v>
          </cell>
          <cell r="M895">
            <v>3</v>
          </cell>
          <cell r="N895" t="str">
            <v>20GP</v>
          </cell>
          <cell r="O895">
            <v>2</v>
          </cell>
          <cell r="P895">
            <v>45768</v>
          </cell>
          <cell r="S895" t="str">
            <v>AM8:00</v>
          </cell>
        </row>
        <row r="896">
          <cell r="A896">
            <v>9046</v>
          </cell>
          <cell r="B896" t="str">
            <v>梅田 勝太</v>
          </cell>
          <cell r="C896" t="str">
            <v>TRADIA</v>
          </cell>
          <cell r="D896">
            <v>45954</v>
          </cell>
          <cell r="E896" t="str">
            <v>25K0409</v>
          </cell>
          <cell r="F896" t="str">
            <v>I000014101</v>
          </cell>
          <cell r="J896">
            <v>524011.98</v>
          </cell>
          <cell r="K896">
            <v>28.58</v>
          </cell>
          <cell r="L896" t="str">
            <v>IAAU2927331</v>
          </cell>
          <cell r="M896">
            <v>3</v>
          </cell>
          <cell r="N896" t="str">
            <v>20GP</v>
          </cell>
          <cell r="O896">
            <v>2</v>
          </cell>
          <cell r="P896">
            <v>45754</v>
          </cell>
          <cell r="S896" t="str">
            <v>AM8:00</v>
          </cell>
        </row>
        <row r="897">
          <cell r="A897">
            <v>9047</v>
          </cell>
          <cell r="B897" t="str">
            <v>梅田 勝太</v>
          </cell>
          <cell r="C897" t="str">
            <v>TRADIA</v>
          </cell>
          <cell r="D897">
            <v>45954</v>
          </cell>
          <cell r="E897" t="str">
            <v>25K0410</v>
          </cell>
          <cell r="F897" t="str">
            <v>I000014107</v>
          </cell>
          <cell r="J897">
            <v>382878.1</v>
          </cell>
          <cell r="K897">
            <v>25.88</v>
          </cell>
          <cell r="L897" t="str">
            <v>WHSU0065707</v>
          </cell>
          <cell r="M897">
            <v>3</v>
          </cell>
          <cell r="N897" t="str">
            <v>20GP</v>
          </cell>
          <cell r="O897">
            <v>2</v>
          </cell>
          <cell r="P897">
            <v>45771</v>
          </cell>
          <cell r="S897" t="str">
            <v>AM8:00</v>
          </cell>
        </row>
        <row r="898">
          <cell r="A898">
            <v>9048</v>
          </cell>
          <cell r="B898" t="str">
            <v>梅田 勝太</v>
          </cell>
          <cell r="C898" t="str">
            <v>TRADIA</v>
          </cell>
          <cell r="D898">
            <v>45954</v>
          </cell>
          <cell r="E898" t="str">
            <v>25K0411</v>
          </cell>
          <cell r="F898" t="str">
            <v>I000014112</v>
          </cell>
          <cell r="J898">
            <v>431172.06</v>
          </cell>
          <cell r="K898">
            <v>26.41</v>
          </cell>
          <cell r="L898" t="str">
            <v>WHSU2914320</v>
          </cell>
          <cell r="M898">
            <v>3</v>
          </cell>
          <cell r="N898" t="str">
            <v>20GP</v>
          </cell>
          <cell r="O898">
            <v>2</v>
          </cell>
          <cell r="P898">
            <v>45771</v>
          </cell>
          <cell r="S898" t="str">
            <v>AM8:00</v>
          </cell>
        </row>
        <row r="899">
          <cell r="A899">
            <v>9049</v>
          </cell>
          <cell r="B899" t="str">
            <v>梅田 勝太</v>
          </cell>
          <cell r="C899" t="str">
            <v>TRADIA</v>
          </cell>
          <cell r="D899">
            <v>45954</v>
          </cell>
          <cell r="E899" t="str">
            <v>25K0412</v>
          </cell>
          <cell r="F899" t="str">
            <v>I000014115</v>
          </cell>
          <cell r="J899">
            <v>407934.51</v>
          </cell>
          <cell r="K899">
            <v>24.97</v>
          </cell>
          <cell r="L899" t="str">
            <v>IAAU2874822</v>
          </cell>
          <cell r="M899">
            <v>3</v>
          </cell>
          <cell r="N899" t="str">
            <v>20GP</v>
          </cell>
          <cell r="O899">
            <v>2</v>
          </cell>
          <cell r="P899">
            <v>45775</v>
          </cell>
          <cell r="S899" t="str">
            <v>AM8:00</v>
          </cell>
        </row>
        <row r="900">
          <cell r="A900">
            <v>9050</v>
          </cell>
          <cell r="B900" t="str">
            <v>梅田 勝太</v>
          </cell>
          <cell r="C900" t="str">
            <v>TRADIA</v>
          </cell>
          <cell r="D900">
            <v>45954</v>
          </cell>
          <cell r="E900" t="str">
            <v>25K0413</v>
          </cell>
          <cell r="F900" t="str">
            <v>I000014124</v>
          </cell>
          <cell r="J900">
            <v>454424.5</v>
          </cell>
          <cell r="K900">
            <v>26.3</v>
          </cell>
          <cell r="L900" t="str">
            <v>WHSU2456716</v>
          </cell>
          <cell r="M900">
            <v>3</v>
          </cell>
          <cell r="N900" t="str">
            <v>20GP</v>
          </cell>
          <cell r="O900">
            <v>2</v>
          </cell>
          <cell r="P900">
            <v>45778</v>
          </cell>
          <cell r="S900" t="str">
            <v>AM8:00</v>
          </cell>
        </row>
        <row r="901">
          <cell r="A901">
            <v>9051</v>
          </cell>
          <cell r="B901" t="str">
            <v>梅田 勝太</v>
          </cell>
          <cell r="C901" t="str">
            <v>TRADIA</v>
          </cell>
          <cell r="D901">
            <v>45954</v>
          </cell>
          <cell r="E901" t="str">
            <v>25K0414</v>
          </cell>
          <cell r="F901" t="str">
            <v>I000014135</v>
          </cell>
          <cell r="J901">
            <v>479272.58</v>
          </cell>
          <cell r="K901">
            <v>26.37</v>
          </cell>
          <cell r="L901" t="str">
            <v>IAAU2981815</v>
          </cell>
          <cell r="M901">
            <v>3</v>
          </cell>
          <cell r="N901" t="str">
            <v>20GP</v>
          </cell>
          <cell r="O901">
            <v>2</v>
          </cell>
          <cell r="P901">
            <v>45783</v>
          </cell>
          <cell r="S901" t="str">
            <v>AM8:00</v>
          </cell>
        </row>
        <row r="902">
          <cell r="A902">
            <v>9052</v>
          </cell>
          <cell r="B902" t="str">
            <v>梅田 勝太</v>
          </cell>
          <cell r="C902" t="str">
            <v>TRADIA</v>
          </cell>
          <cell r="D902">
            <v>45954</v>
          </cell>
          <cell r="E902" t="str">
            <v>25K0415</v>
          </cell>
          <cell r="F902" t="str">
            <v>I000014137</v>
          </cell>
          <cell r="J902">
            <v>483224.04</v>
          </cell>
          <cell r="K902">
            <v>26.44</v>
          </cell>
          <cell r="L902" t="str">
            <v>IAAU2980737</v>
          </cell>
          <cell r="M902">
            <v>3</v>
          </cell>
          <cell r="N902" t="str">
            <v>20GP</v>
          </cell>
          <cell r="O902">
            <v>2</v>
          </cell>
          <cell r="P902">
            <v>45783</v>
          </cell>
          <cell r="S902" t="str">
            <v>AM8:00</v>
          </cell>
        </row>
        <row r="903">
          <cell r="A903">
            <v>9053</v>
          </cell>
          <cell r="B903" t="str">
            <v>梅田 勝太</v>
          </cell>
          <cell r="C903" t="str">
            <v>TRADIA</v>
          </cell>
          <cell r="D903">
            <v>45954</v>
          </cell>
          <cell r="E903" t="str">
            <v>25K0416</v>
          </cell>
          <cell r="F903" t="str">
            <v>I000014145</v>
          </cell>
          <cell r="H903" t="str">
            <v>31453937640</v>
          </cell>
          <cell r="J903">
            <v>539487</v>
          </cell>
          <cell r="K903">
            <v>25.26</v>
          </cell>
          <cell r="L903" t="str">
            <v>WHSU0025600</v>
          </cell>
          <cell r="M903">
            <v>3</v>
          </cell>
          <cell r="N903" t="str">
            <v>20GP</v>
          </cell>
          <cell r="O903">
            <v>2</v>
          </cell>
          <cell r="P903">
            <v>45783</v>
          </cell>
          <cell r="S903" t="str">
            <v>AM8:00</v>
          </cell>
        </row>
        <row r="904">
          <cell r="A904">
            <v>9054</v>
          </cell>
          <cell r="B904" t="str">
            <v>梅田 勝太</v>
          </cell>
          <cell r="C904" t="str">
            <v>TRADIA</v>
          </cell>
          <cell r="D904">
            <v>45954</v>
          </cell>
          <cell r="E904" t="str">
            <v>25K0417</v>
          </cell>
          <cell r="F904" t="str">
            <v>I000014153</v>
          </cell>
          <cell r="H904" t="str">
            <v>31453789500</v>
          </cell>
          <cell r="I904">
            <v>1286208.46</v>
          </cell>
          <cell r="J904">
            <v>526193.02</v>
          </cell>
          <cell r="K904">
            <v>26.17</v>
          </cell>
          <cell r="L904" t="str">
            <v>TSSU2182573</v>
          </cell>
          <cell r="M904">
            <v>3</v>
          </cell>
          <cell r="N904" t="str">
            <v>20GP</v>
          </cell>
          <cell r="O904">
            <v>2</v>
          </cell>
          <cell r="P904">
            <v>45790</v>
          </cell>
          <cell r="S904" t="str">
            <v>AM8:00</v>
          </cell>
        </row>
        <row r="905">
          <cell r="A905">
            <v>9055</v>
          </cell>
          <cell r="B905" t="str">
            <v>梅田 勝太</v>
          </cell>
          <cell r="C905" t="str">
            <v>TRADIA</v>
          </cell>
          <cell r="D905">
            <v>45954</v>
          </cell>
          <cell r="E905" t="str">
            <v>25K0418</v>
          </cell>
          <cell r="F905" t="str">
            <v>I000014155</v>
          </cell>
          <cell r="H905" t="str">
            <v>31453789500</v>
          </cell>
          <cell r="J905">
            <v>448336.24</v>
          </cell>
          <cell r="K905">
            <v>27.67</v>
          </cell>
          <cell r="L905" t="str">
            <v>TIIU2295688</v>
          </cell>
          <cell r="M905">
            <v>3</v>
          </cell>
          <cell r="N905" t="str">
            <v>20GP</v>
          </cell>
          <cell r="O905">
            <v>2</v>
          </cell>
          <cell r="P905">
            <v>45790</v>
          </cell>
          <cell r="S905" t="str">
            <v>AM8:00</v>
          </cell>
        </row>
        <row r="906">
          <cell r="A906">
            <v>9056</v>
          </cell>
          <cell r="B906" t="str">
            <v>梅田 勝太</v>
          </cell>
          <cell r="C906" t="str">
            <v>TRADIA</v>
          </cell>
          <cell r="D906">
            <v>45954</v>
          </cell>
          <cell r="E906" t="str">
            <v>25K0450</v>
          </cell>
          <cell r="F906" t="str">
            <v>I000014057</v>
          </cell>
          <cell r="J906">
            <v>55097.07</v>
          </cell>
          <cell r="K906">
            <v>0.36</v>
          </cell>
          <cell r="M906">
            <v>3</v>
          </cell>
          <cell r="N906" t="str">
            <v>AIR</v>
          </cell>
          <cell r="P906">
            <v>45748</v>
          </cell>
          <cell r="S906" t="str">
            <v>AM8:00</v>
          </cell>
        </row>
        <row r="907">
          <cell r="A907">
            <v>9057</v>
          </cell>
          <cell r="B907" t="str">
            <v>梅田 勝太</v>
          </cell>
          <cell r="C907" t="str">
            <v>TRADIA</v>
          </cell>
          <cell r="D907">
            <v>45954</v>
          </cell>
          <cell r="E907" t="str">
            <v>25K0451</v>
          </cell>
          <cell r="F907" t="str">
            <v>I000014056</v>
          </cell>
          <cell r="J907">
            <v>5106.97</v>
          </cell>
          <cell r="K907">
            <v>0.18</v>
          </cell>
          <cell r="M907">
            <v>3</v>
          </cell>
          <cell r="N907" t="str">
            <v>AIR</v>
          </cell>
          <cell r="P907">
            <v>45748</v>
          </cell>
          <cell r="S907" t="str">
            <v>AM8:00</v>
          </cell>
        </row>
        <row r="908">
          <cell r="A908">
            <v>9058</v>
          </cell>
          <cell r="B908" t="str">
            <v>梅田 勝太</v>
          </cell>
          <cell r="C908" t="str">
            <v>TRADIA</v>
          </cell>
          <cell r="D908">
            <v>45954</v>
          </cell>
          <cell r="E908" t="str">
            <v>25K0452</v>
          </cell>
          <cell r="F908" t="str">
            <v>I000014069</v>
          </cell>
          <cell r="J908">
            <v>919</v>
          </cell>
          <cell r="K908">
            <v>0.04</v>
          </cell>
          <cell r="M908">
            <v>3</v>
          </cell>
          <cell r="N908" t="str">
            <v>AIR</v>
          </cell>
          <cell r="P908">
            <v>45750</v>
          </cell>
          <cell r="S908" t="str">
            <v>AM8:00</v>
          </cell>
        </row>
        <row r="909">
          <cell r="A909">
            <v>9059</v>
          </cell>
          <cell r="B909" t="str">
            <v>梅田 勝太</v>
          </cell>
          <cell r="C909" t="str">
            <v>TRADIA</v>
          </cell>
          <cell r="D909">
            <v>45954</v>
          </cell>
          <cell r="E909" t="str">
            <v>25K0453</v>
          </cell>
          <cell r="F909" t="str">
            <v>I000014070</v>
          </cell>
          <cell r="J909">
            <v>107.9</v>
          </cell>
          <cell r="K909">
            <v>0.02</v>
          </cell>
          <cell r="M909">
            <v>3</v>
          </cell>
          <cell r="N909" t="str">
            <v>AIR</v>
          </cell>
          <cell r="P909">
            <v>45750</v>
          </cell>
          <cell r="S909" t="str">
            <v>AM8:00</v>
          </cell>
        </row>
        <row r="910">
          <cell r="A910">
            <v>9060</v>
          </cell>
          <cell r="B910" t="str">
            <v>梅田 勝太</v>
          </cell>
          <cell r="C910" t="str">
            <v>TRADIA</v>
          </cell>
          <cell r="D910">
            <v>45954</v>
          </cell>
          <cell r="E910" t="str">
            <v>25K0454</v>
          </cell>
          <cell r="F910" t="str">
            <v>I000014066</v>
          </cell>
          <cell r="J910">
            <v>3038.4</v>
          </cell>
          <cell r="K910">
            <v>0.42</v>
          </cell>
          <cell r="M910">
            <v>3</v>
          </cell>
          <cell r="N910" t="str">
            <v>AIR</v>
          </cell>
          <cell r="P910">
            <v>45750</v>
          </cell>
          <cell r="S910" t="str">
            <v>AM8:00</v>
          </cell>
        </row>
        <row r="911">
          <cell r="A911">
            <v>9061</v>
          </cell>
          <cell r="B911" t="str">
            <v>梅田 勝太</v>
          </cell>
          <cell r="C911" t="str">
            <v>TRADIA</v>
          </cell>
          <cell r="D911">
            <v>45954</v>
          </cell>
          <cell r="E911" t="str">
            <v>25K0455</v>
          </cell>
          <cell r="F911" t="str">
            <v>I000014067</v>
          </cell>
          <cell r="J911">
            <v>6528.8</v>
          </cell>
          <cell r="K911">
            <v>0.03</v>
          </cell>
          <cell r="M911">
            <v>3</v>
          </cell>
          <cell r="N911" t="str">
            <v>AIR</v>
          </cell>
          <cell r="P911">
            <v>45750</v>
          </cell>
          <cell r="S911" t="str">
            <v>AM8:00</v>
          </cell>
        </row>
        <row r="912">
          <cell r="A912">
            <v>9062</v>
          </cell>
          <cell r="B912" t="str">
            <v>梅田 勝太</v>
          </cell>
          <cell r="C912" t="str">
            <v>TRADIA</v>
          </cell>
          <cell r="D912">
            <v>45954</v>
          </cell>
          <cell r="E912" t="str">
            <v>25K0456</v>
          </cell>
          <cell r="F912" t="str">
            <v>I000014068</v>
          </cell>
          <cell r="J912">
            <v>4100.04</v>
          </cell>
          <cell r="K912">
            <v>0.14000000000000001</v>
          </cell>
          <cell r="M912">
            <v>3</v>
          </cell>
          <cell r="N912" t="str">
            <v>AIR</v>
          </cell>
          <cell r="P912">
            <v>45750</v>
          </cell>
          <cell r="S912" t="str">
            <v>AM8:00</v>
          </cell>
        </row>
        <row r="913">
          <cell r="A913">
            <v>9063</v>
          </cell>
          <cell r="B913" t="str">
            <v>梅田 勝太</v>
          </cell>
          <cell r="C913" t="str">
            <v>TRADIA</v>
          </cell>
          <cell r="D913">
            <v>45954</v>
          </cell>
          <cell r="E913" t="str">
            <v>25K0457</v>
          </cell>
          <cell r="F913" t="str">
            <v>I000014087</v>
          </cell>
          <cell r="J913">
            <v>3264</v>
          </cell>
          <cell r="K913">
            <v>0.02</v>
          </cell>
          <cell r="M913">
            <v>3</v>
          </cell>
          <cell r="N913" t="str">
            <v>AIR</v>
          </cell>
          <cell r="P913">
            <v>45756</v>
          </cell>
          <cell r="S913" t="str">
            <v>AM8:00</v>
          </cell>
        </row>
        <row r="914">
          <cell r="A914">
            <v>9064</v>
          </cell>
          <cell r="B914" t="str">
            <v>梅田 勝太</v>
          </cell>
          <cell r="C914" t="str">
            <v>TRADIA</v>
          </cell>
          <cell r="D914">
            <v>45954</v>
          </cell>
          <cell r="E914" t="str">
            <v>25K0459</v>
          </cell>
          <cell r="F914" t="str">
            <v>I000014097</v>
          </cell>
          <cell r="J914">
            <v>95036.88</v>
          </cell>
          <cell r="K914">
            <v>0.32</v>
          </cell>
          <cell r="M914">
            <v>3</v>
          </cell>
          <cell r="N914" t="str">
            <v>AIR</v>
          </cell>
          <cell r="P914">
            <v>45759</v>
          </cell>
          <cell r="S914" t="str">
            <v>AM8:00</v>
          </cell>
        </row>
        <row r="915">
          <cell r="A915">
            <v>9065</v>
          </cell>
          <cell r="B915" t="str">
            <v>梅田 勝太</v>
          </cell>
          <cell r="C915" t="str">
            <v>TRADIA</v>
          </cell>
          <cell r="D915">
            <v>45954</v>
          </cell>
          <cell r="E915" t="str">
            <v>25K0459-2</v>
          </cell>
          <cell r="F915" t="str">
            <v>I000014097</v>
          </cell>
          <cell r="J915">
            <v>13247.08</v>
          </cell>
          <cell r="K915">
            <v>5.8000000000000003E-2</v>
          </cell>
          <cell r="M915">
            <v>3</v>
          </cell>
          <cell r="N915" t="str">
            <v>AIR</v>
          </cell>
          <cell r="P915">
            <v>45759</v>
          </cell>
          <cell r="S915" t="str">
            <v>AM8:00</v>
          </cell>
        </row>
        <row r="916">
          <cell r="A916">
            <v>9066</v>
          </cell>
          <cell r="B916" t="str">
            <v>梅田 勝太</v>
          </cell>
          <cell r="C916" t="str">
            <v>TRADIA</v>
          </cell>
          <cell r="D916">
            <v>45954</v>
          </cell>
          <cell r="E916" t="str">
            <v>25K0460</v>
          </cell>
          <cell r="F916" t="str">
            <v>I000014108</v>
          </cell>
          <cell r="J916">
            <v>154364.54999999999</v>
          </cell>
          <cell r="K916">
            <v>0.46</v>
          </cell>
          <cell r="M916">
            <v>3</v>
          </cell>
          <cell r="N916" t="str">
            <v>AIR</v>
          </cell>
          <cell r="P916">
            <v>45761</v>
          </cell>
          <cell r="S916" t="str">
            <v>AM8:00</v>
          </cell>
        </row>
        <row r="917">
          <cell r="A917">
            <v>9067</v>
          </cell>
          <cell r="B917" t="str">
            <v>梅田 勝太</v>
          </cell>
          <cell r="C917" t="str">
            <v>TRADIA</v>
          </cell>
          <cell r="D917">
            <v>45954</v>
          </cell>
          <cell r="E917" t="str">
            <v>25K0460-2</v>
          </cell>
          <cell r="F917" t="str">
            <v>I000014103</v>
          </cell>
          <cell r="J917">
            <v>279</v>
          </cell>
          <cell r="K917">
            <v>0.45</v>
          </cell>
          <cell r="M917">
            <v>3</v>
          </cell>
          <cell r="N917" t="str">
            <v>AIR</v>
          </cell>
          <cell r="P917">
            <v>45761</v>
          </cell>
          <cell r="S917" t="str">
            <v>AM8:00</v>
          </cell>
        </row>
        <row r="918">
          <cell r="A918">
            <v>9068</v>
          </cell>
          <cell r="B918" t="str">
            <v>梅田 勝太</v>
          </cell>
          <cell r="C918" t="str">
            <v>TRADIA</v>
          </cell>
          <cell r="D918">
            <v>45954</v>
          </cell>
          <cell r="E918" t="str">
            <v>25K0461</v>
          </cell>
          <cell r="F918" t="str">
            <v>I200000001</v>
          </cell>
          <cell r="J918">
            <v>30</v>
          </cell>
          <cell r="K918">
            <v>0.02</v>
          </cell>
          <cell r="M918">
            <v>3</v>
          </cell>
          <cell r="N918" t="str">
            <v>AIR</v>
          </cell>
          <cell r="P918">
            <v>45763</v>
          </cell>
          <cell r="S918" t="str">
            <v>AM8:00</v>
          </cell>
        </row>
        <row r="919">
          <cell r="A919">
            <v>9069</v>
          </cell>
          <cell r="B919" t="str">
            <v>梅田 勝太</v>
          </cell>
          <cell r="C919" t="str">
            <v>TRADIA</v>
          </cell>
          <cell r="D919">
            <v>45954</v>
          </cell>
          <cell r="E919" t="str">
            <v>25K0462</v>
          </cell>
          <cell r="F919" t="str">
            <v>I200000002</v>
          </cell>
          <cell r="J919">
            <v>169.04</v>
          </cell>
          <cell r="M919">
            <v>3</v>
          </cell>
          <cell r="N919" t="str">
            <v>AIR</v>
          </cell>
          <cell r="P919">
            <v>45763</v>
          </cell>
          <cell r="S919" t="str">
            <v>AM8:00</v>
          </cell>
        </row>
        <row r="920">
          <cell r="A920">
            <v>9070</v>
          </cell>
          <cell r="B920" t="str">
            <v>梅田 勝太</v>
          </cell>
          <cell r="C920" t="str">
            <v>TRADIA</v>
          </cell>
          <cell r="D920">
            <v>45954</v>
          </cell>
          <cell r="E920" t="str">
            <v>25K0463</v>
          </cell>
          <cell r="F920" t="str">
            <v>I200000003</v>
          </cell>
          <cell r="J920">
            <v>1450</v>
          </cell>
          <cell r="M920">
            <v>3</v>
          </cell>
          <cell r="N920" t="str">
            <v>AIR</v>
          </cell>
          <cell r="P920">
            <v>45764</v>
          </cell>
          <cell r="S920" t="str">
            <v>AM8:00</v>
          </cell>
        </row>
        <row r="921">
          <cell r="A921">
            <v>9071</v>
          </cell>
          <cell r="B921" t="str">
            <v>梅田 勝太</v>
          </cell>
          <cell r="C921" t="str">
            <v>TRADIA</v>
          </cell>
          <cell r="D921">
            <v>45954</v>
          </cell>
          <cell r="E921" t="str">
            <v>25K0464</v>
          </cell>
          <cell r="F921" t="str">
            <v>I200000004</v>
          </cell>
          <cell r="J921">
            <v>100</v>
          </cell>
          <cell r="M921">
            <v>3</v>
          </cell>
          <cell r="N921" t="str">
            <v>AIR</v>
          </cell>
          <cell r="P921">
            <v>45771</v>
          </cell>
          <cell r="S921" t="str">
            <v>AM8:00</v>
          </cell>
        </row>
        <row r="922">
          <cell r="A922">
            <v>9072</v>
          </cell>
          <cell r="B922" t="str">
            <v>梅田 勝太</v>
          </cell>
          <cell r="C922" t="str">
            <v>TRADIA</v>
          </cell>
          <cell r="D922">
            <v>45954</v>
          </cell>
          <cell r="E922" t="str">
            <v>25K0465</v>
          </cell>
          <cell r="F922" t="str">
            <v>I200000011</v>
          </cell>
          <cell r="J922">
            <v>100</v>
          </cell>
          <cell r="M922">
            <v>3</v>
          </cell>
          <cell r="N922" t="str">
            <v>AIR</v>
          </cell>
          <cell r="P922">
            <v>45768</v>
          </cell>
          <cell r="S922" t="str">
            <v>AM8:00</v>
          </cell>
        </row>
        <row r="923">
          <cell r="A923">
            <v>9073</v>
          </cell>
          <cell r="B923" t="str">
            <v>梅田 勝太</v>
          </cell>
          <cell r="C923" t="str">
            <v>TRADIA</v>
          </cell>
          <cell r="D923">
            <v>45954</v>
          </cell>
          <cell r="E923" t="str">
            <v>25K0466</v>
          </cell>
          <cell r="F923" t="str">
            <v>I000014123</v>
          </cell>
          <cell r="J923">
            <v>119528.53</v>
          </cell>
          <cell r="K923">
            <v>0.39</v>
          </cell>
          <cell r="M923">
            <v>3</v>
          </cell>
          <cell r="N923" t="str">
            <v>AIR</v>
          </cell>
          <cell r="P923">
            <v>45769</v>
          </cell>
          <cell r="S923" t="str">
            <v>AM8:00</v>
          </cell>
        </row>
        <row r="924">
          <cell r="A924">
            <v>9074</v>
          </cell>
          <cell r="B924" t="str">
            <v>梅田 勝太</v>
          </cell>
          <cell r="C924" t="str">
            <v>TRADIA</v>
          </cell>
          <cell r="D924">
            <v>45954</v>
          </cell>
          <cell r="E924" t="str">
            <v>25K0466-2</v>
          </cell>
          <cell r="F924" t="str">
            <v>I000014123</v>
          </cell>
          <cell r="J924">
            <v>8</v>
          </cell>
          <cell r="K924">
            <v>1E-3</v>
          </cell>
          <cell r="M924">
            <v>3</v>
          </cell>
          <cell r="N924" t="str">
            <v>AIR</v>
          </cell>
          <cell r="P924">
            <v>45769</v>
          </cell>
          <cell r="S924" t="str">
            <v>AM8:00</v>
          </cell>
        </row>
        <row r="925">
          <cell r="A925">
            <v>9075</v>
          </cell>
          <cell r="B925" t="str">
            <v>梅田 勝太</v>
          </cell>
          <cell r="C925" t="str">
            <v>TRADIA</v>
          </cell>
          <cell r="D925">
            <v>45954</v>
          </cell>
          <cell r="E925" t="str">
            <v>25K0467</v>
          </cell>
          <cell r="F925" t="str">
            <v>I000014129</v>
          </cell>
          <cell r="J925">
            <v>157772.44</v>
          </cell>
          <cell r="K925">
            <v>0.09</v>
          </cell>
          <cell r="M925">
            <v>3</v>
          </cell>
          <cell r="N925" t="str">
            <v>AIR</v>
          </cell>
          <cell r="P925">
            <v>45770</v>
          </cell>
          <cell r="S925" t="str">
            <v>AM8:00</v>
          </cell>
        </row>
        <row r="926">
          <cell r="A926">
            <v>9076</v>
          </cell>
          <cell r="B926" t="str">
            <v>梅田 勝太</v>
          </cell>
          <cell r="C926" t="str">
            <v>TRADIA</v>
          </cell>
          <cell r="D926">
            <v>45954</v>
          </cell>
          <cell r="E926" t="str">
            <v>25K0469</v>
          </cell>
          <cell r="F926" t="str">
            <v>I000014141</v>
          </cell>
          <cell r="J926">
            <v>83209</v>
          </cell>
          <cell r="K926">
            <v>0.13</v>
          </cell>
          <cell r="M926">
            <v>3</v>
          </cell>
          <cell r="N926" t="str">
            <v>AIR</v>
          </cell>
          <cell r="P926">
            <v>45775</v>
          </cell>
          <cell r="S926" t="str">
            <v>AM8:00</v>
          </cell>
        </row>
        <row r="927">
          <cell r="A927">
            <v>9077</v>
          </cell>
          <cell r="B927" t="str">
            <v>梅田 勝太</v>
          </cell>
          <cell r="C927" t="str">
            <v>TRADIA</v>
          </cell>
          <cell r="D927">
            <v>45954</v>
          </cell>
          <cell r="E927" t="str">
            <v>25K0470</v>
          </cell>
          <cell r="F927" t="str">
            <v>I200000010</v>
          </cell>
          <cell r="J927">
            <v>116</v>
          </cell>
          <cell r="K927">
            <v>0</v>
          </cell>
          <cell r="M927">
            <v>3</v>
          </cell>
          <cell r="N927" t="str">
            <v>AIR</v>
          </cell>
          <cell r="P927">
            <v>45771</v>
          </cell>
          <cell r="S927" t="str">
            <v>AM8:00</v>
          </cell>
        </row>
        <row r="928">
          <cell r="A928">
            <v>9078</v>
          </cell>
          <cell r="B928" t="str">
            <v>梅田 勝太</v>
          </cell>
          <cell r="C928" t="str">
            <v>TRADIA</v>
          </cell>
          <cell r="D928">
            <v>45954</v>
          </cell>
          <cell r="E928" t="str">
            <v>25K0471</v>
          </cell>
          <cell r="F928" t="str">
            <v>I000014157</v>
          </cell>
          <cell r="J928">
            <v>25225.86</v>
          </cell>
          <cell r="K928">
            <v>1.49</v>
          </cell>
          <cell r="M928">
            <v>3</v>
          </cell>
          <cell r="N928" t="str">
            <v>AIR</v>
          </cell>
          <cell r="P928">
            <v>45777</v>
          </cell>
          <cell r="S928" t="str">
            <v>AM8:00</v>
          </cell>
        </row>
        <row r="929">
          <cell r="A929">
            <v>9079</v>
          </cell>
          <cell r="B929" t="str">
            <v>梅田 勝太</v>
          </cell>
          <cell r="C929" t="str">
            <v>TRADIA</v>
          </cell>
          <cell r="D929">
            <v>45954</v>
          </cell>
          <cell r="E929" t="str">
            <v>25K0472</v>
          </cell>
          <cell r="F929" t="str">
            <v>I200000006</v>
          </cell>
          <cell r="J929">
            <v>3904.8</v>
          </cell>
          <cell r="K929">
            <v>0</v>
          </cell>
          <cell r="M929">
            <v>3</v>
          </cell>
          <cell r="N929" t="str">
            <v>AIR</v>
          </cell>
          <cell r="P929">
            <v>45773</v>
          </cell>
          <cell r="S929" t="str">
            <v>AM8:00</v>
          </cell>
        </row>
        <row r="930">
          <cell r="A930">
            <v>9080</v>
          </cell>
          <cell r="B930" t="str">
            <v>梅田 勝太</v>
          </cell>
          <cell r="C930" t="str">
            <v>TRADIA</v>
          </cell>
          <cell r="D930">
            <v>45954</v>
          </cell>
          <cell r="E930" t="str">
            <v>25K0473</v>
          </cell>
          <cell r="F930" t="str">
            <v>I200000007</v>
          </cell>
          <cell r="J930">
            <v>3813.6</v>
          </cell>
          <cell r="K930">
            <v>0</v>
          </cell>
          <cell r="M930">
            <v>3</v>
          </cell>
          <cell r="N930" t="str">
            <v>AIR</v>
          </cell>
          <cell r="P930">
            <v>45773</v>
          </cell>
          <cell r="S930" t="str">
            <v>AM8:00</v>
          </cell>
        </row>
        <row r="931">
          <cell r="A931">
            <v>9081</v>
          </cell>
          <cell r="B931" t="str">
            <v>梅田 勝太</v>
          </cell>
          <cell r="C931" t="str">
            <v>TRADIA</v>
          </cell>
          <cell r="D931">
            <v>45954</v>
          </cell>
          <cell r="E931" t="str">
            <v>25K0474</v>
          </cell>
          <cell r="F931" t="str">
            <v>I200000008</v>
          </cell>
          <cell r="J931">
            <v>3813.6</v>
          </cell>
          <cell r="K931">
            <v>0</v>
          </cell>
          <cell r="M931">
            <v>3</v>
          </cell>
          <cell r="N931" t="str">
            <v>AIR</v>
          </cell>
          <cell r="P931">
            <v>45773</v>
          </cell>
          <cell r="S931" t="str">
            <v>AM8:00</v>
          </cell>
        </row>
        <row r="932">
          <cell r="A932">
            <v>9082</v>
          </cell>
          <cell r="B932" t="str">
            <v>梅田 勝太</v>
          </cell>
          <cell r="C932" t="str">
            <v>TRADIA</v>
          </cell>
          <cell r="D932">
            <v>45954</v>
          </cell>
          <cell r="E932" t="str">
            <v>25K0475</v>
          </cell>
          <cell r="F932" t="str">
            <v>I000014142</v>
          </cell>
          <cell r="J932">
            <v>1285.74</v>
          </cell>
          <cell r="K932">
            <v>0.04</v>
          </cell>
          <cell r="M932">
            <v>3</v>
          </cell>
          <cell r="N932" t="str">
            <v>AIR</v>
          </cell>
          <cell r="P932">
            <v>45775</v>
          </cell>
          <cell r="S932" t="str">
            <v>AM8:00</v>
          </cell>
        </row>
        <row r="933">
          <cell r="A933">
            <v>9083</v>
          </cell>
          <cell r="B933" t="str">
            <v>梅田 勝太</v>
          </cell>
          <cell r="C933" t="str">
            <v>TRADIA</v>
          </cell>
          <cell r="D933">
            <v>45954</v>
          </cell>
          <cell r="E933" t="str">
            <v>25K0475</v>
          </cell>
          <cell r="F933" t="str">
            <v>I200000009</v>
          </cell>
          <cell r="J933">
            <v>222.5</v>
          </cell>
          <cell r="K933">
            <v>0</v>
          </cell>
          <cell r="M933">
            <v>3</v>
          </cell>
          <cell r="N933" t="str">
            <v>AIR</v>
          </cell>
          <cell r="P933">
            <v>45773</v>
          </cell>
          <cell r="S933" t="str">
            <v>AM8:00</v>
          </cell>
        </row>
        <row r="934">
          <cell r="A934">
            <v>9084</v>
          </cell>
          <cell r="B934" t="str">
            <v>梅田 勝太</v>
          </cell>
          <cell r="C934" t="str">
            <v>TRADIA</v>
          </cell>
          <cell r="D934">
            <v>45954</v>
          </cell>
          <cell r="E934" t="str">
            <v>25K0476</v>
          </cell>
          <cell r="F934" t="str">
            <v>I200000012</v>
          </cell>
          <cell r="J934">
            <v>1800</v>
          </cell>
          <cell r="K934">
            <v>5.1999999999999998E-2</v>
          </cell>
          <cell r="M934">
            <v>3</v>
          </cell>
          <cell r="N934" t="str">
            <v>AIR</v>
          </cell>
          <cell r="P934">
            <v>45774</v>
          </cell>
          <cell r="S934" t="str">
            <v>AM8:00</v>
          </cell>
        </row>
        <row r="935">
          <cell r="A935">
            <v>9085</v>
          </cell>
          <cell r="B935" t="str">
            <v>梅田 勝太</v>
          </cell>
          <cell r="C935" t="str">
            <v>TRADIA</v>
          </cell>
          <cell r="D935">
            <v>45954</v>
          </cell>
          <cell r="E935" t="str">
            <v>25K0477</v>
          </cell>
          <cell r="F935" t="str">
            <v>I000014151</v>
          </cell>
          <cell r="J935">
            <v>6800</v>
          </cell>
          <cell r="K935">
            <v>0.37</v>
          </cell>
          <cell r="M935">
            <v>3</v>
          </cell>
          <cell r="N935" t="str">
            <v>AIR</v>
          </cell>
          <cell r="P935">
            <v>45776</v>
          </cell>
          <cell r="S935" t="str">
            <v>AM8:00</v>
          </cell>
        </row>
        <row r="936">
          <cell r="A936">
            <v>9086</v>
          </cell>
          <cell r="B936" t="str">
            <v>梅田 勝太</v>
          </cell>
          <cell r="C936" t="str">
            <v>TRADIA</v>
          </cell>
          <cell r="D936">
            <v>45954</v>
          </cell>
          <cell r="E936" t="str">
            <v>25K0501</v>
          </cell>
          <cell r="F936" t="str">
            <v>I000014161</v>
          </cell>
          <cell r="J936">
            <v>368046.36</v>
          </cell>
          <cell r="K936">
            <v>27.47</v>
          </cell>
          <cell r="L936" t="str">
            <v>WHSU0364816</v>
          </cell>
          <cell r="M936">
            <v>3</v>
          </cell>
          <cell r="N936" t="str">
            <v>20GP</v>
          </cell>
          <cell r="O936">
            <v>2</v>
          </cell>
          <cell r="P936">
            <v>45792</v>
          </cell>
          <cell r="S936" t="str">
            <v>AM8:00</v>
          </cell>
        </row>
        <row r="937">
          <cell r="A937">
            <v>9087</v>
          </cell>
          <cell r="B937" t="str">
            <v>梅田 勝太</v>
          </cell>
          <cell r="C937" t="str">
            <v>TRADIA</v>
          </cell>
          <cell r="D937">
            <v>45954</v>
          </cell>
          <cell r="E937" t="str">
            <v>25K0502</v>
          </cell>
          <cell r="F937" t="str">
            <v>I000014162</v>
          </cell>
          <cell r="J937">
            <v>269963.8</v>
          </cell>
          <cell r="K937">
            <v>26.73</v>
          </cell>
          <cell r="L937" t="str">
            <v>WHSU0075048</v>
          </cell>
          <cell r="M937">
            <v>3</v>
          </cell>
          <cell r="N937" t="str">
            <v>20GP</v>
          </cell>
          <cell r="O937">
            <v>2</v>
          </cell>
          <cell r="P937">
            <v>45792</v>
          </cell>
          <cell r="S937" t="str">
            <v>AM8:00</v>
          </cell>
        </row>
        <row r="938">
          <cell r="A938">
            <v>9088</v>
          </cell>
          <cell r="B938" t="str">
            <v>梅田 勝太</v>
          </cell>
          <cell r="C938" t="str">
            <v>TRADIA</v>
          </cell>
          <cell r="D938">
            <v>45954</v>
          </cell>
          <cell r="E938" t="str">
            <v>25K0503</v>
          </cell>
          <cell r="F938" t="str">
            <v>I000014166</v>
          </cell>
          <cell r="J938">
            <v>403237.93</v>
          </cell>
          <cell r="K938">
            <v>27.26</v>
          </cell>
          <cell r="L938" t="str">
            <v>IAAU2812013</v>
          </cell>
          <cell r="M938">
            <v>3</v>
          </cell>
          <cell r="N938" t="str">
            <v>20GP</v>
          </cell>
          <cell r="O938">
            <v>2</v>
          </cell>
          <cell r="P938">
            <v>45796</v>
          </cell>
          <cell r="S938" t="str">
            <v>AM8:00</v>
          </cell>
        </row>
        <row r="939">
          <cell r="A939">
            <v>9089</v>
          </cell>
          <cell r="B939" t="str">
            <v>梅田 勝太</v>
          </cell>
          <cell r="C939" t="str">
            <v>TRADIA</v>
          </cell>
          <cell r="D939">
            <v>45954</v>
          </cell>
          <cell r="E939" t="str">
            <v>25K0504</v>
          </cell>
          <cell r="F939" t="str">
            <v>I000014171</v>
          </cell>
          <cell r="J939">
            <v>332685.76</v>
          </cell>
          <cell r="K939">
            <v>28.48</v>
          </cell>
          <cell r="L939" t="str">
            <v>IAAU2803114</v>
          </cell>
          <cell r="M939">
            <v>3</v>
          </cell>
          <cell r="N939" t="str">
            <v>20GP</v>
          </cell>
          <cell r="O939">
            <v>2</v>
          </cell>
          <cell r="P939">
            <v>45796</v>
          </cell>
          <cell r="S939" t="str">
            <v>AM8:00</v>
          </cell>
        </row>
        <row r="940">
          <cell r="A940">
            <v>9090</v>
          </cell>
          <cell r="B940" t="str">
            <v>梅田 勝太</v>
          </cell>
          <cell r="C940" t="str">
            <v>TRADIA</v>
          </cell>
          <cell r="D940">
            <v>45954</v>
          </cell>
          <cell r="E940" t="str">
            <v>25K0505</v>
          </cell>
          <cell r="F940" t="str">
            <v>I000014173</v>
          </cell>
          <cell r="J940">
            <v>388778.1</v>
          </cell>
          <cell r="K940">
            <v>29.84</v>
          </cell>
          <cell r="L940" t="str">
            <v>IAAU2984012</v>
          </cell>
          <cell r="M940">
            <v>3</v>
          </cell>
          <cell r="N940" t="str">
            <v>20GP</v>
          </cell>
          <cell r="O940">
            <v>2</v>
          </cell>
          <cell r="P940">
            <v>45796</v>
          </cell>
          <cell r="S940" t="str">
            <v>AM8:00</v>
          </cell>
        </row>
        <row r="941">
          <cell r="A941">
            <v>9091</v>
          </cell>
          <cell r="B941" t="str">
            <v>梅田 勝太</v>
          </cell>
          <cell r="C941" t="str">
            <v>TRADIA</v>
          </cell>
          <cell r="D941">
            <v>45954</v>
          </cell>
          <cell r="E941" t="str">
            <v>25K0506</v>
          </cell>
          <cell r="F941" t="str">
            <v>I000014185</v>
          </cell>
          <cell r="J941">
            <v>265027.59999999998</v>
          </cell>
          <cell r="K941">
            <v>27.01</v>
          </cell>
          <cell r="L941" t="str">
            <v>WHSU0196184</v>
          </cell>
          <cell r="M941">
            <v>3</v>
          </cell>
          <cell r="N941" t="str">
            <v>20GP</v>
          </cell>
          <cell r="O941">
            <v>2</v>
          </cell>
          <cell r="P941">
            <v>45798</v>
          </cell>
          <cell r="S941" t="str">
            <v>AM8:00</v>
          </cell>
        </row>
        <row r="942">
          <cell r="A942">
            <v>9092</v>
          </cell>
          <cell r="B942" t="str">
            <v>梅田 勝太</v>
          </cell>
          <cell r="C942" t="str">
            <v>TRADIA</v>
          </cell>
          <cell r="D942">
            <v>45954</v>
          </cell>
          <cell r="E942" t="str">
            <v>25K0507</v>
          </cell>
          <cell r="F942" t="str">
            <v>I000014187</v>
          </cell>
          <cell r="J942">
            <v>400464.56</v>
          </cell>
          <cell r="K942">
            <v>25.66</v>
          </cell>
          <cell r="L942" t="str">
            <v>TSSU2130760</v>
          </cell>
          <cell r="M942">
            <v>3</v>
          </cell>
          <cell r="N942" t="str">
            <v>20GP</v>
          </cell>
          <cell r="O942">
            <v>2</v>
          </cell>
          <cell r="P942">
            <v>45801</v>
          </cell>
          <cell r="S942" t="str">
            <v>AM8:00</v>
          </cell>
        </row>
        <row r="943">
          <cell r="A943">
            <v>9093</v>
          </cell>
          <cell r="B943" t="str">
            <v>梅田 勝太</v>
          </cell>
          <cell r="C943" t="str">
            <v>TRADIA</v>
          </cell>
          <cell r="D943">
            <v>45954</v>
          </cell>
          <cell r="E943" t="str">
            <v>25K0508</v>
          </cell>
          <cell r="F943" t="str">
            <v>I000014192</v>
          </cell>
          <cell r="J943">
            <v>513696.54</v>
          </cell>
          <cell r="K943">
            <v>27.39</v>
          </cell>
          <cell r="L943" t="str">
            <v>EGSU3752965</v>
          </cell>
          <cell r="M943">
            <v>3</v>
          </cell>
          <cell r="N943" t="str">
            <v>20GP</v>
          </cell>
          <cell r="O943">
            <v>2</v>
          </cell>
          <cell r="P943">
            <v>45801</v>
          </cell>
          <cell r="S943" t="str">
            <v>AM8:00</v>
          </cell>
        </row>
        <row r="944">
          <cell r="A944">
            <v>9094</v>
          </cell>
          <cell r="B944" t="str">
            <v>梅田 勝太</v>
          </cell>
          <cell r="C944" t="str">
            <v>TRADIA</v>
          </cell>
          <cell r="D944">
            <v>45954</v>
          </cell>
          <cell r="E944" t="str">
            <v>25K0509</v>
          </cell>
          <cell r="F944" t="str">
            <v>I000014208</v>
          </cell>
          <cell r="J944">
            <v>626719.47</v>
          </cell>
          <cell r="K944">
            <v>28.96</v>
          </cell>
          <cell r="L944" t="str">
            <v>TSSU2316630</v>
          </cell>
          <cell r="M944">
            <v>3</v>
          </cell>
          <cell r="N944" t="str">
            <v>20GP</v>
          </cell>
          <cell r="O944">
            <v>2</v>
          </cell>
          <cell r="P944">
            <v>45803</v>
          </cell>
          <cell r="S944" t="str">
            <v>AM8:00</v>
          </cell>
        </row>
        <row r="945">
          <cell r="A945">
            <v>9095</v>
          </cell>
          <cell r="B945" t="str">
            <v>梅田 勝太</v>
          </cell>
          <cell r="C945" t="str">
            <v>TRADIA</v>
          </cell>
          <cell r="D945">
            <v>45954</v>
          </cell>
          <cell r="E945" t="str">
            <v>25K0510</v>
          </cell>
          <cell r="F945" t="str">
            <v>I000014205</v>
          </cell>
          <cell r="J945">
            <v>481163.92</v>
          </cell>
          <cell r="K945">
            <v>26.38</v>
          </cell>
          <cell r="L945" t="str">
            <v>WHSU0152545</v>
          </cell>
          <cell r="M945">
            <v>3</v>
          </cell>
          <cell r="N945" t="str">
            <v>20GP</v>
          </cell>
          <cell r="O945">
            <v>2</v>
          </cell>
          <cell r="P945">
            <v>45805</v>
          </cell>
          <cell r="S945" t="str">
            <v>AM8:00</v>
          </cell>
        </row>
        <row r="946">
          <cell r="A946">
            <v>9096</v>
          </cell>
          <cell r="B946" t="str">
            <v>梅田 勝太</v>
          </cell>
          <cell r="C946" t="str">
            <v>TRADIA</v>
          </cell>
          <cell r="D946">
            <v>45954</v>
          </cell>
          <cell r="E946" t="str">
            <v>25K0511</v>
          </cell>
          <cell r="F946" t="str">
            <v>I000014210</v>
          </cell>
          <cell r="J946">
            <v>378246.40000000002</v>
          </cell>
          <cell r="K946">
            <v>25.7</v>
          </cell>
          <cell r="L946" t="str">
            <v>WHSU0115454</v>
          </cell>
          <cell r="M946">
            <v>3</v>
          </cell>
          <cell r="N946" t="str">
            <v>20GP</v>
          </cell>
          <cell r="O946">
            <v>2</v>
          </cell>
          <cell r="P946">
            <v>45805</v>
          </cell>
          <cell r="S946" t="str">
            <v>AM8:00</v>
          </cell>
        </row>
        <row r="947">
          <cell r="A947">
            <v>9097</v>
          </cell>
          <cell r="B947" t="str">
            <v>梅田 勝太</v>
          </cell>
          <cell r="C947" t="str">
            <v>TRADIA</v>
          </cell>
          <cell r="D947">
            <v>45954</v>
          </cell>
          <cell r="E947" t="str">
            <v>25K0512</v>
          </cell>
          <cell r="F947" t="str">
            <v>I000014214</v>
          </cell>
          <cell r="J947">
            <v>330480.17</v>
          </cell>
          <cell r="K947">
            <v>25.4</v>
          </cell>
          <cell r="L947" t="str">
            <v>CAAU2650391</v>
          </cell>
          <cell r="M947">
            <v>3</v>
          </cell>
          <cell r="N947" t="str">
            <v>20GP</v>
          </cell>
          <cell r="O947">
            <v>2</v>
          </cell>
          <cell r="P947">
            <v>45806</v>
          </cell>
          <cell r="S947" t="str">
            <v>AM8:00</v>
          </cell>
        </row>
        <row r="948">
          <cell r="A948">
            <v>9098</v>
          </cell>
          <cell r="B948" t="str">
            <v>梅田 勝太</v>
          </cell>
          <cell r="C948" t="str">
            <v>TRADIA</v>
          </cell>
          <cell r="D948">
            <v>45954</v>
          </cell>
          <cell r="E948" t="str">
            <v>25K0513</v>
          </cell>
          <cell r="F948" t="str">
            <v>I000014224</v>
          </cell>
          <cell r="J948">
            <v>429058.52</v>
          </cell>
          <cell r="K948">
            <v>27.8</v>
          </cell>
          <cell r="L948" t="str">
            <v>WHSU0266640</v>
          </cell>
          <cell r="M948">
            <v>3</v>
          </cell>
          <cell r="N948" t="str">
            <v>20GP</v>
          </cell>
          <cell r="O948">
            <v>2</v>
          </cell>
          <cell r="P948">
            <v>45810</v>
          </cell>
          <cell r="S948" t="str">
            <v>AM8:00</v>
          </cell>
        </row>
        <row r="949">
          <cell r="A949">
            <v>9099</v>
          </cell>
          <cell r="B949" t="str">
            <v>梅田 勝太</v>
          </cell>
          <cell r="C949" t="str">
            <v>TRADIA</v>
          </cell>
          <cell r="D949">
            <v>45954</v>
          </cell>
          <cell r="E949" t="str">
            <v>25K0513-2</v>
          </cell>
          <cell r="F949" t="str">
            <v>I000014224</v>
          </cell>
          <cell r="J949">
            <v>39526.239999999998</v>
          </cell>
          <cell r="K949">
            <v>0.17</v>
          </cell>
          <cell r="L949" t="str">
            <v>WHSU0266640</v>
          </cell>
          <cell r="M949">
            <v>3</v>
          </cell>
          <cell r="N949" t="str">
            <v>20GP</v>
          </cell>
          <cell r="O949">
            <v>2</v>
          </cell>
          <cell r="P949">
            <v>45810</v>
          </cell>
          <cell r="S949" t="str">
            <v>AM8:00</v>
          </cell>
        </row>
        <row r="950">
          <cell r="A950">
            <v>9100</v>
          </cell>
          <cell r="B950" t="str">
            <v>梅田 勝太</v>
          </cell>
          <cell r="C950" t="str">
            <v>TRADIA</v>
          </cell>
          <cell r="D950">
            <v>45954</v>
          </cell>
          <cell r="E950" t="str">
            <v>25K0514</v>
          </cell>
          <cell r="F950" t="str">
            <v>I000014228</v>
          </cell>
          <cell r="J950">
            <v>382397.4</v>
          </cell>
          <cell r="K950">
            <v>27.77</v>
          </cell>
          <cell r="L950" t="str">
            <v>WHSU0011151</v>
          </cell>
          <cell r="M950">
            <v>3</v>
          </cell>
          <cell r="N950" t="str">
            <v>20GP</v>
          </cell>
          <cell r="O950">
            <v>2</v>
          </cell>
          <cell r="P950">
            <v>45810</v>
          </cell>
          <cell r="S950" t="str">
            <v>AM8:00</v>
          </cell>
        </row>
        <row r="951">
          <cell r="A951">
            <v>9101</v>
          </cell>
          <cell r="B951" t="str">
            <v>梅田 勝太</v>
          </cell>
          <cell r="C951" t="str">
            <v>TRADIA</v>
          </cell>
          <cell r="D951">
            <v>45954</v>
          </cell>
          <cell r="E951" t="str">
            <v>25K0515</v>
          </cell>
          <cell r="F951" t="str">
            <v>I000014230</v>
          </cell>
          <cell r="J951">
            <v>299097.71999999997</v>
          </cell>
          <cell r="K951">
            <v>28.46</v>
          </cell>
          <cell r="L951" t="str">
            <v>WHSU0009679</v>
          </cell>
          <cell r="M951">
            <v>3</v>
          </cell>
          <cell r="N951" t="str">
            <v>20GP</v>
          </cell>
          <cell r="O951">
            <v>2</v>
          </cell>
          <cell r="P951">
            <v>45810</v>
          </cell>
          <cell r="S951" t="str">
            <v>AM8:00</v>
          </cell>
        </row>
        <row r="952">
          <cell r="A952">
            <v>9102</v>
          </cell>
          <cell r="B952" t="str">
            <v>梅田 勝太</v>
          </cell>
          <cell r="C952" t="str">
            <v>TRADIA</v>
          </cell>
          <cell r="D952">
            <v>45954</v>
          </cell>
          <cell r="E952" t="str">
            <v>25K0516</v>
          </cell>
          <cell r="F952" t="str">
            <v>I000014241</v>
          </cell>
          <cell r="J952">
            <v>340348.58</v>
          </cell>
          <cell r="K952">
            <v>27.71</v>
          </cell>
          <cell r="L952" t="str">
            <v>EGSU3735823</v>
          </cell>
          <cell r="M952">
            <v>3</v>
          </cell>
          <cell r="N952" t="str">
            <v>20GP</v>
          </cell>
          <cell r="O952">
            <v>2</v>
          </cell>
          <cell r="P952">
            <v>45815</v>
          </cell>
          <cell r="S952" t="str">
            <v>AM8:00</v>
          </cell>
        </row>
        <row r="953">
          <cell r="A953">
            <v>9103</v>
          </cell>
          <cell r="B953" t="str">
            <v>梅田 勝太</v>
          </cell>
          <cell r="C953" t="str">
            <v>TRADIA</v>
          </cell>
          <cell r="D953">
            <v>45954</v>
          </cell>
          <cell r="E953" t="str">
            <v>25K0517</v>
          </cell>
          <cell r="F953" t="str">
            <v>I000014247</v>
          </cell>
          <cell r="J953">
            <v>317626.84000000003</v>
          </cell>
          <cell r="K953">
            <v>26.93</v>
          </cell>
          <cell r="L953" t="str">
            <v>EGSU3569091</v>
          </cell>
          <cell r="M953">
            <v>3</v>
          </cell>
          <cell r="N953" t="str">
            <v>20GP</v>
          </cell>
          <cell r="O953">
            <v>2</v>
          </cell>
          <cell r="P953">
            <v>45815</v>
          </cell>
          <cell r="S953" t="str">
            <v>AM8:00</v>
          </cell>
        </row>
        <row r="954">
          <cell r="A954">
            <v>9104</v>
          </cell>
          <cell r="B954" t="str">
            <v>梅田 勝太</v>
          </cell>
          <cell r="C954" t="str">
            <v>TRADIA</v>
          </cell>
          <cell r="D954">
            <v>45954</v>
          </cell>
          <cell r="E954" t="str">
            <v>25K0518</v>
          </cell>
          <cell r="F954" t="str">
            <v>I000014254</v>
          </cell>
          <cell r="J954">
            <v>319304.59999999998</v>
          </cell>
          <cell r="K954">
            <v>24.5</v>
          </cell>
          <cell r="L954" t="str">
            <v>EGSU3760596</v>
          </cell>
          <cell r="M954">
            <v>3</v>
          </cell>
          <cell r="N954" t="str">
            <v>20GP</v>
          </cell>
          <cell r="O954">
            <v>2</v>
          </cell>
          <cell r="P954">
            <v>45815</v>
          </cell>
          <cell r="S954" t="str">
            <v>AM8:00</v>
          </cell>
        </row>
        <row r="955">
          <cell r="A955">
            <v>9105</v>
          </cell>
          <cell r="B955" t="str">
            <v>梅田 勝太</v>
          </cell>
          <cell r="C955" t="str">
            <v>TRADIA</v>
          </cell>
          <cell r="D955">
            <v>45954</v>
          </cell>
          <cell r="E955" t="str">
            <v>25K0519</v>
          </cell>
          <cell r="F955" t="str">
            <v>I000014237</v>
          </cell>
          <cell r="J955">
            <v>370940.96</v>
          </cell>
          <cell r="K955">
            <v>2.08</v>
          </cell>
          <cell r="L955" t="str">
            <v>WHSU8200526</v>
          </cell>
          <cell r="M955">
            <v>3</v>
          </cell>
          <cell r="N955" t="str">
            <v>20GP</v>
          </cell>
          <cell r="O955">
            <v>2</v>
          </cell>
          <cell r="P955">
            <v>45813</v>
          </cell>
          <cell r="S955" t="str">
            <v>AM8:00</v>
          </cell>
        </row>
        <row r="956">
          <cell r="A956">
            <v>9106</v>
          </cell>
          <cell r="B956" t="str">
            <v>梅田 勝太</v>
          </cell>
          <cell r="C956" t="str">
            <v>TRADIA</v>
          </cell>
          <cell r="D956">
            <v>45954</v>
          </cell>
          <cell r="E956" t="str">
            <v>25K0550</v>
          </cell>
          <cell r="F956" t="str">
            <v>I000014167</v>
          </cell>
          <cell r="J956">
            <v>128901.72</v>
          </cell>
          <cell r="K956">
            <v>9.8000000000000004E-2</v>
          </cell>
          <cell r="M956">
            <v>3</v>
          </cell>
          <cell r="N956" t="str">
            <v>AIR</v>
          </cell>
          <cell r="P956">
            <v>45785</v>
          </cell>
          <cell r="S956" t="str">
            <v>AM8:00</v>
          </cell>
        </row>
        <row r="957">
          <cell r="A957">
            <v>9107</v>
          </cell>
          <cell r="B957" t="str">
            <v>梅田 勝太</v>
          </cell>
          <cell r="C957" t="str">
            <v>TRADIA</v>
          </cell>
          <cell r="D957">
            <v>45954</v>
          </cell>
          <cell r="E957" t="str">
            <v>25K0550-2</v>
          </cell>
          <cell r="F957" t="str">
            <v>I000014167</v>
          </cell>
          <cell r="J957">
            <v>472.4</v>
          </cell>
          <cell r="K957">
            <v>0.02</v>
          </cell>
          <cell r="M957">
            <v>3</v>
          </cell>
          <cell r="N957" t="str">
            <v>AIR</v>
          </cell>
          <cell r="P957">
            <v>45785</v>
          </cell>
          <cell r="S957" t="str">
            <v>AM8:00</v>
          </cell>
        </row>
        <row r="958">
          <cell r="A958">
            <v>9108</v>
          </cell>
          <cell r="B958" t="str">
            <v>梅田 勝太</v>
          </cell>
          <cell r="C958" t="str">
            <v>TRADIA</v>
          </cell>
          <cell r="D958">
            <v>45954</v>
          </cell>
          <cell r="E958" t="str">
            <v>25K0551</v>
          </cell>
          <cell r="F958" t="str">
            <v>I000014186</v>
          </cell>
          <cell r="J958">
            <v>9794.7999999999993</v>
          </cell>
          <cell r="K958">
            <v>1.03</v>
          </cell>
          <cell r="M958">
            <v>3</v>
          </cell>
          <cell r="N958" t="str">
            <v>AIR</v>
          </cell>
          <cell r="P958">
            <v>45791</v>
          </cell>
          <cell r="S958" t="str">
            <v>AM8:00</v>
          </cell>
        </row>
        <row r="959">
          <cell r="A959">
            <v>9109</v>
          </cell>
          <cell r="B959" t="str">
            <v>梅田 勝太</v>
          </cell>
          <cell r="C959" t="str">
            <v>TRADIA</v>
          </cell>
          <cell r="D959">
            <v>45954</v>
          </cell>
          <cell r="E959" t="str">
            <v>25K0552</v>
          </cell>
          <cell r="F959" t="str">
            <v>I000014182</v>
          </cell>
          <cell r="J959">
            <v>272391.43</v>
          </cell>
          <cell r="K959">
            <v>0.7</v>
          </cell>
          <cell r="M959">
            <v>3</v>
          </cell>
          <cell r="N959" t="str">
            <v>AIR</v>
          </cell>
          <cell r="P959">
            <v>45790</v>
          </cell>
          <cell r="S959" t="str">
            <v>AM8:00</v>
          </cell>
        </row>
        <row r="960">
          <cell r="A960">
            <v>9110</v>
          </cell>
          <cell r="B960" t="str">
            <v>梅田 勝太</v>
          </cell>
          <cell r="C960" t="str">
            <v>TRADIA</v>
          </cell>
          <cell r="D960">
            <v>45954</v>
          </cell>
          <cell r="E960" t="str">
            <v>25K0553</v>
          </cell>
          <cell r="F960" t="str">
            <v>I000014174</v>
          </cell>
          <cell r="J960">
            <v>2859.68</v>
          </cell>
          <cell r="K960">
            <v>0.06</v>
          </cell>
          <cell r="M960">
            <v>3</v>
          </cell>
          <cell r="N960" t="str">
            <v>AIR</v>
          </cell>
          <cell r="P960">
            <v>45787</v>
          </cell>
          <cell r="S960" t="str">
            <v>AM8:00</v>
          </cell>
        </row>
        <row r="961">
          <cell r="A961">
            <v>9111</v>
          </cell>
          <cell r="B961" t="str">
            <v>梅田 勝太</v>
          </cell>
          <cell r="C961" t="str">
            <v>TRADIA</v>
          </cell>
          <cell r="D961">
            <v>45954</v>
          </cell>
          <cell r="E961" t="str">
            <v>25K0554</v>
          </cell>
          <cell r="F961" t="str">
            <v>I000014193</v>
          </cell>
          <cell r="J961">
            <v>23447.3</v>
          </cell>
          <cell r="K961">
            <v>1.63</v>
          </cell>
          <cell r="M961">
            <v>3</v>
          </cell>
          <cell r="N961" t="str">
            <v>AIR</v>
          </cell>
          <cell r="P961">
            <v>45792</v>
          </cell>
          <cell r="S961" t="str">
            <v>AM8:00</v>
          </cell>
        </row>
        <row r="962">
          <cell r="A962">
            <v>9112</v>
          </cell>
          <cell r="B962" t="str">
            <v>梅田 勝太</v>
          </cell>
          <cell r="C962" t="str">
            <v>TRADIA</v>
          </cell>
          <cell r="D962">
            <v>45954</v>
          </cell>
          <cell r="E962" t="str">
            <v>25K0555</v>
          </cell>
          <cell r="F962" t="str">
            <v>I000014177</v>
          </cell>
          <cell r="J962">
            <v>48</v>
          </cell>
          <cell r="K962">
            <v>0</v>
          </cell>
          <cell r="M962">
            <v>3</v>
          </cell>
          <cell r="N962" t="str">
            <v>AIR</v>
          </cell>
          <cell r="P962">
            <v>45790</v>
          </cell>
          <cell r="S962" t="str">
            <v>AM8:00</v>
          </cell>
        </row>
        <row r="963">
          <cell r="A963">
            <v>9113</v>
          </cell>
          <cell r="B963" t="str">
            <v>梅田 勝太</v>
          </cell>
          <cell r="C963" t="str">
            <v>TRADIA</v>
          </cell>
          <cell r="D963">
            <v>45954</v>
          </cell>
          <cell r="E963" t="str">
            <v>25K0556</v>
          </cell>
          <cell r="F963" t="str">
            <v>I000014195</v>
          </cell>
          <cell r="J963">
            <v>328889.23</v>
          </cell>
          <cell r="K963">
            <v>2.74</v>
          </cell>
          <cell r="M963">
            <v>3</v>
          </cell>
          <cell r="N963" t="str">
            <v>AIR</v>
          </cell>
          <cell r="P963">
            <v>45793</v>
          </cell>
          <cell r="S963" t="str">
            <v>AM8:00</v>
          </cell>
        </row>
        <row r="964">
          <cell r="A964">
            <v>9114</v>
          </cell>
          <cell r="B964" t="str">
            <v>梅田 勝太</v>
          </cell>
          <cell r="C964" t="str">
            <v>TRADIA</v>
          </cell>
          <cell r="D964">
            <v>45954</v>
          </cell>
          <cell r="E964" t="str">
            <v>25K0557</v>
          </cell>
          <cell r="F964" t="str">
            <v>I000014190</v>
          </cell>
          <cell r="J964">
            <v>128</v>
          </cell>
          <cell r="K964">
            <v>0.08</v>
          </cell>
          <cell r="M964">
            <v>3</v>
          </cell>
          <cell r="N964" t="str">
            <v>AIR</v>
          </cell>
          <cell r="P964">
            <v>45792</v>
          </cell>
          <cell r="S964" t="str">
            <v>AM8:00</v>
          </cell>
        </row>
        <row r="965">
          <cell r="A965">
            <v>9115</v>
          </cell>
          <cell r="B965" t="str">
            <v>梅田 勝太</v>
          </cell>
          <cell r="C965" t="str">
            <v>TRADIA</v>
          </cell>
          <cell r="D965">
            <v>45954</v>
          </cell>
          <cell r="E965" t="str">
            <v>25K0558</v>
          </cell>
          <cell r="F965" t="str">
            <v>I000014202</v>
          </cell>
          <cell r="J965">
            <v>67856.399999999994</v>
          </cell>
          <cell r="K965">
            <v>4.33</v>
          </cell>
          <cell r="M965">
            <v>3</v>
          </cell>
          <cell r="N965" t="str">
            <v>AIR</v>
          </cell>
          <cell r="P965">
            <v>45794</v>
          </cell>
          <cell r="S965" t="str">
            <v>AM8:00</v>
          </cell>
        </row>
        <row r="966">
          <cell r="A966">
            <v>9116</v>
          </cell>
          <cell r="B966" t="str">
            <v>梅田 勝太</v>
          </cell>
          <cell r="C966" t="str">
            <v>TRADIA</v>
          </cell>
          <cell r="D966">
            <v>45954</v>
          </cell>
          <cell r="E966" t="str">
            <v>25K0558-2</v>
          </cell>
          <cell r="F966" t="str">
            <v>I000014202</v>
          </cell>
          <cell r="J966">
            <v>270.52999999999997</v>
          </cell>
          <cell r="K966">
            <v>0.02</v>
          </cell>
          <cell r="M966">
            <v>3</v>
          </cell>
          <cell r="N966" t="str">
            <v>AIR</v>
          </cell>
          <cell r="P966">
            <v>45794</v>
          </cell>
          <cell r="S966" t="str">
            <v>AM8:00</v>
          </cell>
        </row>
        <row r="967">
          <cell r="A967">
            <v>9117</v>
          </cell>
          <cell r="B967" t="str">
            <v>梅田 勝太</v>
          </cell>
          <cell r="C967" t="str">
            <v>TRADIA</v>
          </cell>
          <cell r="D967">
            <v>45954</v>
          </cell>
          <cell r="E967" t="str">
            <v>25K0559</v>
          </cell>
          <cell r="F967" t="str">
            <v>I000014213</v>
          </cell>
          <cell r="J967">
            <v>54944</v>
          </cell>
          <cell r="K967">
            <v>0.86</v>
          </cell>
          <cell r="M967">
            <v>3</v>
          </cell>
          <cell r="N967" t="str">
            <v>AIR</v>
          </cell>
          <cell r="P967">
            <v>45798</v>
          </cell>
          <cell r="S967" t="str">
            <v>AM8:00</v>
          </cell>
        </row>
        <row r="968">
          <cell r="A968">
            <v>9118</v>
          </cell>
          <cell r="B968" t="str">
            <v>梅田 勝太</v>
          </cell>
          <cell r="C968" t="str">
            <v>TRADIA</v>
          </cell>
          <cell r="D968">
            <v>45954</v>
          </cell>
          <cell r="E968" t="str">
            <v>25K0561</v>
          </cell>
          <cell r="F968" t="str">
            <v>I000014251</v>
          </cell>
          <cell r="J968">
            <v>4800</v>
          </cell>
          <cell r="K968">
            <v>0.12</v>
          </cell>
          <cell r="M968">
            <v>3</v>
          </cell>
          <cell r="N968" t="str">
            <v>AIR</v>
          </cell>
          <cell r="P968">
            <v>45806</v>
          </cell>
          <cell r="S968" t="str">
            <v>AM8:00</v>
          </cell>
        </row>
        <row r="969">
          <cell r="A969">
            <v>9119</v>
          </cell>
          <cell r="B969" t="str">
            <v>梅田 勝太</v>
          </cell>
          <cell r="C969" t="str">
            <v>TRADIA</v>
          </cell>
          <cell r="D969">
            <v>45954</v>
          </cell>
          <cell r="E969" t="str">
            <v>25K0562</v>
          </cell>
          <cell r="F969" t="str">
            <v>I000014226</v>
          </cell>
          <cell r="J969">
            <v>17431.919999999998</v>
          </cell>
          <cell r="K969">
            <v>1.2</v>
          </cell>
          <cell r="M969">
            <v>3</v>
          </cell>
          <cell r="N969" t="str">
            <v>AIR</v>
          </cell>
          <cell r="P969">
            <v>45800</v>
          </cell>
          <cell r="S969" t="str">
            <v>AM8:00</v>
          </cell>
        </row>
        <row r="970">
          <cell r="A970">
            <v>9120</v>
          </cell>
          <cell r="B970" t="str">
            <v>梅田 勝太</v>
          </cell>
          <cell r="C970" t="str">
            <v>TRADIA</v>
          </cell>
          <cell r="D970">
            <v>45954</v>
          </cell>
          <cell r="E970" t="str">
            <v>25K0562-2</v>
          </cell>
          <cell r="F970" t="str">
            <v>I000014226</v>
          </cell>
          <cell r="J970">
            <v>870</v>
          </cell>
          <cell r="K970">
            <v>0.17</v>
          </cell>
          <cell r="M970">
            <v>3</v>
          </cell>
          <cell r="N970" t="str">
            <v>AIR</v>
          </cell>
          <cell r="P970">
            <v>45800</v>
          </cell>
          <cell r="S970" t="str">
            <v>AM8:00</v>
          </cell>
        </row>
        <row r="971">
          <cell r="A971">
            <v>9121</v>
          </cell>
          <cell r="B971" t="str">
            <v>梅田 勝太</v>
          </cell>
          <cell r="C971" t="str">
            <v>TRADIA</v>
          </cell>
          <cell r="D971">
            <v>45954</v>
          </cell>
          <cell r="E971" t="str">
            <v>25K0563</v>
          </cell>
          <cell r="F971" t="str">
            <v>I000014216</v>
          </cell>
          <cell r="J971">
            <v>100</v>
          </cell>
          <cell r="K971">
            <v>0.04</v>
          </cell>
          <cell r="M971">
            <v>3</v>
          </cell>
          <cell r="N971" t="str">
            <v>AIR</v>
          </cell>
          <cell r="P971">
            <v>45799</v>
          </cell>
          <cell r="S971" t="str">
            <v>AM8:00</v>
          </cell>
        </row>
        <row r="972">
          <cell r="A972">
            <v>9122</v>
          </cell>
          <cell r="B972" t="str">
            <v>梅田 勝太</v>
          </cell>
          <cell r="C972" t="str">
            <v>TRADIA</v>
          </cell>
          <cell r="D972">
            <v>45954</v>
          </cell>
          <cell r="E972" t="str">
            <v>25K0564</v>
          </cell>
          <cell r="F972" t="str">
            <v>I000014219</v>
          </cell>
          <cell r="J972">
            <v>659.4</v>
          </cell>
          <cell r="K972">
            <v>0.02</v>
          </cell>
          <cell r="M972">
            <v>3</v>
          </cell>
          <cell r="N972" t="str">
            <v>AIR</v>
          </cell>
          <cell r="P972">
            <v>45799</v>
          </cell>
          <cell r="S972" t="str">
            <v>AM8:00</v>
          </cell>
        </row>
        <row r="973">
          <cell r="A973">
            <v>9123</v>
          </cell>
          <cell r="B973" t="str">
            <v>梅田 勝太</v>
          </cell>
          <cell r="C973" t="str">
            <v>TRADIA</v>
          </cell>
          <cell r="D973">
            <v>45954</v>
          </cell>
          <cell r="E973" t="str">
            <v>25K0565</v>
          </cell>
          <cell r="F973" t="str">
            <v>I000014231</v>
          </cell>
          <cell r="J973">
            <v>239839.72</v>
          </cell>
          <cell r="K973">
            <v>0.81</v>
          </cell>
          <cell r="M973">
            <v>3</v>
          </cell>
          <cell r="N973" t="str">
            <v>AIR</v>
          </cell>
          <cell r="P973">
            <v>45803</v>
          </cell>
          <cell r="S973" t="str">
            <v>AM8:00</v>
          </cell>
        </row>
        <row r="974">
          <cell r="A974">
            <v>9124</v>
          </cell>
          <cell r="B974" t="str">
            <v>梅田 勝太</v>
          </cell>
          <cell r="C974" t="str">
            <v>TRADIA</v>
          </cell>
          <cell r="D974">
            <v>45954</v>
          </cell>
          <cell r="E974" t="str">
            <v>25K0566</v>
          </cell>
          <cell r="F974" t="str">
            <v>I000014227</v>
          </cell>
          <cell r="J974">
            <v>93879.8</v>
          </cell>
          <cell r="K974">
            <v>1.46</v>
          </cell>
          <cell r="M974">
            <v>3</v>
          </cell>
          <cell r="N974" t="str">
            <v>AIR</v>
          </cell>
          <cell r="P974">
            <v>45801</v>
          </cell>
          <cell r="S974" t="str">
            <v>AM8:00</v>
          </cell>
        </row>
        <row r="975">
          <cell r="A975">
            <v>9125</v>
          </cell>
          <cell r="B975" t="str">
            <v>梅田 勝太</v>
          </cell>
          <cell r="C975" t="str">
            <v>TRADIA</v>
          </cell>
          <cell r="D975">
            <v>45954</v>
          </cell>
          <cell r="E975" t="str">
            <v>25K0566-2</v>
          </cell>
          <cell r="F975" t="str">
            <v>I000014249</v>
          </cell>
          <cell r="J975">
            <v>2450.4</v>
          </cell>
          <cell r="K975">
            <v>0.1</v>
          </cell>
          <cell r="M975">
            <v>3</v>
          </cell>
          <cell r="N975" t="str">
            <v>AIR</v>
          </cell>
          <cell r="P975">
            <v>45806</v>
          </cell>
          <cell r="S975" t="str">
            <v>AM8:00</v>
          </cell>
        </row>
        <row r="976">
          <cell r="A976">
            <v>9126</v>
          </cell>
          <cell r="B976" t="str">
            <v>梅田 勝太</v>
          </cell>
          <cell r="C976" t="str">
            <v>TRADIA</v>
          </cell>
          <cell r="D976">
            <v>45954</v>
          </cell>
          <cell r="E976" t="str">
            <v>25K0566-3</v>
          </cell>
          <cell r="F976" t="str">
            <v>I000014249</v>
          </cell>
          <cell r="J976">
            <v>451.3</v>
          </cell>
          <cell r="K976">
            <v>0.08</v>
          </cell>
          <cell r="M976">
            <v>3</v>
          </cell>
          <cell r="N976" t="str">
            <v>AIR</v>
          </cell>
          <cell r="P976">
            <v>45806</v>
          </cell>
          <cell r="S976" t="str">
            <v>AM8:00</v>
          </cell>
        </row>
        <row r="977">
          <cell r="A977">
            <v>9127</v>
          </cell>
          <cell r="B977" t="str">
            <v>梅田 勝太</v>
          </cell>
          <cell r="C977" t="str">
            <v>TRADIA</v>
          </cell>
          <cell r="D977">
            <v>45954</v>
          </cell>
          <cell r="E977" t="str">
            <v>25K0567</v>
          </cell>
          <cell r="F977" t="str">
            <v>I000014250</v>
          </cell>
          <cell r="J977">
            <v>2450.4</v>
          </cell>
          <cell r="K977">
            <v>0.1</v>
          </cell>
          <cell r="M977">
            <v>3</v>
          </cell>
          <cell r="N977" t="str">
            <v>AIR</v>
          </cell>
          <cell r="P977">
            <v>45806</v>
          </cell>
          <cell r="S977" t="str">
            <v>AM8:00</v>
          </cell>
        </row>
        <row r="978">
          <cell r="A978">
            <v>9128</v>
          </cell>
          <cell r="B978" t="str">
            <v>梅田 勝太</v>
          </cell>
          <cell r="C978" t="str">
            <v>TRADIA</v>
          </cell>
          <cell r="D978">
            <v>45954</v>
          </cell>
          <cell r="E978" t="str">
            <v>25K0568</v>
          </cell>
          <cell r="F978" t="str">
            <v>I200000015</v>
          </cell>
          <cell r="J978">
            <v>170</v>
          </cell>
          <cell r="K978">
            <v>0.02</v>
          </cell>
          <cell r="M978">
            <v>3</v>
          </cell>
          <cell r="N978" t="str">
            <v>AIR</v>
          </cell>
          <cell r="P978">
            <v>45806</v>
          </cell>
          <cell r="S978" t="str">
            <v>AM8:00</v>
          </cell>
        </row>
        <row r="979">
          <cell r="A979">
            <v>9129</v>
          </cell>
          <cell r="B979" t="str">
            <v>梅田 勝太</v>
          </cell>
          <cell r="C979" t="str">
            <v>TRADIA</v>
          </cell>
          <cell r="D979">
            <v>45954</v>
          </cell>
          <cell r="E979" t="str">
            <v>25K0569</v>
          </cell>
          <cell r="F979" t="str">
            <v>I000014242</v>
          </cell>
          <cell r="J979">
            <v>3652</v>
          </cell>
          <cell r="K979">
            <v>0.13</v>
          </cell>
          <cell r="M979">
            <v>3</v>
          </cell>
          <cell r="N979" t="str">
            <v>AIR</v>
          </cell>
          <cell r="P979">
            <v>45805</v>
          </cell>
          <cell r="S979" t="str">
            <v>AM8:00</v>
          </cell>
        </row>
        <row r="980">
          <cell r="A980">
            <v>9130</v>
          </cell>
          <cell r="B980" t="str">
            <v>梅田 勝太</v>
          </cell>
          <cell r="C980" t="str">
            <v>TRADIA</v>
          </cell>
          <cell r="D980">
            <v>45954</v>
          </cell>
          <cell r="E980" t="str">
            <v>25K0570</v>
          </cell>
          <cell r="F980" t="str">
            <v>I000014252</v>
          </cell>
          <cell r="J980">
            <v>359</v>
          </cell>
          <cell r="K980">
            <v>0.01</v>
          </cell>
          <cell r="M980">
            <v>3</v>
          </cell>
          <cell r="N980" t="str">
            <v>AIR</v>
          </cell>
          <cell r="P980">
            <v>45806</v>
          </cell>
          <cell r="S980" t="str">
            <v>AM8:00</v>
          </cell>
        </row>
        <row r="981">
          <cell r="A981">
            <v>9131</v>
          </cell>
          <cell r="B981" t="str">
            <v>梅田 勝太</v>
          </cell>
          <cell r="C981" t="str">
            <v>TRADIA</v>
          </cell>
          <cell r="D981">
            <v>45954</v>
          </cell>
          <cell r="E981" t="str">
            <v>25K0571</v>
          </cell>
          <cell r="F981" t="str">
            <v>I200000017</v>
          </cell>
          <cell r="J981">
            <v>70</v>
          </cell>
          <cell r="K981">
            <v>0.02</v>
          </cell>
          <cell r="M981">
            <v>3</v>
          </cell>
          <cell r="N981" t="str">
            <v>AIR</v>
          </cell>
          <cell r="P981">
            <v>45806</v>
          </cell>
          <cell r="S981" t="str">
            <v>AM8:00</v>
          </cell>
        </row>
        <row r="982">
          <cell r="A982">
            <v>9132</v>
          </cell>
          <cell r="B982" t="str">
            <v>梅田 勝太</v>
          </cell>
          <cell r="C982" t="str">
            <v>TRADIA</v>
          </cell>
          <cell r="D982">
            <v>45954</v>
          </cell>
          <cell r="E982" t="str">
            <v>25K0601</v>
          </cell>
          <cell r="F982" t="str">
            <v>I000014260</v>
          </cell>
          <cell r="J982">
            <v>372407.4</v>
          </cell>
          <cell r="K982">
            <v>24.68</v>
          </cell>
          <cell r="L982" t="str">
            <v>WHSU0249880</v>
          </cell>
          <cell r="M982">
            <v>3</v>
          </cell>
          <cell r="N982" t="str">
            <v>20GP</v>
          </cell>
          <cell r="O982">
            <v>2</v>
          </cell>
          <cell r="P982">
            <v>45820</v>
          </cell>
          <cell r="S982" t="str">
            <v>AM8:00</v>
          </cell>
        </row>
        <row r="983">
          <cell r="A983">
            <v>9133</v>
          </cell>
          <cell r="B983" t="str">
            <v>梅田 勝太</v>
          </cell>
          <cell r="C983" t="str">
            <v>TRADIA</v>
          </cell>
          <cell r="D983">
            <v>45954</v>
          </cell>
          <cell r="E983" t="str">
            <v>25K0602</v>
          </cell>
          <cell r="F983" t="str">
            <v>I000014264</v>
          </cell>
          <cell r="J983">
            <v>402655.76</v>
          </cell>
          <cell r="K983">
            <v>28.8</v>
          </cell>
          <cell r="L983" t="str">
            <v>WHSU0060794</v>
          </cell>
          <cell r="M983">
            <v>3</v>
          </cell>
          <cell r="N983" t="str">
            <v>20GP</v>
          </cell>
          <cell r="O983">
            <v>2</v>
          </cell>
          <cell r="P983">
            <v>45820</v>
          </cell>
          <cell r="S983" t="str">
            <v>AM8:00</v>
          </cell>
        </row>
        <row r="984">
          <cell r="A984">
            <v>9134</v>
          </cell>
          <cell r="B984" t="str">
            <v>梅田 勝太</v>
          </cell>
          <cell r="C984" t="str">
            <v>TRADIA</v>
          </cell>
          <cell r="D984">
            <v>45954</v>
          </cell>
          <cell r="E984" t="str">
            <v>25K0602-2</v>
          </cell>
          <cell r="F984" t="str">
            <v>I000014264</v>
          </cell>
          <cell r="J984">
            <v>5280</v>
          </cell>
          <cell r="K984">
            <v>1.4999999999999999E-2</v>
          </cell>
          <cell r="L984" t="str">
            <v>WHSU0060794</v>
          </cell>
          <cell r="M984">
            <v>3</v>
          </cell>
          <cell r="N984" t="str">
            <v>20GP</v>
          </cell>
          <cell r="O984">
            <v>2</v>
          </cell>
          <cell r="P984">
            <v>45820</v>
          </cell>
          <cell r="S984" t="str">
            <v>AM8:00</v>
          </cell>
        </row>
        <row r="985">
          <cell r="A985">
            <v>9135</v>
          </cell>
          <cell r="B985" t="str">
            <v>梅田 勝太</v>
          </cell>
          <cell r="C985" t="str">
            <v>TRADIA</v>
          </cell>
          <cell r="D985">
            <v>45954</v>
          </cell>
          <cell r="E985" t="str">
            <v>25K0603</v>
          </cell>
          <cell r="F985" t="str">
            <v>I000014269</v>
          </cell>
          <cell r="J985">
            <v>329129.59999999998</v>
          </cell>
          <cell r="K985">
            <v>29.94</v>
          </cell>
          <cell r="L985" t="str">
            <v>TSSU2424682</v>
          </cell>
          <cell r="M985">
            <v>3</v>
          </cell>
          <cell r="N985" t="str">
            <v>20GP</v>
          </cell>
          <cell r="O985">
            <v>2</v>
          </cell>
          <cell r="P985">
            <v>45820</v>
          </cell>
          <cell r="S985" t="str">
            <v>AM8:00</v>
          </cell>
        </row>
        <row r="986">
          <cell r="A986">
            <v>9136</v>
          </cell>
          <cell r="B986" t="str">
            <v>梅田 勝太</v>
          </cell>
          <cell r="C986" t="str">
            <v>TRADIA</v>
          </cell>
          <cell r="D986">
            <v>45954</v>
          </cell>
          <cell r="E986" t="str">
            <v>25K0604</v>
          </cell>
          <cell r="F986" t="str">
            <v>I000014277</v>
          </cell>
          <cell r="J986">
            <v>461698.44</v>
          </cell>
          <cell r="K986">
            <v>28.02</v>
          </cell>
          <cell r="L986" t="str">
            <v>WHSU0186313</v>
          </cell>
          <cell r="M986">
            <v>3</v>
          </cell>
          <cell r="N986" t="str">
            <v>20GP</v>
          </cell>
          <cell r="O986">
            <v>2</v>
          </cell>
          <cell r="P986">
            <v>45824</v>
          </cell>
          <cell r="S986" t="str">
            <v>AM8:00</v>
          </cell>
        </row>
        <row r="987">
          <cell r="A987">
            <v>9137</v>
          </cell>
          <cell r="B987" t="str">
            <v>梅田 勝太</v>
          </cell>
          <cell r="C987" t="str">
            <v>TRADIA</v>
          </cell>
          <cell r="D987">
            <v>45954</v>
          </cell>
          <cell r="E987" t="str">
            <v>25K0605</v>
          </cell>
          <cell r="F987" t="str">
            <v>I000014282</v>
          </cell>
          <cell r="J987">
            <v>450675.03</v>
          </cell>
          <cell r="K987">
            <v>28.28</v>
          </cell>
          <cell r="L987" t="str">
            <v>WHSU0187002</v>
          </cell>
          <cell r="M987">
            <v>3</v>
          </cell>
          <cell r="N987" t="str">
            <v>20GP</v>
          </cell>
          <cell r="O987">
            <v>2</v>
          </cell>
          <cell r="P987">
            <v>45824</v>
          </cell>
          <cell r="S987" t="str">
            <v>AM8:00</v>
          </cell>
        </row>
        <row r="988">
          <cell r="A988">
            <v>9138</v>
          </cell>
          <cell r="B988" t="str">
            <v>梅田 勝太</v>
          </cell>
          <cell r="C988" t="str">
            <v>TRADIA</v>
          </cell>
          <cell r="D988">
            <v>45954</v>
          </cell>
          <cell r="E988" t="str">
            <v>25K0606</v>
          </cell>
          <cell r="F988" t="str">
            <v>I000014291</v>
          </cell>
          <cell r="J988">
            <v>498129.55</v>
          </cell>
          <cell r="K988">
            <v>26.89</v>
          </cell>
          <cell r="L988" t="str">
            <v>WHSU0329060</v>
          </cell>
          <cell r="M988">
            <v>3</v>
          </cell>
          <cell r="N988" t="str">
            <v>20GP</v>
          </cell>
          <cell r="O988">
            <v>2</v>
          </cell>
          <cell r="P988">
            <v>45826</v>
          </cell>
          <cell r="S988" t="str">
            <v>AM8:00</v>
          </cell>
        </row>
        <row r="989">
          <cell r="A989">
            <v>9139</v>
          </cell>
          <cell r="B989" t="str">
            <v>梅田 勝太</v>
          </cell>
          <cell r="C989" t="str">
            <v>TRADIA</v>
          </cell>
          <cell r="D989">
            <v>45954</v>
          </cell>
          <cell r="E989" t="str">
            <v>25K0607</v>
          </cell>
          <cell r="F989" t="str">
            <v>I000014294</v>
          </cell>
          <cell r="J989">
            <v>361092.04</v>
          </cell>
          <cell r="K989">
            <v>25.96</v>
          </cell>
          <cell r="L989" t="str">
            <v>WHSU2183606</v>
          </cell>
          <cell r="M989">
            <v>3</v>
          </cell>
          <cell r="N989" t="str">
            <v>20GP</v>
          </cell>
          <cell r="O989">
            <v>2</v>
          </cell>
          <cell r="P989">
            <v>45826</v>
          </cell>
          <cell r="S989" t="str">
            <v>AM8:00</v>
          </cell>
        </row>
        <row r="990">
          <cell r="A990">
            <v>9140</v>
          </cell>
          <cell r="B990" t="str">
            <v>梅田 勝太</v>
          </cell>
          <cell r="C990" t="str">
            <v>TRADIA</v>
          </cell>
          <cell r="D990">
            <v>45954</v>
          </cell>
          <cell r="E990" t="str">
            <v>25K0608</v>
          </cell>
          <cell r="F990" t="str">
            <v>I000014302</v>
          </cell>
          <cell r="J990">
            <v>434784.4</v>
          </cell>
          <cell r="K990">
            <v>26.01</v>
          </cell>
          <cell r="L990" t="str">
            <v>WHSU0195043</v>
          </cell>
          <cell r="M990">
            <v>3</v>
          </cell>
          <cell r="N990" t="str">
            <v>20GP</v>
          </cell>
          <cell r="O990">
            <v>2</v>
          </cell>
          <cell r="P990">
            <v>45832</v>
          </cell>
          <cell r="S990" t="str">
            <v>AM8:00</v>
          </cell>
        </row>
        <row r="991">
          <cell r="A991">
            <v>9141</v>
          </cell>
          <cell r="B991" t="str">
            <v>梅田 勝太</v>
          </cell>
          <cell r="C991" t="str">
            <v>TRADIA</v>
          </cell>
          <cell r="D991">
            <v>45954</v>
          </cell>
          <cell r="E991" t="str">
            <v>25K0609</v>
          </cell>
          <cell r="F991" t="str">
            <v>I000014313</v>
          </cell>
          <cell r="J991">
            <v>448928.68</v>
          </cell>
          <cell r="K991">
            <v>26.84</v>
          </cell>
          <cell r="L991" t="str">
            <v>TIIU2294357</v>
          </cell>
          <cell r="M991">
            <v>3</v>
          </cell>
          <cell r="N991" t="str">
            <v>20GP</v>
          </cell>
          <cell r="O991">
            <v>2</v>
          </cell>
          <cell r="P991">
            <v>45832</v>
          </cell>
          <cell r="S991" t="str">
            <v>AM8:00</v>
          </cell>
        </row>
        <row r="992">
          <cell r="A992">
            <v>9142</v>
          </cell>
          <cell r="B992" t="str">
            <v>梅田 勝太</v>
          </cell>
          <cell r="C992" t="str">
            <v>TRADIA</v>
          </cell>
          <cell r="D992">
            <v>45954</v>
          </cell>
          <cell r="E992" t="str">
            <v>25K0610</v>
          </cell>
          <cell r="F992" t="str">
            <v>I000014319</v>
          </cell>
          <cell r="J992">
            <v>563409.57999999996</v>
          </cell>
          <cell r="K992">
            <v>26.48</v>
          </cell>
          <cell r="L992" t="str">
            <v>TIIU2296719</v>
          </cell>
          <cell r="M992">
            <v>3</v>
          </cell>
          <cell r="N992" t="str">
            <v>20GP</v>
          </cell>
          <cell r="O992">
            <v>2</v>
          </cell>
          <cell r="P992">
            <v>45832</v>
          </cell>
          <cell r="S992" t="str">
            <v>AM8:00</v>
          </cell>
        </row>
        <row r="993">
          <cell r="A993">
            <v>9143</v>
          </cell>
          <cell r="B993" t="str">
            <v>梅田 勝太</v>
          </cell>
          <cell r="C993" t="str">
            <v>TRADIA</v>
          </cell>
          <cell r="D993">
            <v>45954</v>
          </cell>
          <cell r="E993" t="str">
            <v>25K0611</v>
          </cell>
          <cell r="F993" t="str">
            <v>I000014324</v>
          </cell>
          <cell r="J993">
            <v>364022.08</v>
          </cell>
          <cell r="K993">
            <v>25.66</v>
          </cell>
          <cell r="L993" t="str">
            <v>TSSU2430793</v>
          </cell>
          <cell r="M993">
            <v>3</v>
          </cell>
          <cell r="N993" t="str">
            <v>20GP</v>
          </cell>
          <cell r="O993">
            <v>2</v>
          </cell>
          <cell r="P993">
            <v>45838</v>
          </cell>
          <cell r="S993" t="str">
            <v>AM8:00</v>
          </cell>
        </row>
        <row r="994">
          <cell r="A994">
            <v>9144</v>
          </cell>
          <cell r="B994" t="str">
            <v>梅田 勝太</v>
          </cell>
          <cell r="C994" t="str">
            <v>TRADIA</v>
          </cell>
          <cell r="D994">
            <v>45954</v>
          </cell>
          <cell r="E994" t="str">
            <v>25K0612</v>
          </cell>
          <cell r="F994" t="str">
            <v>I000014331</v>
          </cell>
          <cell r="J994">
            <v>306274.12</v>
          </cell>
          <cell r="K994">
            <v>24.91</v>
          </cell>
          <cell r="L994" t="str">
            <v>TSSU2447142</v>
          </cell>
          <cell r="M994">
            <v>3</v>
          </cell>
          <cell r="N994" t="str">
            <v>20GP</v>
          </cell>
          <cell r="O994">
            <v>2</v>
          </cell>
          <cell r="P994">
            <v>45838</v>
          </cell>
          <cell r="S994" t="str">
            <v>AM8:00</v>
          </cell>
        </row>
        <row r="995">
          <cell r="A995">
            <v>9145</v>
          </cell>
          <cell r="B995" t="str">
            <v>梅田 勝太</v>
          </cell>
          <cell r="C995" t="str">
            <v>TRADIA</v>
          </cell>
          <cell r="D995">
            <v>45954</v>
          </cell>
          <cell r="E995" t="str">
            <v>25K0612-2</v>
          </cell>
          <cell r="F995" t="str">
            <v>I000014303</v>
          </cell>
          <cell r="J995">
            <v>22156</v>
          </cell>
          <cell r="K995">
            <v>0.55900000000000005</v>
          </cell>
          <cell r="L995" t="str">
            <v>TSSU2447142</v>
          </cell>
          <cell r="M995">
            <v>3</v>
          </cell>
          <cell r="N995" t="str">
            <v>20GP</v>
          </cell>
          <cell r="O995">
            <v>2</v>
          </cell>
          <cell r="P995">
            <v>45838</v>
          </cell>
          <cell r="S995" t="str">
            <v>AM8:00</v>
          </cell>
        </row>
        <row r="996">
          <cell r="A996">
            <v>9146</v>
          </cell>
          <cell r="B996" t="str">
            <v>梅田 勝太</v>
          </cell>
          <cell r="C996" t="str">
            <v>TRADIA</v>
          </cell>
          <cell r="D996">
            <v>45954</v>
          </cell>
          <cell r="E996" t="str">
            <v>25K0613</v>
          </cell>
          <cell r="F996" t="str">
            <v>I000014340</v>
          </cell>
          <cell r="J996">
            <v>523092.15</v>
          </cell>
          <cell r="K996">
            <v>26.91</v>
          </cell>
          <cell r="L996" t="str">
            <v>WHSU0050271</v>
          </cell>
          <cell r="M996">
            <v>3</v>
          </cell>
          <cell r="N996" t="str">
            <v>20GP</v>
          </cell>
          <cell r="O996">
            <v>2</v>
          </cell>
          <cell r="P996">
            <v>45841</v>
          </cell>
          <cell r="S996" t="str">
            <v>AM8:00</v>
          </cell>
        </row>
        <row r="997">
          <cell r="A997">
            <v>9147</v>
          </cell>
          <cell r="B997" t="str">
            <v>梅田 勝太</v>
          </cell>
          <cell r="C997" t="str">
            <v>TRADIA</v>
          </cell>
          <cell r="D997">
            <v>45954</v>
          </cell>
          <cell r="E997" t="str">
            <v>25K0614</v>
          </cell>
          <cell r="F997" t="str">
            <v>I000014344</v>
          </cell>
          <cell r="J997">
            <v>408065.5</v>
          </cell>
          <cell r="K997">
            <v>26.52</v>
          </cell>
          <cell r="L997" t="str">
            <v>WHSU0222112</v>
          </cell>
          <cell r="M997">
            <v>3</v>
          </cell>
          <cell r="N997" t="str">
            <v>20GP</v>
          </cell>
          <cell r="O997">
            <v>2</v>
          </cell>
          <cell r="P997">
            <v>45841</v>
          </cell>
          <cell r="S997" t="str">
            <v>AM8:00</v>
          </cell>
        </row>
        <row r="998">
          <cell r="A998">
            <v>9148</v>
          </cell>
          <cell r="B998" t="str">
            <v>梅田 勝太</v>
          </cell>
          <cell r="C998" t="str">
            <v>TRADIA</v>
          </cell>
          <cell r="D998">
            <v>45954</v>
          </cell>
          <cell r="E998" t="str">
            <v>25K0615</v>
          </cell>
          <cell r="F998" t="str">
            <v>I000014345</v>
          </cell>
          <cell r="J998">
            <v>467718.24</v>
          </cell>
          <cell r="K998">
            <v>28.24</v>
          </cell>
          <cell r="L998" t="str">
            <v>EGHU3551606</v>
          </cell>
          <cell r="M998">
            <v>3</v>
          </cell>
          <cell r="N998" t="str">
            <v>20GP</v>
          </cell>
          <cell r="O998">
            <v>2</v>
          </cell>
          <cell r="P998">
            <v>45844</v>
          </cell>
          <cell r="S998" t="str">
            <v>AM8:00</v>
          </cell>
        </row>
        <row r="999">
          <cell r="A999">
            <v>9149</v>
          </cell>
          <cell r="B999" t="str">
            <v>梅田 勝太</v>
          </cell>
          <cell r="C999" t="str">
            <v>YUSEN</v>
          </cell>
          <cell r="D999">
            <v>45954</v>
          </cell>
          <cell r="E999" t="str">
            <v>25K0616</v>
          </cell>
          <cell r="F999" t="str">
            <v>I000014348</v>
          </cell>
          <cell r="J999">
            <v>989371.42</v>
          </cell>
          <cell r="K999">
            <v>62.77</v>
          </cell>
          <cell r="L999" t="str">
            <v>IAAU1872505</v>
          </cell>
          <cell r="M999">
            <v>3</v>
          </cell>
          <cell r="N999" t="str">
            <v>20GP</v>
          </cell>
          <cell r="O999">
            <v>2</v>
          </cell>
          <cell r="P999">
            <v>45846</v>
          </cell>
          <cell r="S999" t="str">
            <v>AM8:00</v>
          </cell>
        </row>
        <row r="1000">
          <cell r="A1000">
            <v>9150</v>
          </cell>
          <cell r="B1000" t="str">
            <v>梅田 勝太</v>
          </cell>
          <cell r="C1000" t="str">
            <v>TRADIA</v>
          </cell>
          <cell r="D1000">
            <v>45954</v>
          </cell>
          <cell r="E1000" t="str">
            <v>25K0617</v>
          </cell>
          <cell r="F1000" t="str">
            <v>I000014351</v>
          </cell>
          <cell r="J1000">
            <v>360274.57</v>
          </cell>
          <cell r="K1000">
            <v>26.74</v>
          </cell>
          <cell r="L1000" t="str">
            <v>TSSU2426730</v>
          </cell>
          <cell r="M1000">
            <v>3</v>
          </cell>
          <cell r="N1000" t="str">
            <v>20GP</v>
          </cell>
          <cell r="O1000">
            <v>2</v>
          </cell>
          <cell r="P1000">
            <v>45846</v>
          </cell>
          <cell r="S1000" t="str">
            <v>AM8:00</v>
          </cell>
        </row>
        <row r="1001">
          <cell r="A1001">
            <v>9151</v>
          </cell>
          <cell r="B1001" t="str">
            <v>梅田 勝太</v>
          </cell>
          <cell r="D1001">
            <v>45954</v>
          </cell>
          <cell r="E1001" t="str">
            <v>25K0651</v>
          </cell>
          <cell r="F1001" t="str">
            <v>I000014266</v>
          </cell>
          <cell r="J1001">
            <v>1416</v>
          </cell>
          <cell r="K1001">
            <v>0.02</v>
          </cell>
          <cell r="M1001">
            <v>3</v>
          </cell>
          <cell r="N1001" t="str">
            <v>AIR</v>
          </cell>
          <cell r="P1001">
            <v>45813</v>
          </cell>
          <cell r="S1001" t="str">
            <v>AM8:00</v>
          </cell>
        </row>
        <row r="1002">
          <cell r="A1002">
            <v>9152</v>
          </cell>
          <cell r="B1002" t="str">
            <v>梅田 勝太</v>
          </cell>
          <cell r="D1002">
            <v>45954</v>
          </cell>
          <cell r="E1002" t="str">
            <v>25K0652</v>
          </cell>
          <cell r="F1002" t="str">
            <v>I000014306</v>
          </cell>
          <cell r="J1002">
            <v>4692</v>
          </cell>
          <cell r="K1002">
            <v>7.0000000000000007E-2</v>
          </cell>
          <cell r="M1002">
            <v>3</v>
          </cell>
          <cell r="N1002" t="str">
            <v>AIR</v>
          </cell>
          <cell r="P1002">
            <v>45824</v>
          </cell>
          <cell r="S1002" t="str">
            <v>AM8:00</v>
          </cell>
        </row>
        <row r="1003">
          <cell r="A1003">
            <v>9153</v>
          </cell>
          <cell r="B1003" t="str">
            <v>梅田 勝太</v>
          </cell>
          <cell r="D1003">
            <v>45954</v>
          </cell>
          <cell r="E1003" t="str">
            <v>25K0653</v>
          </cell>
          <cell r="F1003" t="str">
            <v>I000014274</v>
          </cell>
          <cell r="J1003">
            <v>36451.26</v>
          </cell>
          <cell r="K1003">
            <v>1.61</v>
          </cell>
          <cell r="M1003">
            <v>3</v>
          </cell>
          <cell r="N1003" t="str">
            <v>AIR</v>
          </cell>
          <cell r="P1003">
            <v>45814</v>
          </cell>
          <cell r="S1003" t="str">
            <v>AM8:00</v>
          </cell>
        </row>
        <row r="1004">
          <cell r="A1004">
            <v>9154</v>
          </cell>
          <cell r="B1004" t="str">
            <v>梅田 勝太</v>
          </cell>
          <cell r="D1004">
            <v>45954</v>
          </cell>
          <cell r="E1004" t="str">
            <v>25K0654</v>
          </cell>
          <cell r="F1004" t="str">
            <v>I000014275</v>
          </cell>
          <cell r="J1004">
            <v>132441.23000000001</v>
          </cell>
          <cell r="K1004">
            <v>1.05</v>
          </cell>
          <cell r="M1004">
            <v>3</v>
          </cell>
          <cell r="N1004" t="str">
            <v>AIR</v>
          </cell>
          <cell r="P1004">
            <v>45814</v>
          </cell>
          <cell r="S1004" t="str">
            <v>AM8:00</v>
          </cell>
        </row>
        <row r="1005">
          <cell r="A1005">
            <v>9155</v>
          </cell>
          <cell r="B1005" t="str">
            <v>梅田 勝太</v>
          </cell>
          <cell r="D1005">
            <v>45954</v>
          </cell>
          <cell r="E1005" t="str">
            <v>25K0654-2</v>
          </cell>
          <cell r="F1005" t="str">
            <v>I000014275</v>
          </cell>
          <cell r="J1005">
            <v>450</v>
          </cell>
          <cell r="K1005">
            <v>0.13</v>
          </cell>
          <cell r="M1005">
            <v>3</v>
          </cell>
          <cell r="N1005" t="str">
            <v>AIR</v>
          </cell>
          <cell r="P1005">
            <v>45814</v>
          </cell>
          <cell r="S1005" t="str">
            <v>AM8:00</v>
          </cell>
        </row>
        <row r="1006">
          <cell r="A1006">
            <v>9156</v>
          </cell>
          <cell r="B1006" t="str">
            <v>梅田 勝太</v>
          </cell>
          <cell r="D1006">
            <v>45954</v>
          </cell>
          <cell r="E1006" t="str">
            <v>25K0655</v>
          </cell>
          <cell r="F1006" t="str">
            <v>I200000019</v>
          </cell>
          <cell r="J1006">
            <v>360</v>
          </cell>
          <cell r="K1006">
            <v>0.13</v>
          </cell>
          <cell r="M1006">
            <v>3</v>
          </cell>
          <cell r="N1006" t="str">
            <v>AIR</v>
          </cell>
          <cell r="P1006">
            <v>45814</v>
          </cell>
          <cell r="S1006" t="str">
            <v>AM8:00</v>
          </cell>
        </row>
        <row r="1007">
          <cell r="A1007">
            <v>9157</v>
          </cell>
          <cell r="B1007" t="str">
            <v>梅田 勝太</v>
          </cell>
          <cell r="C1007" t="str">
            <v>TRADIA</v>
          </cell>
          <cell r="D1007">
            <v>45954</v>
          </cell>
          <cell r="E1007" t="str">
            <v>25K0656</v>
          </cell>
          <cell r="F1007" t="str">
            <v>I200000018</v>
          </cell>
          <cell r="J1007">
            <v>316350</v>
          </cell>
          <cell r="K1007">
            <v>10.692</v>
          </cell>
          <cell r="L1007" t="str">
            <v>SITU0900566</v>
          </cell>
          <cell r="M1007">
            <v>3</v>
          </cell>
          <cell r="O1007">
            <v>2</v>
          </cell>
          <cell r="P1007">
            <v>45813</v>
          </cell>
          <cell r="S1007" t="str">
            <v>AM8:00</v>
          </cell>
        </row>
        <row r="1008">
          <cell r="A1008">
            <v>9158</v>
          </cell>
          <cell r="B1008" t="str">
            <v>梅田 勝太</v>
          </cell>
          <cell r="D1008">
            <v>45954</v>
          </cell>
          <cell r="E1008" t="str">
            <v>25K0657</v>
          </cell>
          <cell r="F1008" t="str">
            <v>I000014270</v>
          </cell>
          <cell r="J1008">
            <v>31532</v>
          </cell>
          <cell r="K1008">
            <v>2.1999999999999999E-2</v>
          </cell>
          <cell r="M1008">
            <v>3</v>
          </cell>
          <cell r="N1008" t="str">
            <v>AIR</v>
          </cell>
          <cell r="P1008">
            <v>45814</v>
          </cell>
          <cell r="S1008" t="str">
            <v>AM8:00</v>
          </cell>
        </row>
        <row r="1009">
          <cell r="A1009">
            <v>9159</v>
          </cell>
          <cell r="B1009" t="str">
            <v>梅田 勝太</v>
          </cell>
          <cell r="D1009">
            <v>45954</v>
          </cell>
          <cell r="E1009" t="str">
            <v>25K0658</v>
          </cell>
          <cell r="F1009" t="str">
            <v>I000014280</v>
          </cell>
          <cell r="J1009">
            <v>90582.63</v>
          </cell>
          <cell r="K1009">
            <v>0.53</v>
          </cell>
          <cell r="M1009">
            <v>3</v>
          </cell>
          <cell r="N1009" t="str">
            <v>AIR</v>
          </cell>
          <cell r="P1009">
            <v>45817</v>
          </cell>
          <cell r="S1009" t="str">
            <v>AM8:00</v>
          </cell>
        </row>
        <row r="1010">
          <cell r="A1010">
            <v>9160</v>
          </cell>
          <cell r="B1010" t="str">
            <v>梅田 勝太</v>
          </cell>
          <cell r="D1010">
            <v>45954</v>
          </cell>
          <cell r="E1010" t="str">
            <v>25K0659</v>
          </cell>
          <cell r="F1010" t="str">
            <v>I000014281</v>
          </cell>
          <cell r="J1010">
            <v>6180</v>
          </cell>
          <cell r="K1010">
            <v>0.01</v>
          </cell>
          <cell r="M1010">
            <v>3</v>
          </cell>
          <cell r="N1010" t="str">
            <v>AIR</v>
          </cell>
          <cell r="P1010">
            <v>45817</v>
          </cell>
          <cell r="S1010" t="str">
            <v>AM8:00</v>
          </cell>
        </row>
        <row r="1011">
          <cell r="A1011">
            <v>9161</v>
          </cell>
          <cell r="B1011" t="str">
            <v>梅田 勝太</v>
          </cell>
          <cell r="C1011" t="str">
            <v>TRADIA</v>
          </cell>
          <cell r="D1011">
            <v>45954</v>
          </cell>
          <cell r="E1011" t="str">
            <v>25K0660</v>
          </cell>
          <cell r="F1011" t="str">
            <v>I000014279</v>
          </cell>
          <cell r="J1011">
            <v>27217.919999999998</v>
          </cell>
          <cell r="K1011">
            <v>1.21</v>
          </cell>
          <cell r="L1011" t="str">
            <v>WHSU5035198</v>
          </cell>
          <cell r="M1011">
            <v>3</v>
          </cell>
          <cell r="N1011" t="str">
            <v>20GP</v>
          </cell>
          <cell r="O1011">
            <v>2</v>
          </cell>
          <cell r="P1011">
            <v>45827</v>
          </cell>
          <cell r="S1011" t="str">
            <v>AM8:00</v>
          </cell>
        </row>
        <row r="1012">
          <cell r="A1012">
            <v>9162</v>
          </cell>
          <cell r="B1012" t="str">
            <v>梅田 勝太</v>
          </cell>
          <cell r="D1012">
            <v>45954</v>
          </cell>
          <cell r="E1012" t="str">
            <v>25K0661</v>
          </cell>
          <cell r="F1012" t="str">
            <v>I000014285</v>
          </cell>
          <cell r="J1012">
            <v>3264</v>
          </cell>
          <cell r="K1012">
            <v>0.02</v>
          </cell>
          <cell r="M1012">
            <v>3</v>
          </cell>
          <cell r="N1012" t="str">
            <v>AIR</v>
          </cell>
          <cell r="P1012">
            <v>45818</v>
          </cell>
          <cell r="S1012" t="str">
            <v>AM8:00</v>
          </cell>
        </row>
        <row r="1013">
          <cell r="A1013">
            <v>9163</v>
          </cell>
          <cell r="B1013" t="str">
            <v>梅田 勝太</v>
          </cell>
          <cell r="D1013">
            <v>45954</v>
          </cell>
          <cell r="E1013" t="str">
            <v>25K0662</v>
          </cell>
          <cell r="F1013" t="str">
            <v>I000014297</v>
          </cell>
          <cell r="J1013">
            <v>61</v>
          </cell>
          <cell r="K1013">
            <v>0</v>
          </cell>
          <cell r="M1013">
            <v>3</v>
          </cell>
          <cell r="N1013" t="str">
            <v>AIR</v>
          </cell>
          <cell r="P1013">
            <v>45821</v>
          </cell>
          <cell r="S1013" t="str">
            <v>AM8:00</v>
          </cell>
        </row>
        <row r="1014">
          <cell r="A1014">
            <v>9164</v>
          </cell>
          <cell r="B1014" t="str">
            <v>梅田 勝太</v>
          </cell>
          <cell r="C1014" t="str">
            <v>TRADIA</v>
          </cell>
          <cell r="D1014">
            <v>45954</v>
          </cell>
          <cell r="E1014" t="str">
            <v>25K0663</v>
          </cell>
          <cell r="F1014" t="str">
            <v>I000014309</v>
          </cell>
          <cell r="J1014">
            <v>12126</v>
          </cell>
          <cell r="K1014">
            <v>0.97</v>
          </cell>
          <cell r="L1014" t="str">
            <v>WHSU6076648</v>
          </cell>
          <cell r="M1014">
            <v>3</v>
          </cell>
          <cell r="N1014" t="str">
            <v>20GP</v>
          </cell>
          <cell r="O1014">
            <v>2</v>
          </cell>
          <cell r="P1014">
            <v>45824</v>
          </cell>
          <cell r="S1014" t="str">
            <v>AM8:00</v>
          </cell>
        </row>
        <row r="1015">
          <cell r="A1015">
            <v>9165</v>
          </cell>
          <cell r="B1015" t="str">
            <v>梅田 勝太</v>
          </cell>
          <cell r="D1015">
            <v>45954</v>
          </cell>
          <cell r="E1015" t="str">
            <v>25K0664</v>
          </cell>
          <cell r="F1015" t="str">
            <v>I000014305</v>
          </cell>
          <cell r="J1015">
            <v>480</v>
          </cell>
          <cell r="K1015">
            <v>1.6</v>
          </cell>
          <cell r="M1015">
            <v>3</v>
          </cell>
          <cell r="N1015" t="str">
            <v>AIR</v>
          </cell>
          <cell r="P1015">
            <v>45823</v>
          </cell>
          <cell r="S1015" t="str">
            <v>AM8:00</v>
          </cell>
        </row>
        <row r="1016">
          <cell r="A1016">
            <v>9166</v>
          </cell>
          <cell r="B1016" t="str">
            <v>梅田 勝太</v>
          </cell>
          <cell r="C1016" t="str">
            <v>TRADIA</v>
          </cell>
          <cell r="D1016">
            <v>45954</v>
          </cell>
          <cell r="E1016" t="str">
            <v>25K0665</v>
          </cell>
          <cell r="F1016" t="str">
            <v>I000014308</v>
          </cell>
          <cell r="J1016">
            <v>1289.56</v>
          </cell>
          <cell r="K1016">
            <v>0.51</v>
          </cell>
          <cell r="M1016">
            <v>3</v>
          </cell>
          <cell r="N1016" t="str">
            <v>AIR</v>
          </cell>
          <cell r="P1016">
            <v>45824</v>
          </cell>
          <cell r="S1016" t="str">
            <v>AM8:00</v>
          </cell>
        </row>
        <row r="1017">
          <cell r="A1017">
            <v>9167</v>
          </cell>
          <cell r="B1017" t="str">
            <v>梅田 勝太</v>
          </cell>
          <cell r="C1017" t="str">
            <v>YUSEN</v>
          </cell>
          <cell r="D1017">
            <v>45954</v>
          </cell>
          <cell r="E1017" t="str">
            <v>25K0667</v>
          </cell>
          <cell r="F1017" t="str">
            <v>I000014314</v>
          </cell>
          <cell r="J1017">
            <v>34</v>
          </cell>
          <cell r="K1017">
            <v>0.01</v>
          </cell>
          <cell r="M1017">
            <v>3</v>
          </cell>
          <cell r="N1017" t="str">
            <v>AIR</v>
          </cell>
          <cell r="P1017">
            <v>45825</v>
          </cell>
          <cell r="S1017" t="str">
            <v>AM8:00</v>
          </cell>
        </row>
        <row r="1018">
          <cell r="A1018">
            <v>9168</v>
          </cell>
          <cell r="B1018" t="str">
            <v>梅田 勝太</v>
          </cell>
          <cell r="C1018" t="str">
            <v>YUSEN</v>
          </cell>
          <cell r="D1018">
            <v>45954</v>
          </cell>
          <cell r="E1018" t="str">
            <v>25K0670</v>
          </cell>
          <cell r="F1018" t="str">
            <v>I200000021</v>
          </cell>
          <cell r="J1018">
            <v>480</v>
          </cell>
          <cell r="K1018">
            <v>0.08</v>
          </cell>
          <cell r="M1018">
            <v>3</v>
          </cell>
          <cell r="N1018" t="str">
            <v>AIR</v>
          </cell>
          <cell r="P1018">
            <v>45828</v>
          </cell>
          <cell r="S1018" t="str">
            <v>AM8:00</v>
          </cell>
        </row>
        <row r="1019">
          <cell r="A1019">
            <v>9169</v>
          </cell>
          <cell r="B1019" t="str">
            <v>梅田 勝太</v>
          </cell>
          <cell r="C1019" t="str">
            <v>TRADIA</v>
          </cell>
          <cell r="D1019">
            <v>45954</v>
          </cell>
          <cell r="E1019" t="str">
            <v>25K0671</v>
          </cell>
          <cell r="F1019" t="str">
            <v>I000014338</v>
          </cell>
          <cell r="J1019">
            <v>244892.42</v>
          </cell>
          <cell r="K1019">
            <v>1.54</v>
          </cell>
          <cell r="L1019" t="str">
            <v>WHSU0332491</v>
          </cell>
          <cell r="M1019">
            <v>3</v>
          </cell>
          <cell r="N1019" t="str">
            <v>20GP</v>
          </cell>
          <cell r="O1019">
            <v>2</v>
          </cell>
          <cell r="P1019">
            <v>45842</v>
          </cell>
          <cell r="S1019" t="str">
            <v>AM8:00</v>
          </cell>
        </row>
        <row r="1020">
          <cell r="A1020">
            <v>9170</v>
          </cell>
          <cell r="B1020" t="str">
            <v>梅田 勝太</v>
          </cell>
          <cell r="C1020" t="str">
            <v>TRADIA</v>
          </cell>
          <cell r="D1020">
            <v>45954</v>
          </cell>
          <cell r="E1020" t="str">
            <v>25K0701</v>
          </cell>
          <cell r="F1020" t="str">
            <v>I000014359</v>
          </cell>
          <cell r="J1020">
            <v>433980.8</v>
          </cell>
          <cell r="K1020">
            <v>26.6</v>
          </cell>
          <cell r="L1020" t="str">
            <v>WHSU0332491</v>
          </cell>
          <cell r="M1020">
            <v>3</v>
          </cell>
          <cell r="N1020" t="str">
            <v>20GP</v>
          </cell>
          <cell r="O1020">
            <v>2</v>
          </cell>
          <cell r="P1020">
            <v>45819</v>
          </cell>
          <cell r="S1020" t="str">
            <v>AM8:00</v>
          </cell>
        </row>
        <row r="1021">
          <cell r="A1021">
            <v>9171</v>
          </cell>
          <cell r="B1021" t="str">
            <v>梅田 勝太</v>
          </cell>
          <cell r="C1021" t="str">
            <v>TRADIA</v>
          </cell>
          <cell r="D1021">
            <v>45954</v>
          </cell>
          <cell r="E1021" t="str">
            <v>25K0702</v>
          </cell>
          <cell r="F1021" t="str">
            <v>I000014362</v>
          </cell>
          <cell r="J1021">
            <v>481608.52</v>
          </cell>
          <cell r="K1021">
            <v>26.81</v>
          </cell>
          <cell r="L1021" t="str">
            <v>TLLU3506067</v>
          </cell>
          <cell r="M1021">
            <v>3</v>
          </cell>
          <cell r="N1021" t="str">
            <v>20GP</v>
          </cell>
          <cell r="O1021">
            <v>2</v>
          </cell>
          <cell r="P1021">
            <v>45855</v>
          </cell>
          <cell r="S1021" t="str">
            <v>AM8:00</v>
          </cell>
        </row>
        <row r="1022">
          <cell r="A1022">
            <v>9172</v>
          </cell>
          <cell r="B1022" t="str">
            <v>梅田 勝太</v>
          </cell>
          <cell r="C1022" t="str">
            <v>TRADIA</v>
          </cell>
          <cell r="D1022">
            <v>45954</v>
          </cell>
          <cell r="E1022" t="str">
            <v>25K0703</v>
          </cell>
          <cell r="F1022" t="str">
            <v>I000014368</v>
          </cell>
          <cell r="J1022">
            <v>623450.19999999995</v>
          </cell>
          <cell r="K1022">
            <v>28.14</v>
          </cell>
          <cell r="L1022" t="str">
            <v>WHSU0200026</v>
          </cell>
          <cell r="M1022">
            <v>3</v>
          </cell>
          <cell r="N1022" t="str">
            <v>20GP</v>
          </cell>
          <cell r="O1022">
            <v>2</v>
          </cell>
          <cell r="P1022">
            <v>45853</v>
          </cell>
          <cell r="S1022" t="str">
            <v>AM8:00</v>
          </cell>
        </row>
        <row r="1023">
          <cell r="A1023">
            <v>9173</v>
          </cell>
          <cell r="B1023" t="str">
            <v>梅田 勝太</v>
          </cell>
          <cell r="C1023" t="str">
            <v>TRADIA</v>
          </cell>
          <cell r="D1023">
            <v>45954</v>
          </cell>
          <cell r="E1023" t="str">
            <v>25K0703-2</v>
          </cell>
          <cell r="F1023" t="str">
            <v>I000014368</v>
          </cell>
          <cell r="J1023">
            <v>250</v>
          </cell>
          <cell r="K1023">
            <v>0</v>
          </cell>
          <cell r="L1023" t="str">
            <v>WHSU0200026</v>
          </cell>
          <cell r="M1023">
            <v>3</v>
          </cell>
          <cell r="N1023" t="str">
            <v>20GP</v>
          </cell>
          <cell r="O1023">
            <v>2</v>
          </cell>
          <cell r="P1023">
            <v>45853</v>
          </cell>
          <cell r="S1023" t="str">
            <v>AM8:00</v>
          </cell>
        </row>
        <row r="1024">
          <cell r="A1024">
            <v>9174</v>
          </cell>
          <cell r="B1024" t="str">
            <v>梅田 勝太</v>
          </cell>
          <cell r="C1024" t="str">
            <v>TRADIA</v>
          </cell>
          <cell r="D1024">
            <v>45954</v>
          </cell>
          <cell r="E1024" t="str">
            <v>25K0704</v>
          </cell>
          <cell r="F1024" t="str">
            <v>I000014371</v>
          </cell>
          <cell r="J1024">
            <v>432440.98</v>
          </cell>
          <cell r="K1024">
            <v>25.53</v>
          </cell>
          <cell r="L1024" t="str">
            <v>WHSU0081713</v>
          </cell>
          <cell r="M1024">
            <v>3</v>
          </cell>
          <cell r="N1024" t="str">
            <v>20GP</v>
          </cell>
          <cell r="O1024">
            <v>2</v>
          </cell>
          <cell r="P1024">
            <v>45856</v>
          </cell>
          <cell r="S1024" t="str">
            <v>AM8:00</v>
          </cell>
        </row>
        <row r="1025">
          <cell r="A1025">
            <v>9175</v>
          </cell>
          <cell r="B1025" t="str">
            <v>梅田 勝太</v>
          </cell>
          <cell r="C1025" t="str">
            <v>TRADIA</v>
          </cell>
          <cell r="D1025">
            <v>45954</v>
          </cell>
          <cell r="E1025" t="str">
            <v>25K0705</v>
          </cell>
          <cell r="F1025" t="str">
            <v>I000014375</v>
          </cell>
          <cell r="J1025">
            <v>395668.98</v>
          </cell>
          <cell r="K1025">
            <v>27.59</v>
          </cell>
          <cell r="L1025" t="str">
            <v>WHSU0232240</v>
          </cell>
          <cell r="M1025">
            <v>3</v>
          </cell>
          <cell r="N1025" t="str">
            <v>20GP</v>
          </cell>
          <cell r="O1025">
            <v>2</v>
          </cell>
          <cell r="P1025">
            <v>45857</v>
          </cell>
          <cell r="S1025" t="str">
            <v>AM8:00</v>
          </cell>
        </row>
        <row r="1026">
          <cell r="A1026">
            <v>9176</v>
          </cell>
          <cell r="B1026" t="str">
            <v>梅田 勝太</v>
          </cell>
          <cell r="C1026" t="str">
            <v>TRADIA</v>
          </cell>
          <cell r="D1026">
            <v>45954</v>
          </cell>
          <cell r="E1026" t="str">
            <v>25K0706</v>
          </cell>
          <cell r="F1026" t="str">
            <v>I000014384</v>
          </cell>
          <cell r="J1026">
            <v>444588.3</v>
          </cell>
          <cell r="K1026">
            <v>26.15</v>
          </cell>
          <cell r="L1026" t="str">
            <v>SLSU2089739</v>
          </cell>
          <cell r="M1026">
            <v>3</v>
          </cell>
          <cell r="N1026" t="str">
            <v>20GP</v>
          </cell>
          <cell r="O1026">
            <v>2</v>
          </cell>
          <cell r="P1026">
            <v>45860</v>
          </cell>
          <cell r="S1026" t="str">
            <v>AM8:00</v>
          </cell>
        </row>
        <row r="1027">
          <cell r="A1027">
            <v>9177</v>
          </cell>
          <cell r="B1027" t="str">
            <v>梅田 勝太</v>
          </cell>
          <cell r="C1027" t="str">
            <v>TRADIA</v>
          </cell>
          <cell r="D1027">
            <v>45954</v>
          </cell>
          <cell r="E1027" t="str">
            <v>25K0707</v>
          </cell>
          <cell r="F1027" t="str">
            <v>I000014386</v>
          </cell>
          <cell r="J1027">
            <v>431804.8</v>
          </cell>
          <cell r="K1027">
            <v>25.49</v>
          </cell>
          <cell r="L1027" t="str">
            <v>TSSU2234548</v>
          </cell>
          <cell r="M1027">
            <v>3</v>
          </cell>
          <cell r="N1027" t="str">
            <v>20GP</v>
          </cell>
          <cell r="O1027">
            <v>2</v>
          </cell>
          <cell r="P1027">
            <v>45862</v>
          </cell>
          <cell r="S1027" t="str">
            <v>AM8:00</v>
          </cell>
        </row>
        <row r="1028">
          <cell r="A1028">
            <v>9178</v>
          </cell>
          <cell r="B1028" t="str">
            <v>梅田 勝太</v>
          </cell>
          <cell r="C1028" t="str">
            <v>TRADIA</v>
          </cell>
          <cell r="D1028">
            <v>45954</v>
          </cell>
          <cell r="E1028" t="str">
            <v>25K0708</v>
          </cell>
          <cell r="F1028" t="str">
            <v>I000014393</v>
          </cell>
          <cell r="J1028">
            <v>357896.54</v>
          </cell>
          <cell r="K1028">
            <v>25.75</v>
          </cell>
          <cell r="L1028" t="str">
            <v>WHSU0200983</v>
          </cell>
          <cell r="M1028">
            <v>3</v>
          </cell>
          <cell r="N1028" t="str">
            <v>20GP</v>
          </cell>
          <cell r="O1028">
            <v>2</v>
          </cell>
          <cell r="P1028">
            <v>45863</v>
          </cell>
          <cell r="S1028" t="str">
            <v>AM8:00</v>
          </cell>
        </row>
        <row r="1029">
          <cell r="A1029">
            <v>9179</v>
          </cell>
          <cell r="B1029" t="str">
            <v>梅田 勝太</v>
          </cell>
          <cell r="C1029" t="str">
            <v>TRADIA</v>
          </cell>
          <cell r="D1029">
            <v>45954</v>
          </cell>
          <cell r="E1029" t="str">
            <v>25K0709</v>
          </cell>
          <cell r="F1029" t="str">
            <v>I000014399</v>
          </cell>
          <cell r="J1029">
            <v>331443.46999999997</v>
          </cell>
          <cell r="K1029">
            <v>25.28</v>
          </cell>
          <cell r="L1029" t="str">
            <v>WHSU0366758</v>
          </cell>
          <cell r="M1029">
            <v>3</v>
          </cell>
          <cell r="N1029" t="str">
            <v>20GP</v>
          </cell>
          <cell r="O1029">
            <v>2</v>
          </cell>
          <cell r="P1029">
            <v>45863</v>
          </cell>
          <cell r="S1029" t="str">
            <v>AM8:00</v>
          </cell>
        </row>
        <row r="1030">
          <cell r="A1030">
            <v>9180</v>
          </cell>
          <cell r="B1030" t="str">
            <v>梅田 勝太</v>
          </cell>
          <cell r="C1030" t="str">
            <v>TRADIA</v>
          </cell>
          <cell r="D1030">
            <v>45954</v>
          </cell>
          <cell r="E1030" t="str">
            <v>25K0709-2</v>
          </cell>
          <cell r="F1030" t="str">
            <v>I000014399</v>
          </cell>
          <cell r="J1030">
            <v>2010.85</v>
          </cell>
          <cell r="K1030">
            <v>1.4E-2</v>
          </cell>
          <cell r="L1030" t="str">
            <v>WHSU0366758</v>
          </cell>
          <cell r="M1030">
            <v>3</v>
          </cell>
          <cell r="N1030" t="str">
            <v>20GP</v>
          </cell>
          <cell r="O1030">
            <v>2</v>
          </cell>
          <cell r="P1030">
            <v>45863</v>
          </cell>
          <cell r="S1030" t="str">
            <v>AM8:00</v>
          </cell>
        </row>
        <row r="1031">
          <cell r="A1031">
            <v>9181</v>
          </cell>
          <cell r="B1031" t="str">
            <v>梅田 勝太</v>
          </cell>
          <cell r="C1031" t="str">
            <v>TRADIA</v>
          </cell>
          <cell r="D1031">
            <v>45954</v>
          </cell>
          <cell r="E1031" t="str">
            <v>25K0710</v>
          </cell>
          <cell r="F1031" t="str">
            <v>I000014402</v>
          </cell>
          <cell r="J1031">
            <v>356786.16</v>
          </cell>
          <cell r="K1031">
            <v>25.26</v>
          </cell>
          <cell r="L1031" t="str">
            <v>FYCU7223902</v>
          </cell>
          <cell r="M1031">
            <v>3</v>
          </cell>
          <cell r="N1031" t="str">
            <v>20GP</v>
          </cell>
          <cell r="O1031">
            <v>2</v>
          </cell>
          <cell r="P1031">
            <v>45864</v>
          </cell>
          <cell r="S1031" t="str">
            <v>AM8:00</v>
          </cell>
        </row>
        <row r="1032">
          <cell r="A1032">
            <v>9182</v>
          </cell>
          <cell r="B1032" t="str">
            <v>梅田 勝太</v>
          </cell>
          <cell r="C1032" t="str">
            <v>TRADIA</v>
          </cell>
          <cell r="D1032">
            <v>45954</v>
          </cell>
          <cell r="E1032" t="str">
            <v>25K0711</v>
          </cell>
          <cell r="F1032" t="str">
            <v>I000014409</v>
          </cell>
          <cell r="J1032">
            <v>290240.52</v>
          </cell>
          <cell r="K1032">
            <v>23.57</v>
          </cell>
          <cell r="L1032" t="str">
            <v>EITU0016470</v>
          </cell>
          <cell r="M1032">
            <v>3</v>
          </cell>
          <cell r="N1032" t="str">
            <v>20GP</v>
          </cell>
          <cell r="O1032">
            <v>2</v>
          </cell>
          <cell r="P1032">
            <v>45865</v>
          </cell>
          <cell r="S1032" t="str">
            <v>AM8:00</v>
          </cell>
        </row>
        <row r="1033">
          <cell r="A1033">
            <v>9183</v>
          </cell>
          <cell r="B1033" t="str">
            <v>梅田 勝太</v>
          </cell>
          <cell r="C1033" t="str">
            <v>TRADIA</v>
          </cell>
          <cell r="D1033">
            <v>45954</v>
          </cell>
          <cell r="E1033" t="str">
            <v>25K0711-2</v>
          </cell>
          <cell r="F1033" t="str">
            <v>I000014409</v>
          </cell>
          <cell r="J1033">
            <v>3376.41</v>
          </cell>
          <cell r="K1033">
            <v>4.3999999999999997E-2</v>
          </cell>
          <cell r="L1033" t="str">
            <v>EITU0016470</v>
          </cell>
          <cell r="M1033">
            <v>3</v>
          </cell>
          <cell r="N1033" t="str">
            <v>20GP</v>
          </cell>
          <cell r="O1033">
            <v>2</v>
          </cell>
          <cell r="P1033">
            <v>45865</v>
          </cell>
          <cell r="S1033" t="str">
            <v>AM8:00</v>
          </cell>
        </row>
        <row r="1034">
          <cell r="A1034">
            <v>9184</v>
          </cell>
          <cell r="B1034" t="str">
            <v>梅田 勝太</v>
          </cell>
          <cell r="C1034" t="str">
            <v>TRADIA</v>
          </cell>
          <cell r="D1034">
            <v>45954</v>
          </cell>
          <cell r="E1034" t="str">
            <v>25K0712</v>
          </cell>
          <cell r="F1034" t="str">
            <v>I000014410</v>
          </cell>
          <cell r="J1034">
            <v>447595.05</v>
          </cell>
          <cell r="K1034">
            <v>24.99</v>
          </cell>
          <cell r="L1034" t="str">
            <v>EGHU3850572</v>
          </cell>
          <cell r="M1034">
            <v>3</v>
          </cell>
          <cell r="N1034" t="str">
            <v>20GP</v>
          </cell>
          <cell r="O1034">
            <v>2</v>
          </cell>
          <cell r="P1034">
            <v>45866</v>
          </cell>
          <cell r="S1034" t="str">
            <v>AM8:00</v>
          </cell>
        </row>
        <row r="1035">
          <cell r="A1035">
            <v>9185</v>
          </cell>
          <cell r="B1035" t="str">
            <v>梅田 勝太</v>
          </cell>
          <cell r="C1035" t="str">
            <v>TRADIA</v>
          </cell>
          <cell r="D1035">
            <v>45954</v>
          </cell>
          <cell r="E1035" t="str">
            <v>25K0713</v>
          </cell>
          <cell r="F1035" t="str">
            <v>I000014412</v>
          </cell>
          <cell r="J1035">
            <v>498502.68</v>
          </cell>
          <cell r="K1035">
            <v>26.75</v>
          </cell>
          <cell r="L1035" t="str">
            <v>WHSU0224774</v>
          </cell>
          <cell r="M1035">
            <v>3</v>
          </cell>
          <cell r="N1035" t="str">
            <v>20GP</v>
          </cell>
          <cell r="O1035">
            <v>2</v>
          </cell>
          <cell r="P1035">
            <v>45867</v>
          </cell>
          <cell r="S1035" t="str">
            <v>AM8:00</v>
          </cell>
        </row>
        <row r="1036">
          <cell r="A1036">
            <v>9186</v>
          </cell>
          <cell r="B1036" t="str">
            <v>梅田 勝太</v>
          </cell>
          <cell r="C1036" t="str">
            <v>TRADIA</v>
          </cell>
          <cell r="D1036">
            <v>45954</v>
          </cell>
          <cell r="E1036" t="str">
            <v>25K0714</v>
          </cell>
          <cell r="F1036" t="str">
            <v>I000014417</v>
          </cell>
          <cell r="J1036">
            <v>498296.9</v>
          </cell>
          <cell r="K1036">
            <v>27.09</v>
          </cell>
          <cell r="L1036" t="str">
            <v>WHSU0367970</v>
          </cell>
          <cell r="M1036">
            <v>3</v>
          </cell>
          <cell r="N1036" t="str">
            <v>20GP</v>
          </cell>
          <cell r="O1036">
            <v>2</v>
          </cell>
          <cell r="P1036">
            <v>45871</v>
          </cell>
          <cell r="S1036" t="str">
            <v>AM8:00</v>
          </cell>
        </row>
        <row r="1037">
          <cell r="A1037">
            <v>9187</v>
          </cell>
          <cell r="B1037" t="str">
            <v>梅田 勝太</v>
          </cell>
          <cell r="C1037" t="str">
            <v>YUSEN</v>
          </cell>
          <cell r="D1037">
            <v>45954</v>
          </cell>
          <cell r="E1037" t="str">
            <v>25K0715</v>
          </cell>
          <cell r="F1037" t="str">
            <v>I000014422</v>
          </cell>
          <cell r="J1037">
            <v>391541</v>
          </cell>
          <cell r="K1037">
            <v>27.86</v>
          </cell>
          <cell r="L1037" t="str">
            <v>TCLU2536393</v>
          </cell>
          <cell r="M1037">
            <v>3</v>
          </cell>
          <cell r="N1037" t="str">
            <v>20GP</v>
          </cell>
          <cell r="O1037">
            <v>2</v>
          </cell>
          <cell r="P1037">
            <v>45876</v>
          </cell>
          <cell r="S1037" t="str">
            <v>AM8:00</v>
          </cell>
        </row>
        <row r="1038">
          <cell r="A1038">
            <v>9188</v>
          </cell>
          <cell r="B1038" t="str">
            <v>梅田 勝太</v>
          </cell>
          <cell r="C1038" t="str">
            <v>YUSEN</v>
          </cell>
          <cell r="D1038">
            <v>45954</v>
          </cell>
          <cell r="E1038" t="str">
            <v>25K0716</v>
          </cell>
          <cell r="F1038" t="str">
            <v>I000014424</v>
          </cell>
          <cell r="J1038">
            <v>368563.49</v>
          </cell>
          <cell r="K1038">
            <v>27.1</v>
          </cell>
          <cell r="L1038" t="str">
            <v>IAAU2012047</v>
          </cell>
          <cell r="M1038">
            <v>3</v>
          </cell>
          <cell r="N1038" t="str">
            <v>20GP</v>
          </cell>
          <cell r="O1038">
            <v>2</v>
          </cell>
          <cell r="P1038">
            <v>45876</v>
          </cell>
          <cell r="S1038" t="str">
            <v>AM8:00</v>
          </cell>
        </row>
        <row r="1039">
          <cell r="A1039">
            <v>9189</v>
          </cell>
          <cell r="B1039" t="str">
            <v>梅田 勝太</v>
          </cell>
          <cell r="C1039" t="str">
            <v>YUSEN</v>
          </cell>
          <cell r="D1039">
            <v>45954</v>
          </cell>
          <cell r="E1039" t="str">
            <v>25K0717</v>
          </cell>
          <cell r="F1039" t="str">
            <v>I000014431</v>
          </cell>
          <cell r="J1039">
            <v>433673.86</v>
          </cell>
          <cell r="K1039">
            <v>26.28</v>
          </cell>
          <cell r="L1039" t="str">
            <v>TEMU1517890</v>
          </cell>
          <cell r="M1039">
            <v>3</v>
          </cell>
          <cell r="N1039" t="str">
            <v>20GP</v>
          </cell>
          <cell r="O1039">
            <v>2</v>
          </cell>
          <cell r="P1039">
            <v>45876</v>
          </cell>
          <cell r="S1039" t="str">
            <v>AM8:00</v>
          </cell>
        </row>
        <row r="1040">
          <cell r="A1040">
            <v>9190</v>
          </cell>
          <cell r="B1040" t="str">
            <v>梅田 勝太</v>
          </cell>
          <cell r="C1040" t="str">
            <v>YUSEN</v>
          </cell>
          <cell r="D1040">
            <v>45954</v>
          </cell>
          <cell r="E1040" t="str">
            <v>25K0717-2</v>
          </cell>
          <cell r="F1040" t="str">
            <v>I000014431</v>
          </cell>
          <cell r="J1040">
            <v>58672.56</v>
          </cell>
          <cell r="K1040">
            <v>0.185</v>
          </cell>
          <cell r="L1040" t="str">
            <v>TEMU1517890</v>
          </cell>
          <cell r="M1040">
            <v>3</v>
          </cell>
          <cell r="N1040" t="str">
            <v>20GP</v>
          </cell>
          <cell r="O1040">
            <v>2</v>
          </cell>
          <cell r="P1040">
            <v>45876</v>
          </cell>
          <cell r="S1040" t="str">
            <v>AM8:00</v>
          </cell>
        </row>
        <row r="1041">
          <cell r="A1041">
            <v>9191</v>
          </cell>
          <cell r="B1041" t="str">
            <v>梅田 勝太</v>
          </cell>
          <cell r="C1041" t="str">
            <v>YUSEN</v>
          </cell>
          <cell r="D1041">
            <v>45954</v>
          </cell>
          <cell r="E1041" t="str">
            <v>25K0718</v>
          </cell>
          <cell r="F1041" t="str">
            <v>I000014440</v>
          </cell>
          <cell r="J1041">
            <v>496765.54</v>
          </cell>
          <cell r="K1041">
            <v>26.47</v>
          </cell>
          <cell r="L1041" t="str">
            <v>IAAU2966750</v>
          </cell>
          <cell r="M1041">
            <v>3</v>
          </cell>
          <cell r="N1041" t="str">
            <v>20GP</v>
          </cell>
          <cell r="O1041">
            <v>2</v>
          </cell>
          <cell r="P1041">
            <v>45876</v>
          </cell>
          <cell r="S1041" t="str">
            <v>AM8:00</v>
          </cell>
        </row>
        <row r="1042">
          <cell r="A1042">
            <v>9192</v>
          </cell>
          <cell r="B1042" t="str">
            <v>梅田 勝太</v>
          </cell>
          <cell r="C1042" t="str">
            <v>YUSEN</v>
          </cell>
          <cell r="D1042">
            <v>45954</v>
          </cell>
          <cell r="E1042" t="str">
            <v>25K0719</v>
          </cell>
          <cell r="F1042" t="str">
            <v>I000014449</v>
          </cell>
          <cell r="J1042">
            <v>441412.14</v>
          </cell>
          <cell r="K1042">
            <v>25.85</v>
          </cell>
          <cell r="L1042" t="str">
            <v>IAAU2714146</v>
          </cell>
          <cell r="M1042">
            <v>3</v>
          </cell>
          <cell r="N1042" t="str">
            <v>20GP</v>
          </cell>
          <cell r="O1042">
            <v>2</v>
          </cell>
          <cell r="P1042">
            <v>45881</v>
          </cell>
          <cell r="S1042" t="str">
            <v>AM8:00</v>
          </cell>
        </row>
        <row r="1043">
          <cell r="A1043">
            <v>9193</v>
          </cell>
          <cell r="B1043" t="str">
            <v>梅田 勝太</v>
          </cell>
          <cell r="D1043">
            <v>45954</v>
          </cell>
          <cell r="E1043" t="str">
            <v>25K0750</v>
          </cell>
          <cell r="F1043" t="str">
            <v>I200000028</v>
          </cell>
          <cell r="J1043">
            <v>41</v>
          </cell>
          <cell r="K1043">
            <v>0.08</v>
          </cell>
          <cell r="M1043">
            <v>3</v>
          </cell>
          <cell r="N1043" t="str">
            <v>AIR</v>
          </cell>
          <cell r="P1043">
            <v>45843</v>
          </cell>
          <cell r="S1043" t="str">
            <v>AM8:00</v>
          </cell>
        </row>
        <row r="1044">
          <cell r="A1044">
            <v>9194</v>
          </cell>
          <cell r="B1044" t="str">
            <v>梅田 勝太</v>
          </cell>
          <cell r="C1044" t="str">
            <v>TRADIA</v>
          </cell>
          <cell r="D1044">
            <v>45954</v>
          </cell>
          <cell r="E1044" t="str">
            <v>25K0751</v>
          </cell>
          <cell r="F1044" t="str">
            <v>I200000022</v>
          </cell>
          <cell r="J1044">
            <v>208514</v>
          </cell>
          <cell r="K1044">
            <v>5.4189999999999996</v>
          </cell>
          <cell r="L1044" t="str">
            <v>WHSU6241383</v>
          </cell>
          <cell r="M1044">
            <v>3</v>
          </cell>
          <cell r="O1044">
            <v>2</v>
          </cell>
          <cell r="P1044">
            <v>45846</v>
          </cell>
          <cell r="S1044" t="str">
            <v>AM8:00</v>
          </cell>
        </row>
        <row r="1045">
          <cell r="A1045">
            <v>9195</v>
          </cell>
          <cell r="B1045" t="str">
            <v>梅田 勝太</v>
          </cell>
          <cell r="D1045">
            <v>45954</v>
          </cell>
          <cell r="E1045" t="str">
            <v>25K0753</v>
          </cell>
          <cell r="F1045" t="str">
            <v>I000014379</v>
          </cell>
          <cell r="J1045">
            <v>51.8</v>
          </cell>
          <cell r="K1045">
            <v>0.01</v>
          </cell>
          <cell r="M1045">
            <v>3</v>
          </cell>
          <cell r="N1045" t="str">
            <v>AIR</v>
          </cell>
          <cell r="P1045">
            <v>45848</v>
          </cell>
          <cell r="S1045" t="str">
            <v>AM8:00</v>
          </cell>
        </row>
        <row r="1046">
          <cell r="A1046">
            <v>9196</v>
          </cell>
          <cell r="B1046" t="str">
            <v>梅田 勝太</v>
          </cell>
          <cell r="C1046" t="str">
            <v>TRADIA</v>
          </cell>
          <cell r="D1046">
            <v>45954</v>
          </cell>
          <cell r="E1046" t="str">
            <v>25K0754</v>
          </cell>
          <cell r="F1046" t="str">
            <v>I200000023</v>
          </cell>
          <cell r="J1046">
            <v>316350</v>
          </cell>
          <cell r="K1046">
            <v>13.8</v>
          </cell>
          <cell r="L1046" t="str">
            <v>FDCU0018653</v>
          </cell>
          <cell r="M1046">
            <v>3</v>
          </cell>
          <cell r="O1046">
            <v>2</v>
          </cell>
          <cell r="P1046">
            <v>45848</v>
          </cell>
          <cell r="S1046" t="str">
            <v>AM8:00</v>
          </cell>
        </row>
        <row r="1047">
          <cell r="A1047">
            <v>9197</v>
          </cell>
          <cell r="B1047" t="str">
            <v>梅田 勝太</v>
          </cell>
          <cell r="D1047">
            <v>45954</v>
          </cell>
          <cell r="E1047" t="str">
            <v>25K0755</v>
          </cell>
          <cell r="F1047" t="str">
            <v>I200000029</v>
          </cell>
          <cell r="J1047">
            <v>1820</v>
          </cell>
          <cell r="K1047">
            <v>0.08</v>
          </cell>
          <cell r="M1047">
            <v>3</v>
          </cell>
          <cell r="N1047" t="str">
            <v>AIR</v>
          </cell>
          <cell r="P1047">
            <v>45848</v>
          </cell>
          <cell r="S1047" t="str">
            <v>AM8:00</v>
          </cell>
        </row>
        <row r="1048">
          <cell r="A1048">
            <v>9198</v>
          </cell>
          <cell r="B1048" t="str">
            <v>梅田 勝太</v>
          </cell>
          <cell r="D1048">
            <v>45954</v>
          </cell>
          <cell r="E1048" t="str">
            <v>25K0757</v>
          </cell>
          <cell r="F1048" t="str">
            <v>I000014408</v>
          </cell>
          <cell r="J1048">
            <v>22</v>
          </cell>
          <cell r="K1048">
            <v>0.02</v>
          </cell>
          <cell r="M1048">
            <v>3</v>
          </cell>
          <cell r="N1048" t="str">
            <v>AIR</v>
          </cell>
          <cell r="P1048">
            <v>45855</v>
          </cell>
          <cell r="S1048" t="str">
            <v>AM8:00</v>
          </cell>
        </row>
        <row r="1049">
          <cell r="A1049">
            <v>9199</v>
          </cell>
          <cell r="B1049" t="str">
            <v>梅田 勝太</v>
          </cell>
          <cell r="C1049" t="str">
            <v>TRADIA</v>
          </cell>
          <cell r="D1049">
            <v>45954</v>
          </cell>
          <cell r="E1049" t="str">
            <v>25K0758</v>
          </cell>
          <cell r="F1049" t="str">
            <v>I000014416</v>
          </cell>
          <cell r="J1049">
            <v>79309.460000000006</v>
          </cell>
          <cell r="K1049">
            <v>0.20899999999999999</v>
          </cell>
          <cell r="M1049">
            <v>3</v>
          </cell>
          <cell r="N1049" t="str">
            <v>AIR</v>
          </cell>
          <cell r="P1049">
            <v>45860</v>
          </cell>
          <cell r="S1049" t="str">
            <v>AM8:00</v>
          </cell>
        </row>
        <row r="1050">
          <cell r="A1050">
            <v>9200</v>
          </cell>
          <cell r="B1050" t="str">
            <v>梅田 勝太</v>
          </cell>
          <cell r="C1050" t="str">
            <v>TRADIA</v>
          </cell>
          <cell r="D1050">
            <v>45954</v>
          </cell>
          <cell r="E1050" t="str">
            <v>25K0758-2</v>
          </cell>
          <cell r="F1050" t="str">
            <v>I000014416</v>
          </cell>
          <cell r="J1050">
            <v>154.5</v>
          </cell>
          <cell r="K1050">
            <v>0</v>
          </cell>
          <cell r="M1050">
            <v>3</v>
          </cell>
          <cell r="N1050" t="str">
            <v>AIR</v>
          </cell>
          <cell r="P1050">
            <v>45860</v>
          </cell>
          <cell r="S1050" t="str">
            <v>AM8:00</v>
          </cell>
        </row>
        <row r="1051">
          <cell r="A1051">
            <v>9201</v>
          </cell>
          <cell r="B1051" t="str">
            <v>梅田 勝太</v>
          </cell>
          <cell r="D1051">
            <v>45954</v>
          </cell>
          <cell r="E1051" t="str">
            <v>25K0759</v>
          </cell>
          <cell r="F1051" t="str">
            <v>I200000030</v>
          </cell>
          <cell r="J1051">
            <v>240</v>
          </cell>
          <cell r="K1051">
            <v>0.08</v>
          </cell>
          <cell r="M1051">
            <v>3</v>
          </cell>
          <cell r="N1051" t="str">
            <v>AIR</v>
          </cell>
          <cell r="P1051">
            <v>45848</v>
          </cell>
          <cell r="S1051" t="str">
            <v>AM8:00</v>
          </cell>
        </row>
        <row r="1052">
          <cell r="A1052">
            <v>9202</v>
          </cell>
          <cell r="B1052" t="str">
            <v>梅田 勝太</v>
          </cell>
          <cell r="D1052">
            <v>45954</v>
          </cell>
          <cell r="E1052" t="str">
            <v>25K0760</v>
          </cell>
          <cell r="F1052" t="str">
            <v>I000014436</v>
          </cell>
          <cell r="J1052">
            <v>13860</v>
          </cell>
          <cell r="K1052">
            <v>0.01</v>
          </cell>
          <cell r="M1052">
            <v>3</v>
          </cell>
          <cell r="N1052" t="str">
            <v>AIR</v>
          </cell>
          <cell r="P1052">
            <v>45867</v>
          </cell>
          <cell r="S1052" t="str">
            <v>AM8:00</v>
          </cell>
        </row>
        <row r="1053">
          <cell r="A1053">
            <v>9203</v>
          </cell>
          <cell r="B1053" t="str">
            <v>梅田 勝太</v>
          </cell>
          <cell r="D1053">
            <v>45954</v>
          </cell>
          <cell r="E1053" t="str">
            <v>25K0761</v>
          </cell>
          <cell r="F1053" t="str">
            <v>I000014438</v>
          </cell>
          <cell r="J1053">
            <v>6798</v>
          </cell>
          <cell r="K1053">
            <v>0.09</v>
          </cell>
          <cell r="M1053">
            <v>3</v>
          </cell>
          <cell r="N1053" t="str">
            <v>AIR</v>
          </cell>
          <cell r="P1053">
            <v>45867</v>
          </cell>
          <cell r="S1053" t="str">
            <v>AM8:00</v>
          </cell>
        </row>
        <row r="1054">
          <cell r="A1054">
            <v>9204</v>
          </cell>
          <cell r="B1054" t="str">
            <v>梅田 勝太</v>
          </cell>
          <cell r="C1054" t="str">
            <v>TRADIA</v>
          </cell>
          <cell r="D1054">
            <v>45954</v>
          </cell>
          <cell r="E1054" t="str">
            <v>25K0762</v>
          </cell>
          <cell r="F1054" t="str">
            <v>I200000024</v>
          </cell>
          <cell r="J1054">
            <v>277830</v>
          </cell>
          <cell r="K1054">
            <v>7.0119999999999996</v>
          </cell>
          <cell r="L1054" t="str">
            <v>WHSU6401075</v>
          </cell>
          <cell r="M1054">
            <v>3</v>
          </cell>
          <cell r="O1054">
            <v>2</v>
          </cell>
          <cell r="P1054">
            <v>45867</v>
          </cell>
          <cell r="S1054" t="str">
            <v>AM8:00</v>
          </cell>
        </row>
        <row r="1055">
          <cell r="A1055">
            <v>9205</v>
          </cell>
          <cell r="B1055" t="str">
            <v>梅田 勝太</v>
          </cell>
          <cell r="D1055">
            <v>45954</v>
          </cell>
          <cell r="E1055" t="str">
            <v>25K0763</v>
          </cell>
          <cell r="F1055" t="str">
            <v>I000014435</v>
          </cell>
          <cell r="J1055">
            <v>5562</v>
          </cell>
          <cell r="K1055">
            <v>0.09</v>
          </cell>
          <cell r="M1055">
            <v>3</v>
          </cell>
          <cell r="N1055" t="str">
            <v>AIR</v>
          </cell>
          <cell r="P1055">
            <v>45867</v>
          </cell>
          <cell r="S1055" t="str">
            <v>AM8:00</v>
          </cell>
        </row>
        <row r="1056">
          <cell r="A1056">
            <v>9206</v>
          </cell>
          <cell r="B1056" t="str">
            <v>梅田 勝太</v>
          </cell>
          <cell r="C1056" t="str">
            <v>TRADIA</v>
          </cell>
          <cell r="D1056">
            <v>45954</v>
          </cell>
          <cell r="E1056" t="str">
            <v>25K0764</v>
          </cell>
          <cell r="F1056" t="str">
            <v>I000014447</v>
          </cell>
          <cell r="J1056">
            <v>4099.2</v>
          </cell>
          <cell r="K1056">
            <v>0.06</v>
          </cell>
          <cell r="M1056">
            <v>3</v>
          </cell>
          <cell r="N1056" t="str">
            <v>AIR</v>
          </cell>
          <cell r="P1056">
            <v>45869</v>
          </cell>
          <cell r="S1056" t="str">
            <v>AM8:00</v>
          </cell>
        </row>
        <row r="1057">
          <cell r="A1057">
            <v>9207</v>
          </cell>
          <cell r="B1057" t="str">
            <v>梅田 勝太</v>
          </cell>
          <cell r="D1057">
            <v>45954</v>
          </cell>
          <cell r="E1057" t="str">
            <v>25K0765</v>
          </cell>
          <cell r="F1057" t="str">
            <v>I000014446</v>
          </cell>
          <cell r="J1057">
            <v>1223.6199999999999</v>
          </cell>
          <cell r="K1057">
            <v>0.2</v>
          </cell>
          <cell r="M1057">
            <v>3</v>
          </cell>
          <cell r="N1057" t="str">
            <v>AIR</v>
          </cell>
          <cell r="P1057">
            <v>45869</v>
          </cell>
          <cell r="S1057" t="str">
            <v>AM8:00</v>
          </cell>
        </row>
        <row r="1058">
          <cell r="A1058">
            <v>9208</v>
          </cell>
          <cell r="B1058" t="str">
            <v>梅田 勝太</v>
          </cell>
          <cell r="C1058" t="str">
            <v>TRADIA</v>
          </cell>
          <cell r="D1058">
            <v>45954</v>
          </cell>
          <cell r="E1058" t="str">
            <v>25K0801</v>
          </cell>
          <cell r="F1058" t="str">
            <v>I000014466</v>
          </cell>
          <cell r="J1058">
            <v>1020891.53</v>
          </cell>
          <cell r="K1058">
            <v>65.8</v>
          </cell>
          <cell r="L1058" t="str">
            <v>TXGU8273530</v>
          </cell>
          <cell r="M1058">
            <v>3</v>
          </cell>
          <cell r="N1058" t="str">
            <v>40HQ</v>
          </cell>
          <cell r="O1058">
            <v>2</v>
          </cell>
          <cell r="P1058">
            <v>45884</v>
          </cell>
          <cell r="S1058" t="str">
            <v>AM8:00</v>
          </cell>
        </row>
        <row r="1059">
          <cell r="A1059">
            <v>9209</v>
          </cell>
          <cell r="B1059" t="str">
            <v>梅田 勝太</v>
          </cell>
          <cell r="C1059" t="str">
            <v>TRADIA</v>
          </cell>
          <cell r="D1059">
            <v>45954</v>
          </cell>
          <cell r="E1059" t="str">
            <v>25K0801-2</v>
          </cell>
          <cell r="F1059" t="str">
            <v>I000014466</v>
          </cell>
          <cell r="J1059">
            <v>156</v>
          </cell>
          <cell r="K1059">
            <v>0.09</v>
          </cell>
          <cell r="L1059" t="str">
            <v>TXGU8273530</v>
          </cell>
          <cell r="M1059">
            <v>3</v>
          </cell>
          <cell r="N1059" t="str">
            <v>40HQ</v>
          </cell>
          <cell r="O1059">
            <v>2</v>
          </cell>
          <cell r="P1059">
            <v>45884</v>
          </cell>
          <cell r="S1059" t="str">
            <v>AM8:00</v>
          </cell>
        </row>
        <row r="1060">
          <cell r="A1060">
            <v>9210</v>
          </cell>
          <cell r="B1060" t="str">
            <v>梅田 勝太</v>
          </cell>
          <cell r="C1060" t="str">
            <v>TRADIA</v>
          </cell>
          <cell r="D1060">
            <v>45954</v>
          </cell>
          <cell r="E1060" t="str">
            <v>25K0802</v>
          </cell>
          <cell r="F1060" t="str">
            <v>I000014474</v>
          </cell>
          <cell r="J1060">
            <v>328438.74</v>
          </cell>
          <cell r="K1060">
            <v>27.31</v>
          </cell>
          <cell r="L1060" t="str">
            <v>TSSU2275450</v>
          </cell>
          <cell r="M1060">
            <v>3</v>
          </cell>
          <cell r="N1060" t="str">
            <v>20GP</v>
          </cell>
          <cell r="O1060">
            <v>2</v>
          </cell>
          <cell r="P1060">
            <v>45888</v>
          </cell>
          <cell r="S1060" t="str">
            <v>AM8:00</v>
          </cell>
        </row>
        <row r="1061">
          <cell r="A1061">
            <v>9211</v>
          </cell>
          <cell r="B1061" t="str">
            <v>梅田 勝太</v>
          </cell>
          <cell r="C1061" t="str">
            <v>TRADIA</v>
          </cell>
          <cell r="D1061">
            <v>45954</v>
          </cell>
          <cell r="E1061" t="str">
            <v>25K0802-2</v>
          </cell>
          <cell r="F1061" t="str">
            <v>I000014474</v>
          </cell>
          <cell r="J1061">
            <v>10895.6</v>
          </cell>
          <cell r="K1061">
            <v>0.71399999999999997</v>
          </cell>
          <cell r="L1061" t="str">
            <v>TSSU2275450</v>
          </cell>
          <cell r="M1061">
            <v>3</v>
          </cell>
          <cell r="N1061" t="str">
            <v>20GP</v>
          </cell>
          <cell r="O1061">
            <v>2</v>
          </cell>
          <cell r="P1061">
            <v>45888</v>
          </cell>
          <cell r="S1061" t="str">
            <v>AM8:00</v>
          </cell>
        </row>
        <row r="1062">
          <cell r="A1062">
            <v>9212</v>
          </cell>
          <cell r="B1062" t="str">
            <v>梅田 勝太</v>
          </cell>
          <cell r="C1062" t="str">
            <v>TRADIA</v>
          </cell>
          <cell r="D1062">
            <v>45954</v>
          </cell>
          <cell r="E1062" t="str">
            <v>25K0803</v>
          </cell>
          <cell r="F1062" t="str">
            <v>I000014533</v>
          </cell>
          <cell r="J1062">
            <v>1190153.79</v>
          </cell>
          <cell r="K1062">
            <v>66.19</v>
          </cell>
          <cell r="L1062" t="str">
            <v>WHSU8158365</v>
          </cell>
          <cell r="M1062">
            <v>3</v>
          </cell>
          <cell r="N1062" t="str">
            <v>40HQ</v>
          </cell>
          <cell r="O1062">
            <v>2</v>
          </cell>
          <cell r="P1062">
            <v>45898</v>
          </cell>
          <cell r="S1062" t="str">
            <v>AM8:00</v>
          </cell>
        </row>
        <row r="1063">
          <cell r="A1063">
            <v>9213</v>
          </cell>
          <cell r="B1063" t="str">
            <v>梅田 勝太</v>
          </cell>
          <cell r="C1063" t="str">
            <v>YUSEN</v>
          </cell>
          <cell r="D1063">
            <v>45954</v>
          </cell>
          <cell r="E1063" t="str">
            <v>25K0804</v>
          </cell>
          <cell r="F1063" t="str">
            <v>I000014548</v>
          </cell>
          <cell r="J1063">
            <v>1038756.04</v>
          </cell>
          <cell r="K1063">
            <v>62.34</v>
          </cell>
          <cell r="L1063" t="str">
            <v>IAAU1942500</v>
          </cell>
          <cell r="M1063">
            <v>3</v>
          </cell>
          <cell r="N1063" t="str">
            <v>40HQ</v>
          </cell>
          <cell r="O1063">
            <v>2</v>
          </cell>
          <cell r="P1063">
            <v>45902</v>
          </cell>
          <cell r="S1063" t="str">
            <v>AM8:00</v>
          </cell>
        </row>
        <row r="1064">
          <cell r="A1064">
            <v>9214</v>
          </cell>
          <cell r="B1064" t="str">
            <v>梅田 勝太</v>
          </cell>
          <cell r="C1064" t="str">
            <v>YUSEN</v>
          </cell>
          <cell r="D1064">
            <v>45954</v>
          </cell>
          <cell r="E1064" t="str">
            <v>25K0805</v>
          </cell>
          <cell r="F1064" t="str">
            <v>I000014572</v>
          </cell>
          <cell r="J1064">
            <v>975641.34</v>
          </cell>
          <cell r="K1064">
            <v>64.930000000000007</v>
          </cell>
          <cell r="L1064" t="str">
            <v>IAAU1835040</v>
          </cell>
          <cell r="M1064">
            <v>3</v>
          </cell>
          <cell r="N1064" t="str">
            <v>40HQ</v>
          </cell>
          <cell r="O1064">
            <v>2</v>
          </cell>
          <cell r="P1064">
            <v>45909</v>
          </cell>
          <cell r="S1064" t="str">
            <v>AM8:00</v>
          </cell>
        </row>
        <row r="1065">
          <cell r="A1065">
            <v>9215</v>
          </cell>
          <cell r="B1065" t="str">
            <v>梅田 勝太</v>
          </cell>
          <cell r="C1065" t="str">
            <v>YUSEN</v>
          </cell>
          <cell r="D1065">
            <v>45954</v>
          </cell>
          <cell r="E1065" t="str">
            <v>25K0806</v>
          </cell>
          <cell r="F1065" t="str">
            <v>I000014578</v>
          </cell>
          <cell r="J1065">
            <v>691024.4</v>
          </cell>
          <cell r="K1065">
            <v>54.98</v>
          </cell>
          <cell r="L1065" t="str">
            <v>IAAU1902344</v>
          </cell>
          <cell r="M1065">
            <v>3</v>
          </cell>
          <cell r="N1065" t="str">
            <v>40HQ</v>
          </cell>
          <cell r="O1065">
            <v>2</v>
          </cell>
          <cell r="P1065">
            <v>45878</v>
          </cell>
          <cell r="S1065" t="str">
            <v>AM8:00</v>
          </cell>
        </row>
        <row r="1066">
          <cell r="A1066">
            <v>9216</v>
          </cell>
          <cell r="B1066" t="str">
            <v>梅田 勝太</v>
          </cell>
          <cell r="C1066" t="str">
            <v>TRADIA</v>
          </cell>
          <cell r="D1066">
            <v>45954</v>
          </cell>
          <cell r="E1066" t="str">
            <v>25K0850</v>
          </cell>
          <cell r="F1066" t="str">
            <v>I000014451</v>
          </cell>
          <cell r="J1066">
            <v>270</v>
          </cell>
          <cell r="K1066">
            <v>0.02</v>
          </cell>
          <cell r="M1066">
            <v>3</v>
          </cell>
          <cell r="N1066" t="str">
            <v>AIR</v>
          </cell>
          <cell r="P1066">
            <v>45870</v>
          </cell>
          <cell r="S1066" t="str">
            <v>AM8:00</v>
          </cell>
        </row>
        <row r="1067">
          <cell r="A1067">
            <v>9217</v>
          </cell>
          <cell r="B1067" t="str">
            <v>梅田 勝太</v>
          </cell>
          <cell r="D1067">
            <v>45954</v>
          </cell>
          <cell r="E1067" t="str">
            <v>25K0852</v>
          </cell>
          <cell r="F1067" t="str">
            <v>I200000032</v>
          </cell>
          <cell r="J1067">
            <v>320</v>
          </cell>
          <cell r="K1067">
            <v>0.01</v>
          </cell>
          <cell r="M1067">
            <v>3</v>
          </cell>
          <cell r="N1067" t="str">
            <v>AIR</v>
          </cell>
          <cell r="P1067">
            <v>45870</v>
          </cell>
          <cell r="S1067" t="str">
            <v>AM8:00</v>
          </cell>
        </row>
        <row r="1068">
          <cell r="A1068">
            <v>9218</v>
          </cell>
          <cell r="B1068" t="str">
            <v>梅田 勝太</v>
          </cell>
          <cell r="D1068">
            <v>45954</v>
          </cell>
          <cell r="E1068" t="str">
            <v>25K0853</v>
          </cell>
          <cell r="F1068" t="str">
            <v>I200000033</v>
          </cell>
          <cell r="J1068">
            <v>150</v>
          </cell>
          <cell r="K1068">
            <v>0.01</v>
          </cell>
          <cell r="M1068">
            <v>3</v>
          </cell>
          <cell r="N1068" t="str">
            <v>AIR</v>
          </cell>
          <cell r="P1068">
            <v>45875</v>
          </cell>
          <cell r="S1068" t="str">
            <v>AM8:00</v>
          </cell>
        </row>
        <row r="1069">
          <cell r="A1069">
            <v>9219</v>
          </cell>
          <cell r="B1069" t="str">
            <v>梅田 勝太</v>
          </cell>
          <cell r="D1069">
            <v>45954</v>
          </cell>
          <cell r="E1069" t="str">
            <v>25K0854</v>
          </cell>
          <cell r="F1069" t="str">
            <v>I000014475</v>
          </cell>
          <cell r="J1069">
            <v>4980.18</v>
          </cell>
          <cell r="K1069">
            <v>0.45</v>
          </cell>
          <cell r="M1069">
            <v>3</v>
          </cell>
          <cell r="N1069" t="str">
            <v>AIR</v>
          </cell>
          <cell r="P1069">
            <v>45878</v>
          </cell>
          <cell r="S1069" t="str">
            <v>AM8:00</v>
          </cell>
        </row>
        <row r="1070">
          <cell r="A1070">
            <v>9220</v>
          </cell>
          <cell r="B1070" t="str">
            <v>梅田 勝太</v>
          </cell>
          <cell r="D1070">
            <v>45954</v>
          </cell>
          <cell r="E1070" t="str">
            <v>25K0855</v>
          </cell>
          <cell r="F1070" t="str">
            <v>I000014478</v>
          </cell>
          <cell r="J1070">
            <v>1524.66</v>
          </cell>
          <cell r="K1070">
            <v>0.08</v>
          </cell>
          <cell r="M1070">
            <v>3</v>
          </cell>
          <cell r="N1070" t="str">
            <v>AIR</v>
          </cell>
          <cell r="P1070">
            <v>45886</v>
          </cell>
          <cell r="S1070" t="str">
            <v>AM8:00</v>
          </cell>
        </row>
        <row r="1071">
          <cell r="A1071">
            <v>9221</v>
          </cell>
          <cell r="B1071" t="str">
            <v>梅田 勝太</v>
          </cell>
          <cell r="D1071">
            <v>45954</v>
          </cell>
          <cell r="E1071" t="str">
            <v>25K0857</v>
          </cell>
          <cell r="F1071" t="str">
            <v>I000014479</v>
          </cell>
          <cell r="J1071">
            <v>3185.28</v>
          </cell>
          <cell r="K1071">
            <v>0.06</v>
          </cell>
          <cell r="M1071">
            <v>3</v>
          </cell>
          <cell r="N1071" t="str">
            <v>AIR</v>
          </cell>
          <cell r="P1071">
            <v>45886</v>
          </cell>
          <cell r="S1071" t="str">
            <v>AM8:00</v>
          </cell>
        </row>
        <row r="1072">
          <cell r="A1072">
            <v>9222</v>
          </cell>
          <cell r="B1072" t="str">
            <v>梅田 勝太</v>
          </cell>
          <cell r="D1072">
            <v>45954</v>
          </cell>
          <cell r="E1072" t="str">
            <v>25K0858</v>
          </cell>
          <cell r="F1072" t="str">
            <v>I000014484</v>
          </cell>
          <cell r="J1072">
            <v>2400</v>
          </cell>
          <cell r="K1072">
            <v>0.4</v>
          </cell>
          <cell r="M1072">
            <v>3</v>
          </cell>
          <cell r="N1072" t="str">
            <v>AIR</v>
          </cell>
          <cell r="P1072">
            <v>45887</v>
          </cell>
          <cell r="S1072" t="str">
            <v>AM8:00</v>
          </cell>
        </row>
        <row r="1073">
          <cell r="A1073">
            <v>9223</v>
          </cell>
          <cell r="B1073" t="str">
            <v>梅田 勝太</v>
          </cell>
          <cell r="C1073" t="str">
            <v>TRADIA</v>
          </cell>
          <cell r="D1073">
            <v>45954</v>
          </cell>
          <cell r="E1073" t="str">
            <v>25K0859</v>
          </cell>
          <cell r="F1073" t="str">
            <v>I200000026</v>
          </cell>
          <cell r="J1073">
            <v>387212.4</v>
          </cell>
          <cell r="K1073">
            <v>12.24</v>
          </cell>
          <cell r="L1073" t="str">
            <v>CICU7270848</v>
          </cell>
          <cell r="M1073">
            <v>3</v>
          </cell>
          <cell r="O1073">
            <v>2</v>
          </cell>
          <cell r="P1073">
            <v>45887</v>
          </cell>
          <cell r="S1073" t="str">
            <v>AM8:00</v>
          </cell>
        </row>
        <row r="1074">
          <cell r="A1074">
            <v>9224</v>
          </cell>
          <cell r="B1074" t="str">
            <v>梅田 勝太</v>
          </cell>
          <cell r="C1074" t="str">
            <v>TRADIA</v>
          </cell>
          <cell r="D1074">
            <v>45954</v>
          </cell>
          <cell r="E1074" t="str">
            <v>25K0860</v>
          </cell>
          <cell r="F1074" t="str">
            <v>I200000027</v>
          </cell>
          <cell r="J1074">
            <v>51648.7</v>
          </cell>
          <cell r="K1074">
            <v>4.6760000000000002</v>
          </cell>
          <cell r="L1074" t="str">
            <v>WHSU2240537</v>
          </cell>
          <cell r="M1074">
            <v>3</v>
          </cell>
          <cell r="O1074">
            <v>2</v>
          </cell>
          <cell r="P1074">
            <v>45889</v>
          </cell>
          <cell r="S1074" t="str">
            <v>AM8:00</v>
          </cell>
        </row>
        <row r="1075">
          <cell r="A1075">
            <v>9225</v>
          </cell>
          <cell r="B1075" t="str">
            <v>梅田 勝太</v>
          </cell>
          <cell r="D1075">
            <v>45954</v>
          </cell>
          <cell r="E1075" t="str">
            <v>25K0861</v>
          </cell>
          <cell r="F1075" t="str">
            <v>I000014540</v>
          </cell>
          <cell r="J1075">
            <v>1446.93</v>
          </cell>
          <cell r="K1075">
            <v>0.08</v>
          </cell>
          <cell r="M1075">
            <v>3</v>
          </cell>
          <cell r="N1075" t="str">
            <v>AIR</v>
          </cell>
          <cell r="P1075">
            <v>45890</v>
          </cell>
          <cell r="S1075" t="str">
            <v>AM8:00</v>
          </cell>
        </row>
        <row r="1076">
          <cell r="A1076">
            <v>9226</v>
          </cell>
          <cell r="B1076" t="str">
            <v>梅田 勝太</v>
          </cell>
          <cell r="D1076">
            <v>45954</v>
          </cell>
          <cell r="E1076" t="str">
            <v>25K0862</v>
          </cell>
          <cell r="F1076" t="str">
            <v>I200000034</v>
          </cell>
          <cell r="J1076">
            <v>4800</v>
          </cell>
          <cell r="K1076">
            <v>0.01</v>
          </cell>
          <cell r="M1076">
            <v>3</v>
          </cell>
          <cell r="N1076" t="str">
            <v>AIR</v>
          </cell>
          <cell r="P1076">
            <v>45888</v>
          </cell>
          <cell r="S1076" t="str">
            <v>AM8:00</v>
          </cell>
        </row>
        <row r="1077">
          <cell r="A1077">
            <v>9227</v>
          </cell>
          <cell r="B1077" t="str">
            <v>梅田 勝太</v>
          </cell>
          <cell r="D1077">
            <v>45954</v>
          </cell>
          <cell r="E1077" t="str">
            <v>25K0863</v>
          </cell>
          <cell r="F1077" t="str">
            <v>I000014532</v>
          </cell>
          <cell r="J1077">
            <v>2730.24</v>
          </cell>
          <cell r="K1077">
            <v>0.05</v>
          </cell>
          <cell r="M1077">
            <v>3</v>
          </cell>
          <cell r="N1077" t="str">
            <v>AIR</v>
          </cell>
          <cell r="P1077">
            <v>45888</v>
          </cell>
          <cell r="S1077" t="str">
            <v>AM8:00</v>
          </cell>
        </row>
        <row r="1078">
          <cell r="A1078">
            <v>9228</v>
          </cell>
          <cell r="B1078" t="str">
            <v>梅田 勝太</v>
          </cell>
          <cell r="C1078" t="str">
            <v>TRADIA</v>
          </cell>
          <cell r="D1078">
            <v>45954</v>
          </cell>
          <cell r="E1078" t="str">
            <v>25K0864</v>
          </cell>
          <cell r="F1078" t="str">
            <v>I000014536</v>
          </cell>
          <cell r="J1078">
            <v>3185.28</v>
          </cell>
          <cell r="K1078">
            <v>0.05</v>
          </cell>
          <cell r="M1078">
            <v>3</v>
          </cell>
          <cell r="N1078" t="str">
            <v>AIR</v>
          </cell>
          <cell r="P1078">
            <v>45889</v>
          </cell>
          <cell r="S1078" t="str">
            <v>AM8:00</v>
          </cell>
        </row>
        <row r="1079">
          <cell r="A1079">
            <v>9229</v>
          </cell>
          <cell r="B1079" t="str">
            <v>梅田 勝太</v>
          </cell>
          <cell r="D1079">
            <v>45954</v>
          </cell>
          <cell r="E1079" t="str">
            <v>25K0865</v>
          </cell>
          <cell r="F1079" t="str">
            <v>I000014538</v>
          </cell>
          <cell r="J1079">
            <v>182</v>
          </cell>
          <cell r="K1079">
            <v>0.08</v>
          </cell>
          <cell r="M1079">
            <v>3</v>
          </cell>
          <cell r="N1079" t="str">
            <v>AIR</v>
          </cell>
          <cell r="P1079">
            <v>45889</v>
          </cell>
          <cell r="S1079" t="str">
            <v>AM8:00</v>
          </cell>
        </row>
        <row r="1080">
          <cell r="A1080">
            <v>9230</v>
          </cell>
          <cell r="B1080" t="str">
            <v>梅田 勝太</v>
          </cell>
          <cell r="C1080" t="str">
            <v>TRADIA</v>
          </cell>
          <cell r="D1080">
            <v>45954</v>
          </cell>
          <cell r="E1080" t="str">
            <v>25K0866</v>
          </cell>
          <cell r="F1080" t="str">
            <v>I000014543</v>
          </cell>
          <cell r="J1080">
            <v>2370</v>
          </cell>
          <cell r="K1080">
            <v>0.11</v>
          </cell>
          <cell r="M1080">
            <v>3</v>
          </cell>
          <cell r="N1080" t="str">
            <v>AIR</v>
          </cell>
          <cell r="P1080">
            <v>45891</v>
          </cell>
          <cell r="S1080" t="str">
            <v>AM8:00</v>
          </cell>
        </row>
        <row r="1081">
          <cell r="A1081">
            <v>9231</v>
          </cell>
          <cell r="B1081" t="str">
            <v>梅田 勝太</v>
          </cell>
          <cell r="D1081">
            <v>45954</v>
          </cell>
          <cell r="E1081" t="str">
            <v>25K0867</v>
          </cell>
          <cell r="F1081" t="str">
            <v>I000014546</v>
          </cell>
          <cell r="J1081">
            <v>170</v>
          </cell>
          <cell r="K1081">
            <v>0.23</v>
          </cell>
          <cell r="M1081">
            <v>3</v>
          </cell>
          <cell r="N1081" t="str">
            <v>AIR</v>
          </cell>
          <cell r="P1081">
            <v>45892</v>
          </cell>
          <cell r="S1081" t="str">
            <v>AM8:00</v>
          </cell>
        </row>
        <row r="1082">
          <cell r="A1082">
            <v>9232</v>
          </cell>
          <cell r="B1082" t="str">
            <v>梅田 勝太</v>
          </cell>
          <cell r="D1082">
            <v>45954</v>
          </cell>
          <cell r="E1082" t="str">
            <v>25K0868</v>
          </cell>
          <cell r="F1082" t="str">
            <v>I000014545</v>
          </cell>
          <cell r="J1082">
            <v>692.04</v>
          </cell>
          <cell r="K1082">
            <v>7.0000000000000007E-2</v>
          </cell>
          <cell r="M1082">
            <v>3</v>
          </cell>
          <cell r="N1082" t="str">
            <v>AIR</v>
          </cell>
          <cell r="P1082">
            <v>45892</v>
          </cell>
          <cell r="S1082" t="str">
            <v>AM8:00</v>
          </cell>
        </row>
        <row r="1083">
          <cell r="A1083">
            <v>9233</v>
          </cell>
          <cell r="B1083" t="str">
            <v>梅田 勝太</v>
          </cell>
          <cell r="C1083" t="str">
            <v>TRADIA</v>
          </cell>
          <cell r="D1083">
            <v>45954</v>
          </cell>
          <cell r="E1083" t="str">
            <v>25K0869</v>
          </cell>
          <cell r="F1083" t="str">
            <v>I000014551</v>
          </cell>
          <cell r="J1083">
            <v>29294.13</v>
          </cell>
          <cell r="K1083">
            <v>0.25</v>
          </cell>
          <cell r="M1083">
            <v>3</v>
          </cell>
          <cell r="N1083" t="str">
            <v>AIR</v>
          </cell>
          <cell r="P1083">
            <v>45894</v>
          </cell>
          <cell r="S1083" t="str">
            <v>AM8:00</v>
          </cell>
        </row>
        <row r="1084">
          <cell r="A1084">
            <v>9234</v>
          </cell>
          <cell r="B1084" t="str">
            <v>梅田 勝太</v>
          </cell>
          <cell r="C1084" t="str">
            <v>TRADIA</v>
          </cell>
          <cell r="D1084">
            <v>45954</v>
          </cell>
          <cell r="E1084" t="str">
            <v>25K0870</v>
          </cell>
          <cell r="F1084" t="str">
            <v>I000014554</v>
          </cell>
          <cell r="J1084">
            <v>2403.1799999999998</v>
          </cell>
          <cell r="K1084">
            <v>0.08</v>
          </cell>
          <cell r="M1084">
            <v>3</v>
          </cell>
          <cell r="N1084" t="str">
            <v>AIR</v>
          </cell>
          <cell r="P1084">
            <v>45895</v>
          </cell>
          <cell r="S1084" t="str">
            <v>AM8:00</v>
          </cell>
        </row>
        <row r="1085">
          <cell r="A1085">
            <v>9235</v>
          </cell>
          <cell r="B1085" t="str">
            <v>梅田 勝太</v>
          </cell>
          <cell r="C1085" t="str">
            <v>TRADIA</v>
          </cell>
          <cell r="D1085">
            <v>45954</v>
          </cell>
          <cell r="E1085" t="str">
            <v>25K0871</v>
          </cell>
          <cell r="F1085" t="str">
            <v>I000014553</v>
          </cell>
          <cell r="J1085">
            <v>36937.86</v>
          </cell>
          <cell r="K1085">
            <v>0.18</v>
          </cell>
          <cell r="L1085" t="str">
            <v>WHSU2248374</v>
          </cell>
          <cell r="M1085">
            <v>3</v>
          </cell>
          <cell r="O1085">
            <v>2</v>
          </cell>
          <cell r="P1085">
            <v>45905</v>
          </cell>
          <cell r="S1085" t="str">
            <v>AM8:00</v>
          </cell>
        </row>
        <row r="1086">
          <cell r="A1086">
            <v>9236</v>
          </cell>
          <cell r="B1086" t="str">
            <v>梅田 勝太</v>
          </cell>
          <cell r="C1086" t="str">
            <v>TRADIA</v>
          </cell>
          <cell r="D1086">
            <v>45954</v>
          </cell>
          <cell r="E1086" t="str">
            <v>25K0872</v>
          </cell>
          <cell r="F1086" t="str">
            <v>I000014560</v>
          </cell>
          <cell r="J1086">
            <v>5363.31</v>
          </cell>
          <cell r="K1086">
            <v>0.19</v>
          </cell>
          <cell r="M1086">
            <v>3</v>
          </cell>
          <cell r="N1086" t="str">
            <v>AIR</v>
          </cell>
          <cell r="P1086">
            <v>45896</v>
          </cell>
          <cell r="S1086" t="str">
            <v>AM8:00</v>
          </cell>
        </row>
        <row r="1087">
          <cell r="A1087">
            <v>9237</v>
          </cell>
          <cell r="B1087" t="str">
            <v>梅田 勝太</v>
          </cell>
          <cell r="C1087" t="str">
            <v>TRADIA</v>
          </cell>
          <cell r="D1087">
            <v>45954</v>
          </cell>
          <cell r="E1087" t="str">
            <v>25K0873</v>
          </cell>
          <cell r="F1087" t="str">
            <v>I000014564</v>
          </cell>
          <cell r="J1087">
            <v>14681.64</v>
          </cell>
          <cell r="K1087">
            <v>1.59</v>
          </cell>
          <cell r="M1087">
            <v>3</v>
          </cell>
          <cell r="N1087" t="str">
            <v>AIR</v>
          </cell>
          <cell r="P1087">
            <v>45897</v>
          </cell>
          <cell r="S1087" t="str">
            <v>AM8:00</v>
          </cell>
        </row>
        <row r="1088">
          <cell r="A1088">
            <v>9238</v>
          </cell>
          <cell r="B1088" t="str">
            <v>梅田 勝太</v>
          </cell>
          <cell r="C1088" t="str">
            <v>TRADIA</v>
          </cell>
          <cell r="D1088">
            <v>45954</v>
          </cell>
          <cell r="E1088" t="str">
            <v>25K0873-2</v>
          </cell>
          <cell r="F1088" t="str">
            <v>I000014564</v>
          </cell>
          <cell r="J1088">
            <v>329.7</v>
          </cell>
          <cell r="K1088">
            <v>0.01</v>
          </cell>
          <cell r="M1088">
            <v>3</v>
          </cell>
          <cell r="N1088" t="str">
            <v>AIR</v>
          </cell>
          <cell r="P1088">
            <v>45897</v>
          </cell>
          <cell r="S1088" t="str">
            <v>AM8:00</v>
          </cell>
        </row>
        <row r="1089">
          <cell r="A1089">
            <v>9239</v>
          </cell>
          <cell r="B1089" t="str">
            <v>梅田 勝太</v>
          </cell>
          <cell r="C1089" t="str">
            <v>TRADIA</v>
          </cell>
          <cell r="D1089">
            <v>45954</v>
          </cell>
          <cell r="E1089" t="str">
            <v>25K0901</v>
          </cell>
          <cell r="F1089" t="str">
            <v>I000014588</v>
          </cell>
          <cell r="J1089">
            <v>796572.08</v>
          </cell>
          <cell r="K1089">
            <v>67.680000000000007</v>
          </cell>
          <cell r="L1089" t="str">
            <v>WHSU6680468</v>
          </cell>
          <cell r="M1089">
            <v>3</v>
          </cell>
          <cell r="N1089" t="str">
            <v>40HQ</v>
          </cell>
          <cell r="O1089">
            <v>2</v>
          </cell>
          <cell r="P1089">
            <v>45911</v>
          </cell>
          <cell r="S1089" t="str">
            <v>AM8:00</v>
          </cell>
        </row>
        <row r="1090">
          <cell r="A1090">
            <v>9240</v>
          </cell>
          <cell r="B1090" t="str">
            <v>梅田 勝太</v>
          </cell>
          <cell r="C1090" t="str">
            <v>TRADIA</v>
          </cell>
          <cell r="D1090">
            <v>45954</v>
          </cell>
          <cell r="E1090" t="str">
            <v>25K0902</v>
          </cell>
          <cell r="F1090" t="str">
            <v>I000014592</v>
          </cell>
          <cell r="J1090">
            <v>828299.54</v>
          </cell>
          <cell r="K1090">
            <v>65.239999999999995</v>
          </cell>
          <cell r="L1090" t="str">
            <v>TSSU5211891</v>
          </cell>
          <cell r="M1090">
            <v>3</v>
          </cell>
          <cell r="N1090" t="str">
            <v>40HQ</v>
          </cell>
          <cell r="O1090">
            <v>2</v>
          </cell>
          <cell r="P1090">
            <v>45919</v>
          </cell>
          <cell r="S1090" t="str">
            <v>AM8:00</v>
          </cell>
        </row>
        <row r="1091">
          <cell r="A1091">
            <v>9241</v>
          </cell>
          <cell r="B1091" t="str">
            <v>梅田 勝太</v>
          </cell>
          <cell r="C1091" t="str">
            <v>TRADIA</v>
          </cell>
          <cell r="D1091">
            <v>45954</v>
          </cell>
          <cell r="E1091" t="str">
            <v>25K0903</v>
          </cell>
          <cell r="F1091" t="str">
            <v>I000014611</v>
          </cell>
          <cell r="J1091">
            <v>1118118.82</v>
          </cell>
          <cell r="K1091">
            <v>63.35</v>
          </cell>
          <cell r="L1091" t="str">
            <v>EMCU8209268</v>
          </cell>
          <cell r="M1091">
            <v>3</v>
          </cell>
          <cell r="N1091" t="str">
            <v>40HQ</v>
          </cell>
          <cell r="O1091">
            <v>2</v>
          </cell>
          <cell r="P1091">
            <v>45921</v>
          </cell>
          <cell r="S1091" t="str">
            <v>AM8:00</v>
          </cell>
        </row>
        <row r="1092">
          <cell r="A1092">
            <v>9242</v>
          </cell>
          <cell r="B1092" t="str">
            <v>梅田 勝太</v>
          </cell>
          <cell r="C1092" t="str">
            <v>TRADIA</v>
          </cell>
          <cell r="D1092">
            <v>45954</v>
          </cell>
          <cell r="E1092" t="str">
            <v>25K0904</v>
          </cell>
          <cell r="F1092" t="str">
            <v>I000014608</v>
          </cell>
          <cell r="J1092">
            <v>408034</v>
          </cell>
          <cell r="K1092">
            <v>26.21</v>
          </cell>
          <cell r="L1092" t="str">
            <v>TIIU2028167</v>
          </cell>
          <cell r="M1092">
            <v>3</v>
          </cell>
          <cell r="N1092" t="str">
            <v>20GP</v>
          </cell>
          <cell r="O1092">
            <v>2</v>
          </cell>
          <cell r="P1092">
            <v>45917</v>
          </cell>
          <cell r="S1092" t="str">
            <v>AM8:00</v>
          </cell>
        </row>
        <row r="1093">
          <cell r="A1093">
            <v>9243</v>
          </cell>
          <cell r="B1093" t="str">
            <v>梅田 勝太</v>
          </cell>
          <cell r="C1093" t="str">
            <v>TRADIA</v>
          </cell>
          <cell r="D1093">
            <v>45954</v>
          </cell>
          <cell r="E1093" t="str">
            <v>25K0905</v>
          </cell>
          <cell r="F1093" t="str">
            <v>I000014633</v>
          </cell>
          <cell r="J1093">
            <v>978101.88</v>
          </cell>
          <cell r="K1093">
            <v>65.67</v>
          </cell>
          <cell r="L1093" t="str">
            <v>TSSU5218601</v>
          </cell>
          <cell r="M1093">
            <v>3</v>
          </cell>
          <cell r="N1093" t="str">
            <v>40HQ</v>
          </cell>
          <cell r="O1093">
            <v>2</v>
          </cell>
          <cell r="P1093">
            <v>45927</v>
          </cell>
          <cell r="S1093" t="str">
            <v>AM8:00</v>
          </cell>
        </row>
        <row r="1094">
          <cell r="A1094">
            <v>9244</v>
          </cell>
          <cell r="B1094" t="str">
            <v>梅田 勝太</v>
          </cell>
          <cell r="C1094" t="str">
            <v>YUSEN</v>
          </cell>
          <cell r="D1094">
            <v>45954</v>
          </cell>
          <cell r="E1094" t="str">
            <v>25K0906</v>
          </cell>
          <cell r="F1094" t="str">
            <v>I000014659</v>
          </cell>
          <cell r="J1094">
            <v>883985.7</v>
          </cell>
          <cell r="K1094">
            <v>60.98</v>
          </cell>
          <cell r="L1094" t="str">
            <v>WHSU6932404</v>
          </cell>
          <cell r="M1094">
            <v>3</v>
          </cell>
          <cell r="N1094" t="str">
            <v>40HQ</v>
          </cell>
          <cell r="O1094">
            <v>2</v>
          </cell>
          <cell r="P1094">
            <v>45932</v>
          </cell>
          <cell r="S1094" t="str">
            <v>AM8:00</v>
          </cell>
        </row>
        <row r="1095">
          <cell r="A1095">
            <v>9245</v>
          </cell>
          <cell r="B1095" t="str">
            <v>梅田 勝太</v>
          </cell>
          <cell r="C1095" t="str">
            <v>YUSEN</v>
          </cell>
          <cell r="D1095">
            <v>45954</v>
          </cell>
          <cell r="E1095" t="str">
            <v>25K0906-2</v>
          </cell>
          <cell r="F1095" t="str">
            <v>I000014659</v>
          </cell>
          <cell r="J1095">
            <v>66971.92</v>
          </cell>
          <cell r="K1095">
            <v>1.262</v>
          </cell>
          <cell r="L1095" t="str">
            <v>WHSU6932404</v>
          </cell>
          <cell r="M1095">
            <v>3</v>
          </cell>
          <cell r="N1095" t="str">
            <v>40HQ</v>
          </cell>
          <cell r="O1095">
            <v>2</v>
          </cell>
          <cell r="P1095">
            <v>45932</v>
          </cell>
          <cell r="S1095" t="str">
            <v>AM8:00</v>
          </cell>
        </row>
        <row r="1096">
          <cell r="A1096">
            <v>9246</v>
          </cell>
          <cell r="B1096" t="str">
            <v>梅田 勝太</v>
          </cell>
          <cell r="C1096" t="str">
            <v>YUSEN</v>
          </cell>
          <cell r="D1096">
            <v>45954</v>
          </cell>
          <cell r="E1096" t="str">
            <v>25K0907</v>
          </cell>
          <cell r="F1096" t="str">
            <v>I000014671</v>
          </cell>
          <cell r="J1096">
            <v>413200.36</v>
          </cell>
          <cell r="K1096">
            <v>26.14</v>
          </cell>
          <cell r="L1096" t="str">
            <v>IAAU2779640</v>
          </cell>
          <cell r="M1096">
            <v>3</v>
          </cell>
          <cell r="N1096" t="str">
            <v>20GP</v>
          </cell>
          <cell r="O1096">
            <v>2</v>
          </cell>
          <cell r="P1096">
            <v>45940</v>
          </cell>
          <cell r="S1096" t="str">
            <v>AM8:00</v>
          </cell>
        </row>
        <row r="1097">
          <cell r="A1097">
            <v>9247</v>
          </cell>
          <cell r="B1097" t="str">
            <v>梅田 勝太</v>
          </cell>
          <cell r="C1097" t="str">
            <v>YUSEN</v>
          </cell>
          <cell r="D1097">
            <v>45954</v>
          </cell>
          <cell r="E1097" t="str">
            <v>25K0908</v>
          </cell>
          <cell r="F1097" t="str">
            <v>I000014678</v>
          </cell>
          <cell r="J1097">
            <v>501393.5</v>
          </cell>
          <cell r="K1097">
            <v>27.25</v>
          </cell>
          <cell r="L1097" t="str">
            <v>IAAU2797731</v>
          </cell>
          <cell r="M1097">
            <v>3</v>
          </cell>
          <cell r="N1097" t="str">
            <v>20GP</v>
          </cell>
          <cell r="O1097">
            <v>2</v>
          </cell>
          <cell r="P1097">
            <v>45939</v>
          </cell>
          <cell r="S1097" t="str">
            <v>AM8:00</v>
          </cell>
        </row>
        <row r="1098">
          <cell r="A1098">
            <v>9248</v>
          </cell>
          <cell r="B1098" t="str">
            <v>梅田 勝太</v>
          </cell>
          <cell r="C1098" t="str">
            <v>YUSEN</v>
          </cell>
          <cell r="D1098">
            <v>45954</v>
          </cell>
          <cell r="E1098" t="str">
            <v>25K0909</v>
          </cell>
          <cell r="F1098" t="str">
            <v>I000014677</v>
          </cell>
          <cell r="J1098">
            <v>278646.53999999998</v>
          </cell>
          <cell r="K1098">
            <v>23.95</v>
          </cell>
          <cell r="L1098" t="str">
            <v>HPCU2760800</v>
          </cell>
          <cell r="M1098">
            <v>3</v>
          </cell>
          <cell r="N1098" t="str">
            <v>20GP</v>
          </cell>
          <cell r="O1098">
            <v>2</v>
          </cell>
          <cell r="P1098">
            <v>45939</v>
          </cell>
          <cell r="S1098" t="str">
            <v>AM8:00</v>
          </cell>
        </row>
        <row r="1099">
          <cell r="A1099">
            <v>9249</v>
          </cell>
          <cell r="B1099" t="str">
            <v>梅田 勝太</v>
          </cell>
          <cell r="C1099" t="str">
            <v>TRADIA</v>
          </cell>
          <cell r="D1099">
            <v>45954</v>
          </cell>
          <cell r="E1099" t="str">
            <v>25K0950</v>
          </cell>
          <cell r="F1099" t="str">
            <v>I000014583</v>
          </cell>
          <cell r="J1099">
            <v>3493.38</v>
          </cell>
          <cell r="K1099">
            <v>0.09</v>
          </cell>
          <cell r="M1099">
            <v>3</v>
          </cell>
          <cell r="N1099" t="str">
            <v>AIR</v>
          </cell>
          <cell r="P1099">
            <v>45902</v>
          </cell>
          <cell r="S1099" t="str">
            <v>AM8:00</v>
          </cell>
        </row>
        <row r="1100">
          <cell r="A1100">
            <v>9250</v>
          </cell>
          <cell r="B1100" t="str">
            <v>梅田 勝太</v>
          </cell>
          <cell r="C1100" t="str">
            <v>TRADIA</v>
          </cell>
          <cell r="D1100">
            <v>45954</v>
          </cell>
          <cell r="E1100" t="str">
            <v>25K0951</v>
          </cell>
          <cell r="F1100" t="str">
            <v>I200000035</v>
          </cell>
          <cell r="H1100">
            <v>41486864150</v>
          </cell>
          <cell r="I1100">
            <v>367937.35</v>
          </cell>
          <cell r="J1100">
            <v>183367.8</v>
          </cell>
          <cell r="K1100">
            <v>4.7670000000000003</v>
          </cell>
          <cell r="L1100" t="str">
            <v>TSSU5217483</v>
          </cell>
          <cell r="M1100">
            <v>3</v>
          </cell>
          <cell r="O1100">
            <v>2</v>
          </cell>
          <cell r="P1100">
            <v>45909</v>
          </cell>
          <cell r="S1100" t="str">
            <v>AM8:00</v>
          </cell>
        </row>
        <row r="1101">
          <cell r="A1101">
            <v>9255</v>
          </cell>
          <cell r="B1101" t="str">
            <v>梅田 勝太</v>
          </cell>
          <cell r="C1101" t="str">
            <v>TRADIA</v>
          </cell>
          <cell r="D1101">
            <v>45954</v>
          </cell>
          <cell r="E1101" t="str">
            <v>25K0955</v>
          </cell>
          <cell r="F1101" t="str">
            <v>I000014604</v>
          </cell>
          <cell r="H1101">
            <v>41486864150</v>
          </cell>
          <cell r="J1101">
            <v>184569.55</v>
          </cell>
          <cell r="K1101">
            <v>11.2</v>
          </cell>
          <cell r="L1101" t="str">
            <v>TSSU5217483</v>
          </cell>
          <cell r="M1101">
            <v>3</v>
          </cell>
          <cell r="O1101">
            <v>2</v>
          </cell>
          <cell r="P1101">
            <v>45910</v>
          </cell>
          <cell r="S1101" t="str">
            <v>AM8:00</v>
          </cell>
        </row>
        <row r="1102">
          <cell r="A1102">
            <v>9251</v>
          </cell>
          <cell r="B1102" t="str">
            <v>梅田 勝太</v>
          </cell>
          <cell r="C1102" t="str">
            <v>TRADIA</v>
          </cell>
          <cell r="D1102">
            <v>45954</v>
          </cell>
          <cell r="E1102" t="str">
            <v>25K0952</v>
          </cell>
          <cell r="F1102" t="str">
            <v>I000014587</v>
          </cell>
          <cell r="J1102">
            <v>8206.01</v>
          </cell>
          <cell r="K1102">
            <v>0.42</v>
          </cell>
          <cell r="M1102">
            <v>3</v>
          </cell>
          <cell r="N1102" t="str">
            <v>AIR</v>
          </cell>
          <cell r="P1102">
            <v>45903</v>
          </cell>
          <cell r="S1102" t="str">
            <v>AM8:00</v>
          </cell>
        </row>
        <row r="1103">
          <cell r="A1103">
            <v>9252</v>
          </cell>
          <cell r="B1103" t="str">
            <v>梅田 勝太</v>
          </cell>
          <cell r="C1103" t="str">
            <v>TRADIA</v>
          </cell>
          <cell r="D1103">
            <v>45954</v>
          </cell>
          <cell r="E1103" t="str">
            <v>25K0952-2</v>
          </cell>
          <cell r="F1103" t="str">
            <v>I000014587</v>
          </cell>
          <cell r="J1103">
            <v>250</v>
          </cell>
          <cell r="K1103">
            <v>0.1</v>
          </cell>
          <cell r="M1103">
            <v>3</v>
          </cell>
          <cell r="N1103" t="str">
            <v>AIR</v>
          </cell>
          <cell r="P1103">
            <v>45903</v>
          </cell>
          <cell r="S1103" t="str">
            <v>AM8:00</v>
          </cell>
        </row>
        <row r="1104">
          <cell r="A1104">
            <v>9253</v>
          </cell>
          <cell r="B1104" t="str">
            <v>梅田 勝太</v>
          </cell>
          <cell r="C1104" t="str">
            <v>TRADIA</v>
          </cell>
          <cell r="D1104">
            <v>45954</v>
          </cell>
          <cell r="E1104" t="str">
            <v>25K0953</v>
          </cell>
          <cell r="F1104" t="str">
            <v>I000014596</v>
          </cell>
          <cell r="J1104">
            <v>3412.8</v>
          </cell>
          <cell r="K1104">
            <v>7.0000000000000007E-2</v>
          </cell>
          <cell r="M1104">
            <v>3</v>
          </cell>
          <cell r="N1104" t="str">
            <v>AIR</v>
          </cell>
          <cell r="P1104">
            <v>45905</v>
          </cell>
          <cell r="S1104" t="str">
            <v>AM8:00</v>
          </cell>
        </row>
        <row r="1105">
          <cell r="A1105">
            <v>9254</v>
          </cell>
          <cell r="B1105" t="str">
            <v>梅田 勝太</v>
          </cell>
          <cell r="D1105">
            <v>45954</v>
          </cell>
          <cell r="E1105" t="str">
            <v>25K0954</v>
          </cell>
          <cell r="F1105" t="str">
            <v>I000014591</v>
          </cell>
          <cell r="J1105">
            <v>2400</v>
          </cell>
          <cell r="K1105">
            <v>0.09</v>
          </cell>
          <cell r="M1105">
            <v>3</v>
          </cell>
          <cell r="N1105" t="str">
            <v>AIR</v>
          </cell>
          <cell r="P1105">
            <v>45905</v>
          </cell>
          <cell r="S1105" t="str">
            <v>AM8:00</v>
          </cell>
        </row>
        <row r="1106">
          <cell r="A1106">
            <v>9256</v>
          </cell>
          <cell r="B1106" t="str">
            <v>梅田 勝太</v>
          </cell>
          <cell r="C1106" t="str">
            <v>TRADIA</v>
          </cell>
          <cell r="D1106">
            <v>45954</v>
          </cell>
          <cell r="E1106" t="str">
            <v>25K0956</v>
          </cell>
          <cell r="F1106" t="str">
            <v>I000014509</v>
          </cell>
          <cell r="J1106">
            <v>14979.72</v>
          </cell>
          <cell r="K1106">
            <v>2.3E-2</v>
          </cell>
          <cell r="M1106">
            <v>3</v>
          </cell>
          <cell r="N1106" t="str">
            <v>AIR</v>
          </cell>
          <cell r="P1106">
            <v>45908</v>
          </cell>
          <cell r="S1106" t="str">
            <v>AM8:00</v>
          </cell>
        </row>
        <row r="1107">
          <cell r="A1107">
            <v>9257</v>
          </cell>
          <cell r="B1107" t="str">
            <v>梅田 勝太</v>
          </cell>
          <cell r="C1107" t="str">
            <v>TRADIA</v>
          </cell>
          <cell r="D1107">
            <v>45954</v>
          </cell>
          <cell r="E1107" t="str">
            <v>25K0958</v>
          </cell>
          <cell r="F1107" t="str">
            <v>I000014607</v>
          </cell>
          <cell r="J1107">
            <v>9209.3799999999992</v>
          </cell>
          <cell r="K1107">
            <v>5.8999999999999997E-2</v>
          </cell>
          <cell r="M1107">
            <v>3</v>
          </cell>
          <cell r="N1107" t="str">
            <v>AIR</v>
          </cell>
          <cell r="P1107">
            <v>45910</v>
          </cell>
          <cell r="S1107" t="str">
            <v>AM8:00</v>
          </cell>
        </row>
        <row r="1108">
          <cell r="A1108">
            <v>9258</v>
          </cell>
          <cell r="B1108" t="str">
            <v>梅田 勝太</v>
          </cell>
          <cell r="C1108" t="str">
            <v>TRADIA</v>
          </cell>
          <cell r="D1108">
            <v>45954</v>
          </cell>
          <cell r="E1108" t="str">
            <v>25K0959</v>
          </cell>
          <cell r="F1108" t="str">
            <v>I000014616</v>
          </cell>
          <cell r="J1108">
            <v>811.56</v>
          </cell>
          <cell r="K1108">
            <v>0.02</v>
          </cell>
          <cell r="M1108">
            <v>3</v>
          </cell>
          <cell r="N1108" t="str">
            <v>AIR</v>
          </cell>
          <cell r="P1108">
            <v>45912</v>
          </cell>
          <cell r="S1108" t="str">
            <v>AM8:00</v>
          </cell>
        </row>
        <row r="1109">
          <cell r="A1109">
            <v>9259</v>
          </cell>
          <cell r="B1109" t="str">
            <v>梅田 勝太</v>
          </cell>
          <cell r="C1109" t="str">
            <v>TRADIA</v>
          </cell>
          <cell r="D1109">
            <v>45954</v>
          </cell>
          <cell r="E1109" t="str">
            <v>25K0960</v>
          </cell>
          <cell r="F1109" t="str">
            <v>I000014615</v>
          </cell>
          <cell r="J1109">
            <v>52427.4</v>
          </cell>
          <cell r="K1109">
            <v>2.1999999999999999E-2</v>
          </cell>
          <cell r="M1109">
            <v>3</v>
          </cell>
          <cell r="N1109" t="str">
            <v>AIR</v>
          </cell>
          <cell r="P1109">
            <v>45912</v>
          </cell>
          <cell r="S1109" t="str">
            <v>AM8:00</v>
          </cell>
        </row>
        <row r="1110">
          <cell r="A1110">
            <v>9260</v>
          </cell>
          <cell r="B1110" t="str">
            <v>梅田 勝太</v>
          </cell>
          <cell r="C1110" t="str">
            <v>TRADIA</v>
          </cell>
          <cell r="D1110">
            <v>45954</v>
          </cell>
          <cell r="E1110" t="str">
            <v>25K0960-2</v>
          </cell>
          <cell r="F1110" t="str">
            <v>I000014615</v>
          </cell>
          <cell r="J1110">
            <v>340.2</v>
          </cell>
          <cell r="K1110">
            <v>0.04</v>
          </cell>
          <cell r="M1110">
            <v>3</v>
          </cell>
          <cell r="N1110" t="str">
            <v>AIR</v>
          </cell>
          <cell r="P1110">
            <v>45912</v>
          </cell>
          <cell r="S1110" t="str">
            <v>AM8:00</v>
          </cell>
        </row>
        <row r="1111">
          <cell r="A1111">
            <v>9261</v>
          </cell>
          <cell r="B1111" t="str">
            <v>梅田 勝太</v>
          </cell>
          <cell r="C1111" t="str">
            <v>TRADIA</v>
          </cell>
          <cell r="D1111">
            <v>45954</v>
          </cell>
          <cell r="E1111" t="str">
            <v>25K0961</v>
          </cell>
          <cell r="F1111" t="str">
            <v>I000014627</v>
          </cell>
          <cell r="J1111">
            <v>315669.28000000003</v>
          </cell>
          <cell r="K1111">
            <v>8.92</v>
          </cell>
          <cell r="L1111" t="str">
            <v>WHLU5757662</v>
          </cell>
          <cell r="M1111">
            <v>3</v>
          </cell>
          <cell r="O1111">
            <v>2</v>
          </cell>
          <cell r="P1111">
            <v>45925</v>
          </cell>
          <cell r="S1111" t="str">
            <v>AM8:00</v>
          </cell>
        </row>
        <row r="1112">
          <cell r="A1112">
            <v>9262</v>
          </cell>
          <cell r="B1112" t="str">
            <v>梅田 勝太</v>
          </cell>
          <cell r="D1112">
            <v>45954</v>
          </cell>
          <cell r="E1112" t="str">
            <v>25K0962</v>
          </cell>
          <cell r="F1112" t="str">
            <v>I000014638</v>
          </cell>
          <cell r="J1112">
            <v>4550.3999999999996</v>
          </cell>
          <cell r="K1112">
            <v>4.0000000000000001E-3</v>
          </cell>
          <cell r="M1112">
            <v>3</v>
          </cell>
          <cell r="N1112" t="str">
            <v>AIR</v>
          </cell>
          <cell r="P1112">
            <v>45919</v>
          </cell>
          <cell r="S1112" t="str">
            <v>AM8:00</v>
          </cell>
        </row>
        <row r="1113">
          <cell r="A1113">
            <v>9263</v>
          </cell>
          <cell r="B1113" t="str">
            <v>梅田 勝太</v>
          </cell>
          <cell r="C1113" t="str">
            <v>TRADIA</v>
          </cell>
          <cell r="D1113">
            <v>45954</v>
          </cell>
          <cell r="E1113" t="str">
            <v>25K0963</v>
          </cell>
          <cell r="F1113" t="str">
            <v>I000014624</v>
          </cell>
          <cell r="J1113">
            <v>1269.24</v>
          </cell>
          <cell r="K1113">
            <v>2.8000000000000001E-2</v>
          </cell>
          <cell r="M1113">
            <v>3</v>
          </cell>
          <cell r="N1113" t="str">
            <v>AIR</v>
          </cell>
          <cell r="P1113">
            <v>45915</v>
          </cell>
          <cell r="S1113" t="str">
            <v>AM8:00</v>
          </cell>
        </row>
        <row r="1114">
          <cell r="A1114">
            <v>9264</v>
          </cell>
          <cell r="B1114" t="str">
            <v>梅田 勝太</v>
          </cell>
          <cell r="C1114" t="str">
            <v>TRADIA</v>
          </cell>
          <cell r="D1114">
            <v>45954</v>
          </cell>
          <cell r="E1114" t="str">
            <v>25K0963-2</v>
          </cell>
          <cell r="F1114" t="str">
            <v>I000014624</v>
          </cell>
          <cell r="J1114">
            <v>790</v>
          </cell>
          <cell r="K1114">
            <v>0.12</v>
          </cell>
          <cell r="M1114">
            <v>3</v>
          </cell>
          <cell r="N1114" t="str">
            <v>AIR</v>
          </cell>
          <cell r="P1114">
            <v>45915</v>
          </cell>
          <cell r="S1114" t="str">
            <v>AM8:00</v>
          </cell>
        </row>
        <row r="1115">
          <cell r="A1115">
            <v>9265</v>
          </cell>
          <cell r="B1115" t="str">
            <v>梅田 勝太</v>
          </cell>
          <cell r="D1115">
            <v>45954</v>
          </cell>
          <cell r="E1115" t="str">
            <v>25K0964</v>
          </cell>
          <cell r="F1115" t="str">
            <v>I000014625</v>
          </cell>
          <cell r="J1115">
            <v>96.48</v>
          </cell>
          <cell r="K1115">
            <v>0.01</v>
          </cell>
          <cell r="M1115">
            <v>3</v>
          </cell>
          <cell r="N1115" t="str">
            <v>AIR</v>
          </cell>
          <cell r="P1115">
            <v>45916</v>
          </cell>
          <cell r="S1115" t="str">
            <v>AM8:00</v>
          </cell>
        </row>
        <row r="1116">
          <cell r="A1116">
            <v>9266</v>
          </cell>
          <cell r="B1116" t="str">
            <v>梅田 勝太</v>
          </cell>
          <cell r="C1116" t="str">
            <v>TRADIA</v>
          </cell>
          <cell r="D1116">
            <v>45954</v>
          </cell>
          <cell r="E1116" t="str">
            <v>25K0965</v>
          </cell>
          <cell r="F1116" t="str">
            <v>I000014647</v>
          </cell>
          <cell r="J1116">
            <v>9696.77</v>
          </cell>
          <cell r="K1116">
            <v>0.24</v>
          </cell>
          <cell r="M1116">
            <v>3</v>
          </cell>
          <cell r="N1116" t="str">
            <v>AIR</v>
          </cell>
          <cell r="P1116">
            <v>45922</v>
          </cell>
          <cell r="S1116" t="str">
            <v>AM8:00</v>
          </cell>
        </row>
        <row r="1117">
          <cell r="A1117">
            <v>9267</v>
          </cell>
          <cell r="B1117" t="str">
            <v>梅田 勝太</v>
          </cell>
          <cell r="C1117" t="str">
            <v>TRADIA</v>
          </cell>
          <cell r="D1117">
            <v>45954</v>
          </cell>
          <cell r="E1117" t="str">
            <v>25K0966</v>
          </cell>
          <cell r="F1117" t="str">
            <v>I000014656</v>
          </cell>
          <cell r="J1117">
            <v>43911.02</v>
          </cell>
          <cell r="K1117">
            <v>0.5</v>
          </cell>
          <cell r="M1117">
            <v>3</v>
          </cell>
          <cell r="N1117" t="str">
            <v>AIR</v>
          </cell>
          <cell r="P1117">
            <v>45925</v>
          </cell>
          <cell r="S1117" t="str">
            <v>AM8:00</v>
          </cell>
        </row>
        <row r="1118">
          <cell r="A1118">
            <v>9268</v>
          </cell>
          <cell r="B1118" t="str">
            <v>梅田 勝太</v>
          </cell>
          <cell r="C1118" t="str">
            <v>TRADIA</v>
          </cell>
          <cell r="D1118">
            <v>45954</v>
          </cell>
          <cell r="E1118" t="str">
            <v>25K0966-2</v>
          </cell>
          <cell r="F1118" t="str">
            <v>I000014656</v>
          </cell>
          <cell r="J1118">
            <v>48.8</v>
          </cell>
          <cell r="K1118">
            <v>0.01</v>
          </cell>
          <cell r="M1118">
            <v>3</v>
          </cell>
          <cell r="N1118" t="str">
            <v>AIR</v>
          </cell>
          <cell r="P1118">
            <v>45925</v>
          </cell>
          <cell r="S1118" t="str">
            <v>AM8:00</v>
          </cell>
        </row>
        <row r="1119">
          <cell r="A1119">
            <v>9269</v>
          </cell>
          <cell r="B1119" t="str">
            <v>梅田 勝太</v>
          </cell>
          <cell r="C1119" t="str">
            <v>TRADIA</v>
          </cell>
          <cell r="D1119">
            <v>45954</v>
          </cell>
          <cell r="E1119" t="str">
            <v>25K0967</v>
          </cell>
          <cell r="F1119" t="str">
            <v>I000014658</v>
          </cell>
          <cell r="J1119">
            <v>100685.16</v>
          </cell>
          <cell r="K1119">
            <v>3.87</v>
          </cell>
          <cell r="L1119" t="str">
            <v>TIIU2088417</v>
          </cell>
          <cell r="M1119">
            <v>3</v>
          </cell>
          <cell r="O1119">
            <v>2</v>
          </cell>
          <cell r="P1119">
            <v>45935</v>
          </cell>
          <cell r="S1119" t="str">
            <v>AM8:00</v>
          </cell>
        </row>
        <row r="1120">
          <cell r="A1120">
            <v>9270</v>
          </cell>
          <cell r="B1120" t="str">
            <v>梅田 勝太</v>
          </cell>
          <cell r="C1120" t="str">
            <v>TRADIA</v>
          </cell>
          <cell r="D1120">
            <v>45954</v>
          </cell>
          <cell r="E1120" t="str">
            <v>25K0969</v>
          </cell>
          <cell r="F1120" t="str">
            <v>I000014670</v>
          </cell>
          <cell r="J1120">
            <v>4660</v>
          </cell>
          <cell r="K1120">
            <v>0.9</v>
          </cell>
          <cell r="M1120">
            <v>3</v>
          </cell>
          <cell r="N1120" t="str">
            <v>AIR</v>
          </cell>
          <cell r="P1120">
            <v>45927</v>
          </cell>
          <cell r="S1120" t="str">
            <v>AM8:00</v>
          </cell>
        </row>
        <row r="1121">
          <cell r="A1121">
            <v>9271</v>
          </cell>
          <cell r="B1121" t="str">
            <v>梅田 勝太</v>
          </cell>
          <cell r="C1121" t="str">
            <v>TRADIA</v>
          </cell>
          <cell r="D1121">
            <v>45954</v>
          </cell>
          <cell r="E1121" t="str">
            <v>25K0970</v>
          </cell>
          <cell r="F1121" t="str">
            <v>I000014674</v>
          </cell>
          <cell r="J1121">
            <v>18937.560000000001</v>
          </cell>
          <cell r="K1121">
            <v>0.2</v>
          </cell>
          <cell r="M1121">
            <v>3</v>
          </cell>
          <cell r="N1121" t="str">
            <v>AIR</v>
          </cell>
          <cell r="P1121">
            <v>45928</v>
          </cell>
          <cell r="S1121" t="str">
            <v>AM8:00</v>
          </cell>
        </row>
        <row r="1122">
          <cell r="A1122">
            <v>9272</v>
          </cell>
          <cell r="B1122" t="str">
            <v>梅田 勝太</v>
          </cell>
          <cell r="C1122" t="str">
            <v>TRADIA</v>
          </cell>
          <cell r="D1122">
            <v>45954</v>
          </cell>
          <cell r="E1122" t="str">
            <v>25K0970-2</v>
          </cell>
          <cell r="F1122" t="str">
            <v>I000014674</v>
          </cell>
          <cell r="J1122">
            <v>21</v>
          </cell>
          <cell r="K1122">
            <v>0.01</v>
          </cell>
          <cell r="M1122">
            <v>3</v>
          </cell>
          <cell r="N1122" t="str">
            <v>AIR</v>
          </cell>
          <cell r="P1122">
            <v>45925</v>
          </cell>
          <cell r="S1122" t="str">
            <v>AM8:00</v>
          </cell>
        </row>
        <row r="1123">
          <cell r="A1123">
            <v>9273</v>
          </cell>
          <cell r="B1123" t="str">
            <v>梅田 勝太</v>
          </cell>
          <cell r="C1123" t="str">
            <v>TRADIA</v>
          </cell>
          <cell r="D1123">
            <v>45956</v>
          </cell>
          <cell r="E1123" t="str">
            <v>25Q0501</v>
          </cell>
          <cell r="F1123" t="str">
            <v>I000014255</v>
          </cell>
          <cell r="J1123">
            <v>350400</v>
          </cell>
          <cell r="K1123">
            <v>20.58</v>
          </cell>
          <cell r="L1123" t="str">
            <v>WHSU0862829</v>
          </cell>
          <cell r="N1123" t="str">
            <v>20GP</v>
          </cell>
          <cell r="O1123">
            <v>4</v>
          </cell>
          <cell r="P1123">
            <v>45820</v>
          </cell>
        </row>
        <row r="1124">
          <cell r="A1124">
            <v>9274</v>
          </cell>
          <cell r="B1124" t="str">
            <v>梅田 勝太</v>
          </cell>
          <cell r="C1124" t="str">
            <v>TRADIA</v>
          </cell>
          <cell r="D1124">
            <v>45956</v>
          </cell>
          <cell r="E1124" t="str">
            <v>25Q0601</v>
          </cell>
          <cell r="F1124" t="str">
            <v>I000014300</v>
          </cell>
          <cell r="J1124">
            <v>112608</v>
          </cell>
          <cell r="K1124">
            <v>3.4</v>
          </cell>
          <cell r="N1124" t="str">
            <v>AIR</v>
          </cell>
          <cell r="P1124">
            <v>45821</v>
          </cell>
        </row>
        <row r="1125">
          <cell r="A1125">
            <v>9275</v>
          </cell>
          <cell r="B1125" t="str">
            <v>梅田 勝太</v>
          </cell>
          <cell r="C1125" t="str">
            <v>TRADIA</v>
          </cell>
          <cell r="D1125">
            <v>45956</v>
          </cell>
          <cell r="E1125" t="str">
            <v>25Q0602</v>
          </cell>
          <cell r="F1125" t="str">
            <v>I000014304</v>
          </cell>
          <cell r="J1125">
            <v>168912</v>
          </cell>
          <cell r="K1125">
            <v>5.0999999999999996</v>
          </cell>
          <cell r="N1125" t="str">
            <v>AIR</v>
          </cell>
          <cell r="P1125">
            <v>45823</v>
          </cell>
        </row>
        <row r="1126">
          <cell r="A1126">
            <v>9276</v>
          </cell>
          <cell r="B1126" t="str">
            <v>梅田 勝太</v>
          </cell>
          <cell r="C1126" t="str">
            <v>TRADIA</v>
          </cell>
          <cell r="D1126">
            <v>45956</v>
          </cell>
          <cell r="E1126" t="str">
            <v>25Q0603</v>
          </cell>
          <cell r="F1126" t="str">
            <v>I000014310</v>
          </cell>
          <cell r="J1126">
            <v>65688</v>
          </cell>
          <cell r="K1126">
            <v>2.27</v>
          </cell>
          <cell r="N1126" t="str">
            <v>AIR</v>
          </cell>
          <cell r="P1126">
            <v>45824</v>
          </cell>
        </row>
        <row r="1127">
          <cell r="A1127">
            <v>9277</v>
          </cell>
          <cell r="B1127" t="str">
            <v>梅田 勝太</v>
          </cell>
          <cell r="C1127" t="str">
            <v>TRADIA</v>
          </cell>
          <cell r="D1127">
            <v>45956</v>
          </cell>
          <cell r="E1127" t="str">
            <v>25Q0901</v>
          </cell>
          <cell r="F1127" t="str">
            <v>I000014580</v>
          </cell>
          <cell r="J1127">
            <v>352800</v>
          </cell>
          <cell r="K1127">
            <v>10.7</v>
          </cell>
          <cell r="L1127" t="str">
            <v>TSSU2426622</v>
          </cell>
          <cell r="N1127" t="str">
            <v>20GP</v>
          </cell>
          <cell r="O1127">
            <v>4</v>
          </cell>
          <cell r="P1127">
            <v>45909</v>
          </cell>
        </row>
        <row r="1128">
          <cell r="A1128">
            <v>9278</v>
          </cell>
          <cell r="B1128" t="str">
            <v>梅田 勝太</v>
          </cell>
          <cell r="C1128" t="str">
            <v>TRADIA</v>
          </cell>
          <cell r="D1128">
            <v>45956</v>
          </cell>
          <cell r="E1128" t="str">
            <v>25Q0902</v>
          </cell>
          <cell r="F1128" t="str">
            <v>I000014645</v>
          </cell>
          <cell r="J1128">
            <v>28800</v>
          </cell>
          <cell r="K1128">
            <v>1.6</v>
          </cell>
          <cell r="N1128" t="str">
            <v>AIR</v>
          </cell>
          <cell r="P1128">
            <v>45922</v>
          </cell>
        </row>
        <row r="1129">
          <cell r="A1129">
            <v>9279</v>
          </cell>
          <cell r="B1129" t="str">
            <v>梅田 勝太</v>
          </cell>
          <cell r="C1129" t="str">
            <v>TRADIA</v>
          </cell>
          <cell r="D1129">
            <v>45956</v>
          </cell>
          <cell r="E1129" t="str">
            <v>25Q0903</v>
          </cell>
          <cell r="F1129" t="str">
            <v>I000014646</v>
          </cell>
          <cell r="J1129">
            <v>172800</v>
          </cell>
          <cell r="K1129">
            <v>9.61</v>
          </cell>
          <cell r="N1129" t="str">
            <v>AIR</v>
          </cell>
          <cell r="P1129">
            <v>45922</v>
          </cell>
        </row>
        <row r="1130">
          <cell r="A1130">
            <v>9280</v>
          </cell>
          <cell r="B1130" t="str">
            <v>梅田 勝太</v>
          </cell>
          <cell r="C1130" t="str">
            <v>TRADIA</v>
          </cell>
          <cell r="D1130">
            <v>45956</v>
          </cell>
          <cell r="E1130" t="str">
            <v>25Q1050</v>
          </cell>
          <cell r="F1130" t="str">
            <v>I000014685</v>
          </cell>
          <cell r="J1130">
            <v>230400</v>
          </cell>
          <cell r="K1130">
            <v>8.26</v>
          </cell>
          <cell r="N1130" t="str">
            <v>AIR</v>
          </cell>
          <cell r="P1130">
            <v>45939</v>
          </cell>
        </row>
        <row r="1131">
          <cell r="A1131">
            <v>9281</v>
          </cell>
          <cell r="B1131" t="str">
            <v>梅田 勝太</v>
          </cell>
          <cell r="C1131" t="str">
            <v>TRADIA</v>
          </cell>
          <cell r="D1131">
            <v>45956</v>
          </cell>
          <cell r="E1131" t="str">
            <v>25Q1051</v>
          </cell>
          <cell r="F1131" t="str">
            <v>I000014689</v>
          </cell>
          <cell r="J1131">
            <v>86400</v>
          </cell>
          <cell r="K1131">
            <v>4.8099999999999996</v>
          </cell>
          <cell r="N1131" t="str">
            <v>AIR</v>
          </cell>
          <cell r="P1131">
            <v>45940</v>
          </cell>
        </row>
        <row r="1132">
          <cell r="A1132">
            <v>9282</v>
          </cell>
          <cell r="B1132" t="str">
            <v>梅田 勝太</v>
          </cell>
          <cell r="C1132" t="str">
            <v>TRADIA</v>
          </cell>
          <cell r="D1132">
            <v>45956</v>
          </cell>
          <cell r="E1132" t="str">
            <v>25Q1052</v>
          </cell>
          <cell r="F1132" t="str">
            <v>I000014691</v>
          </cell>
          <cell r="J1132">
            <v>86400</v>
          </cell>
          <cell r="K1132">
            <v>4.8099999999999996</v>
          </cell>
          <cell r="N1132" t="str">
            <v>AIR</v>
          </cell>
          <cell r="P1132">
            <v>45940</v>
          </cell>
        </row>
        <row r="1133">
          <cell r="A1133">
            <v>9283</v>
          </cell>
          <cell r="B1133" t="str">
            <v>梅田 勝太</v>
          </cell>
          <cell r="C1133" t="str">
            <v>TRADIA</v>
          </cell>
          <cell r="D1133">
            <v>45956</v>
          </cell>
          <cell r="E1133" t="str">
            <v>25Q1053</v>
          </cell>
          <cell r="F1133" t="str">
            <v>I000014695</v>
          </cell>
          <cell r="J1133">
            <v>201600</v>
          </cell>
          <cell r="K1133">
            <v>11.21</v>
          </cell>
          <cell r="N1133" t="str">
            <v>AIR</v>
          </cell>
          <cell r="P1133">
            <v>45943</v>
          </cell>
          <cell r="Q1133">
            <v>45945</v>
          </cell>
          <cell r="R1133" t="str">
            <v>水</v>
          </cell>
        </row>
        <row r="1134">
          <cell r="A1134">
            <v>9284</v>
          </cell>
          <cell r="B1134" t="str">
            <v>梅田 勝太</v>
          </cell>
          <cell r="C1134" t="str">
            <v>TRADIA</v>
          </cell>
          <cell r="D1134">
            <v>45956</v>
          </cell>
          <cell r="E1134" t="str">
            <v>25Q1055</v>
          </cell>
          <cell r="F1134" t="str">
            <v>I000014723</v>
          </cell>
          <cell r="J1134">
            <v>230400</v>
          </cell>
          <cell r="K1134">
            <v>6.7</v>
          </cell>
          <cell r="N1134" t="str">
            <v>AIR</v>
          </cell>
          <cell r="P1134">
            <v>45951</v>
          </cell>
          <cell r="Q1134">
            <v>45953</v>
          </cell>
          <cell r="R1134" t="str">
            <v>木</v>
          </cell>
        </row>
        <row r="1135">
          <cell r="A1135">
            <v>9285</v>
          </cell>
          <cell r="B1135" t="str">
            <v>山本 和弥</v>
          </cell>
          <cell r="C1135" t="str">
            <v>FUZILOGIX</v>
          </cell>
          <cell r="D1135">
            <v>45957</v>
          </cell>
          <cell r="E1135" t="str">
            <v>25T1006</v>
          </cell>
          <cell r="F1135" t="str">
            <v>I000014718</v>
          </cell>
          <cell r="G1135">
            <v>2400</v>
          </cell>
          <cell r="J1135">
            <v>854702</v>
          </cell>
          <cell r="K1135">
            <v>63.43</v>
          </cell>
          <cell r="L1135" t="str">
            <v>WHSU8319177</v>
          </cell>
          <cell r="M1135">
            <v>4</v>
          </cell>
          <cell r="N1135" t="str">
            <v>40HQ</v>
          </cell>
          <cell r="O1135">
            <v>2</v>
          </cell>
          <cell r="P1135">
            <v>45961</v>
          </cell>
          <cell r="Q1135">
            <v>45965</v>
          </cell>
          <cell r="R1135" t="str">
            <v>火</v>
          </cell>
          <cell r="S1135" t="str">
            <v>AM8:00</v>
          </cell>
        </row>
        <row r="1136">
          <cell r="A1136">
            <v>9286</v>
          </cell>
          <cell r="B1136" t="str">
            <v>山本 和弥</v>
          </cell>
          <cell r="C1136" t="str">
            <v>FUZILOGIX</v>
          </cell>
          <cell r="D1136">
            <v>45957</v>
          </cell>
          <cell r="E1136" t="str">
            <v>25T1007</v>
          </cell>
          <cell r="F1136" t="str">
            <v>I000014727</v>
          </cell>
          <cell r="J1136">
            <v>678586.54</v>
          </cell>
          <cell r="K1136">
            <v>63.33</v>
          </cell>
          <cell r="L1136" t="str">
            <v>WHSU8323984</v>
          </cell>
          <cell r="M1136">
            <v>4</v>
          </cell>
          <cell r="N1136" t="str">
            <v>40HQ</v>
          </cell>
          <cell r="O1136">
            <v>5</v>
          </cell>
          <cell r="P1136">
            <v>45963</v>
          </cell>
          <cell r="Q1136">
            <v>45965</v>
          </cell>
          <cell r="R1136" t="str">
            <v>火</v>
          </cell>
          <cell r="S1136" t="str">
            <v>AM8:00</v>
          </cell>
        </row>
        <row r="1137">
          <cell r="A1137">
            <v>9287</v>
          </cell>
          <cell r="B1137" t="str">
            <v>山本 和弥</v>
          </cell>
          <cell r="C1137" t="str">
            <v>FUZILOGIX</v>
          </cell>
          <cell r="D1137">
            <v>45957</v>
          </cell>
          <cell r="E1137" t="str">
            <v>25T1008</v>
          </cell>
          <cell r="F1137" t="str">
            <v>I000014730</v>
          </cell>
          <cell r="J1137">
            <v>788978.96</v>
          </cell>
          <cell r="K1137">
            <v>60.67</v>
          </cell>
          <cell r="L1137" t="str">
            <v>FFAU3170533</v>
          </cell>
          <cell r="M1137">
            <v>4</v>
          </cell>
          <cell r="N1137" t="str">
            <v>40HQ</v>
          </cell>
          <cell r="O1137">
            <v>2</v>
          </cell>
          <cell r="P1137">
            <v>45961</v>
          </cell>
          <cell r="Q1137">
            <v>45965</v>
          </cell>
          <cell r="R1137" t="str">
            <v>火</v>
          </cell>
          <cell r="S1137" t="str">
            <v>AM8:00</v>
          </cell>
        </row>
        <row r="1138">
          <cell r="A1138">
            <v>9288</v>
          </cell>
          <cell r="B1138" t="str">
            <v>山本 和弥</v>
          </cell>
          <cell r="C1138" t="str">
            <v>FUZILOGIX</v>
          </cell>
          <cell r="D1138">
            <v>45957</v>
          </cell>
          <cell r="E1138" t="str">
            <v>25T1010</v>
          </cell>
          <cell r="F1138" t="str">
            <v>I000014740</v>
          </cell>
          <cell r="G1138">
            <v>5600</v>
          </cell>
          <cell r="J1138">
            <v>676155.42</v>
          </cell>
          <cell r="K1138">
            <v>62.41</v>
          </cell>
          <cell r="L1138" t="str">
            <v>TGCU0164955</v>
          </cell>
          <cell r="M1138">
            <v>4</v>
          </cell>
          <cell r="N1138" t="str">
            <v>40HQ</v>
          </cell>
          <cell r="O1138">
            <v>5</v>
          </cell>
          <cell r="P1138">
            <v>45965</v>
          </cell>
          <cell r="Q1138">
            <v>45967</v>
          </cell>
          <cell r="R1138" t="str">
            <v>木</v>
          </cell>
          <cell r="S1138" t="str">
            <v>AM8:00</v>
          </cell>
        </row>
        <row r="1139">
          <cell r="A1139">
            <v>9289</v>
          </cell>
          <cell r="B1139" t="str">
            <v>梅田 勝太</v>
          </cell>
          <cell r="C1139" t="str">
            <v>TRADIA</v>
          </cell>
          <cell r="D1139">
            <v>45959</v>
          </cell>
          <cell r="E1139" t="str">
            <v>25K1001</v>
          </cell>
          <cell r="F1139" t="str">
            <v>I000014687</v>
          </cell>
          <cell r="J1139">
            <v>499903.37</v>
          </cell>
          <cell r="K1139">
            <v>30.5</v>
          </cell>
          <cell r="L1139" t="str">
            <v>TSSU2253738</v>
          </cell>
          <cell r="M1139">
            <v>18</v>
          </cell>
          <cell r="N1139" t="str">
            <v>20GP</v>
          </cell>
          <cell r="O1139">
            <v>1</v>
          </cell>
          <cell r="P1139">
            <v>45951</v>
          </cell>
          <cell r="Q1139">
            <v>45957</v>
          </cell>
          <cell r="R1139" t="str">
            <v>月</v>
          </cell>
          <cell r="S1139" t="str">
            <v>AM8:30</v>
          </cell>
        </row>
        <row r="1140">
          <cell r="A1140">
            <v>9290</v>
          </cell>
          <cell r="B1140" t="str">
            <v>梅田 勝太</v>
          </cell>
          <cell r="C1140" t="str">
            <v>TRADIA</v>
          </cell>
          <cell r="D1140">
            <v>45959</v>
          </cell>
          <cell r="E1140" t="str">
            <v>25K1002</v>
          </cell>
          <cell r="F1140" t="str">
            <v>I000014697</v>
          </cell>
          <cell r="J1140">
            <v>651653.71</v>
          </cell>
          <cell r="K1140">
            <v>57.72</v>
          </cell>
          <cell r="L1140" t="str">
            <v>TLLU8860052</v>
          </cell>
          <cell r="M1140">
            <v>18</v>
          </cell>
          <cell r="N1140" t="str">
            <v>40HQ</v>
          </cell>
          <cell r="O1140">
            <v>1</v>
          </cell>
          <cell r="P1140">
            <v>45952</v>
          </cell>
          <cell r="Q1140">
            <v>45960</v>
          </cell>
          <cell r="R1140" t="str">
            <v>木</v>
          </cell>
          <cell r="S1140" t="str">
            <v>AM8:30</v>
          </cell>
        </row>
        <row r="1141">
          <cell r="A1141">
            <v>9291</v>
          </cell>
          <cell r="B1141" t="str">
            <v>梅田 勝太</v>
          </cell>
          <cell r="C1141" t="str">
            <v>TRADIA</v>
          </cell>
          <cell r="D1141">
            <v>45959</v>
          </cell>
          <cell r="E1141" t="str">
            <v>25K1003</v>
          </cell>
          <cell r="F1141" t="str">
            <v>I000014708</v>
          </cell>
          <cell r="J1141">
            <v>927267.75</v>
          </cell>
          <cell r="K1141">
            <v>62.78</v>
          </cell>
          <cell r="L1141" t="str">
            <v>TLLU8802478</v>
          </cell>
          <cell r="M1141">
            <v>18</v>
          </cell>
          <cell r="N1141" t="str">
            <v>40HQ</v>
          </cell>
          <cell r="O1141">
            <v>1</v>
          </cell>
          <cell r="P1141">
            <v>45958</v>
          </cell>
          <cell r="Q1141">
            <v>45966</v>
          </cell>
          <cell r="R1141" t="str">
            <v>水</v>
          </cell>
          <cell r="S1141" t="str">
            <v>AM8:30</v>
          </cell>
        </row>
        <row r="1142">
          <cell r="A1142">
            <v>9292</v>
          </cell>
          <cell r="B1142" t="str">
            <v>梅田 勝太</v>
          </cell>
          <cell r="C1142" t="str">
            <v>TRADIA</v>
          </cell>
          <cell r="D1142">
            <v>45959</v>
          </cell>
          <cell r="E1142" t="str">
            <v>25K1004</v>
          </cell>
          <cell r="F1142" t="str">
            <v>I000014719</v>
          </cell>
          <cell r="G1142">
            <v>164400</v>
          </cell>
          <cell r="J1142">
            <v>994715.7</v>
          </cell>
          <cell r="K1142">
            <v>68.5</v>
          </cell>
          <cell r="L1142" t="str">
            <v>TRHU4283232</v>
          </cell>
          <cell r="M1142">
            <v>18</v>
          </cell>
          <cell r="N1142" t="str">
            <v>40HQ</v>
          </cell>
          <cell r="O1142">
            <v>1</v>
          </cell>
          <cell r="P1142">
            <v>45962</v>
          </cell>
          <cell r="Q1142">
            <v>45974</v>
          </cell>
          <cell r="R1142" t="str">
            <v>木</v>
          </cell>
          <cell r="S1142" t="str">
            <v>AM8:30</v>
          </cell>
        </row>
        <row r="1143">
          <cell r="A1143">
            <v>9293</v>
          </cell>
          <cell r="B1143" t="str">
            <v>梅田 勝太</v>
          </cell>
          <cell r="C1143" t="str">
            <v>YUSEN</v>
          </cell>
          <cell r="D1143">
            <v>45959</v>
          </cell>
          <cell r="E1143" t="str">
            <v>25K1005</v>
          </cell>
          <cell r="F1143" t="str">
            <v>I000014739</v>
          </cell>
          <cell r="G1143">
            <v>2400</v>
          </cell>
          <cell r="J1143">
            <v>1122258.75</v>
          </cell>
          <cell r="K1143">
            <v>66.45</v>
          </cell>
          <cell r="L1143" t="str">
            <v>WHSU5764693</v>
          </cell>
          <cell r="M1143">
            <v>18</v>
          </cell>
          <cell r="N1143" t="str">
            <v>40HQ</v>
          </cell>
          <cell r="O1143">
            <v>1</v>
          </cell>
          <cell r="P1143">
            <v>45968</v>
          </cell>
          <cell r="Q1143">
            <v>45973</v>
          </cell>
          <cell r="R1143" t="str">
            <v>水</v>
          </cell>
          <cell r="S1143" t="str">
            <v>AM8:30</v>
          </cell>
        </row>
        <row r="1144">
          <cell r="A1144">
            <v>9294</v>
          </cell>
          <cell r="B1144" t="str">
            <v>山本 和弥</v>
          </cell>
          <cell r="C1144" t="str">
            <v>TRADIA</v>
          </cell>
          <cell r="D1144">
            <v>45960</v>
          </cell>
          <cell r="E1144" t="str">
            <v>25P1003</v>
          </cell>
          <cell r="F1144" t="str">
            <v>I000014745</v>
          </cell>
          <cell r="J1144">
            <v>448516.62</v>
          </cell>
          <cell r="K1144">
            <v>63.45</v>
          </cell>
          <cell r="L1144" t="str">
            <v>TXGU5811380</v>
          </cell>
          <cell r="M1144">
            <v>11</v>
          </cell>
          <cell r="N1144" t="str">
            <v>40HQ</v>
          </cell>
          <cell r="O1144">
            <v>4</v>
          </cell>
          <cell r="P1144">
            <v>45968</v>
          </cell>
          <cell r="Q1144">
            <v>45972</v>
          </cell>
          <cell r="R1144" t="str">
            <v>火</v>
          </cell>
          <cell r="S1144" t="str">
            <v>AM7:30</v>
          </cell>
        </row>
        <row r="1145">
          <cell r="A1145">
            <v>9295</v>
          </cell>
          <cell r="B1145" t="str">
            <v>山本 和弥</v>
          </cell>
          <cell r="C1145" t="str">
            <v>FUZILOGIX</v>
          </cell>
          <cell r="D1145">
            <v>45961</v>
          </cell>
          <cell r="E1145" t="str">
            <v>25T1011</v>
          </cell>
          <cell r="F1145" t="str">
            <v>I000014741</v>
          </cell>
          <cell r="J1145">
            <v>698725.4</v>
          </cell>
          <cell r="K1145">
            <v>64.16</v>
          </cell>
          <cell r="L1145" t="str">
            <v>WHSU8102237</v>
          </cell>
          <cell r="M1145">
            <v>4</v>
          </cell>
          <cell r="N1145" t="str">
            <v>40HQ</v>
          </cell>
          <cell r="O1145">
            <v>5</v>
          </cell>
          <cell r="P1145">
            <v>45965</v>
          </cell>
          <cell r="Q1145">
            <v>45967</v>
          </cell>
          <cell r="R1145" t="str">
            <v>木</v>
          </cell>
          <cell r="S1145" t="str">
            <v>AM8:00</v>
          </cell>
        </row>
        <row r="1146">
          <cell r="A1146">
            <v>9296</v>
          </cell>
          <cell r="B1146" t="str">
            <v>山本 和弥</v>
          </cell>
          <cell r="C1146" t="str">
            <v>FUZILOGIX</v>
          </cell>
          <cell r="D1146">
            <v>45965</v>
          </cell>
          <cell r="E1146" t="str">
            <v>25T1009</v>
          </cell>
          <cell r="F1146" t="str">
            <v>I000014733</v>
          </cell>
          <cell r="J1146">
            <v>616848.62</v>
          </cell>
          <cell r="K1146">
            <v>62.99</v>
          </cell>
          <cell r="L1146" t="str">
            <v>TIIU4734481</v>
          </cell>
          <cell r="M1146">
            <v>4</v>
          </cell>
          <cell r="N1146" t="str">
            <v>40HQ</v>
          </cell>
          <cell r="O1146">
            <v>2</v>
          </cell>
          <cell r="P1146">
            <v>45962</v>
          </cell>
          <cell r="Q1146">
            <v>45965</v>
          </cell>
          <cell r="R1146" t="str">
            <v>火</v>
          </cell>
          <cell r="S1146" t="str">
            <v>AM8:00</v>
          </cell>
        </row>
        <row r="1147">
          <cell r="A1147">
            <v>9297</v>
          </cell>
          <cell r="B1147" t="str">
            <v>山本 和弥</v>
          </cell>
          <cell r="C1147" t="str">
            <v>FUZILOGIX</v>
          </cell>
          <cell r="D1147">
            <v>45965</v>
          </cell>
          <cell r="E1147" t="str">
            <v>25T1012</v>
          </cell>
          <cell r="F1147" t="str">
            <v>I000014756</v>
          </cell>
          <cell r="J1147">
            <v>799613.34</v>
          </cell>
          <cell r="K1147">
            <v>66.45</v>
          </cell>
          <cell r="L1147" t="str">
            <v>BEAU5655435</v>
          </cell>
          <cell r="M1147">
            <v>4</v>
          </cell>
          <cell r="N1147" t="str">
            <v>40HQ</v>
          </cell>
          <cell r="O1147">
            <v>2</v>
          </cell>
          <cell r="P1147">
            <v>45968</v>
          </cell>
          <cell r="Q1147">
            <v>45972</v>
          </cell>
          <cell r="R1147" t="str">
            <v>火</v>
          </cell>
          <cell r="S1147" t="str">
            <v>AM8:00</v>
          </cell>
        </row>
        <row r="1148">
          <cell r="A1148">
            <v>9298</v>
          </cell>
          <cell r="B1148" t="str">
            <v>山本 和弥</v>
          </cell>
          <cell r="C1148" t="str">
            <v>FUZILOGIX</v>
          </cell>
          <cell r="D1148">
            <v>45965</v>
          </cell>
          <cell r="E1148" t="str">
            <v>25T1014</v>
          </cell>
          <cell r="F1148" t="str">
            <v>I000014765</v>
          </cell>
          <cell r="J1148">
            <v>919314.86</v>
          </cell>
          <cell r="K1148">
            <v>60.92</v>
          </cell>
          <cell r="L1148" t="str">
            <v>OOCU8878101</v>
          </cell>
          <cell r="M1148">
            <v>4</v>
          </cell>
          <cell r="N1148" t="str">
            <v>40HQ</v>
          </cell>
          <cell r="O1148">
            <v>2</v>
          </cell>
          <cell r="P1148">
            <v>45968</v>
          </cell>
          <cell r="Q1148">
            <v>45972</v>
          </cell>
          <cell r="R1148" t="str">
            <v>火</v>
          </cell>
          <cell r="S1148" t="str">
            <v>AM8:00</v>
          </cell>
        </row>
        <row r="1149">
          <cell r="A1149">
            <v>9299</v>
          </cell>
          <cell r="B1149" t="str">
            <v>梅田 勝太</v>
          </cell>
          <cell r="C1149" t="str">
            <v>YUSEN</v>
          </cell>
          <cell r="D1149">
            <v>45965</v>
          </cell>
          <cell r="E1149" t="str">
            <v>25K1006</v>
          </cell>
          <cell r="F1149" t="str">
            <v>I000014766</v>
          </cell>
          <cell r="G1149">
            <v>283500</v>
          </cell>
          <cell r="J1149">
            <v>1177385.06</v>
          </cell>
          <cell r="K1149">
            <v>61.11</v>
          </cell>
          <cell r="L1149" t="str">
            <v>IAAU1057617</v>
          </cell>
          <cell r="M1149">
            <v>18</v>
          </cell>
          <cell r="N1149" t="str">
            <v>40HQ</v>
          </cell>
          <cell r="O1149">
            <v>1</v>
          </cell>
          <cell r="P1149">
            <v>45974</v>
          </cell>
          <cell r="Q1149">
            <v>45978</v>
          </cell>
          <cell r="R1149" t="str">
            <v>月</v>
          </cell>
          <cell r="S1149" t="str">
            <v>AM8:30</v>
          </cell>
        </row>
        <row r="1150">
          <cell r="A1150">
            <v>9300</v>
          </cell>
          <cell r="B1150" t="str">
            <v>山本 和弥</v>
          </cell>
          <cell r="C1150" t="str">
            <v>FUZILOGIX</v>
          </cell>
          <cell r="D1150">
            <v>45965</v>
          </cell>
          <cell r="E1150" t="str">
            <v>25T1013</v>
          </cell>
          <cell r="F1150" t="str">
            <v>I000014767</v>
          </cell>
          <cell r="G1150">
            <v>1200</v>
          </cell>
          <cell r="J1150">
            <v>758429.44</v>
          </cell>
          <cell r="K1150">
            <v>58.61</v>
          </cell>
          <cell r="L1150" t="str">
            <v>WHSU8392202</v>
          </cell>
          <cell r="M1150">
            <v>4</v>
          </cell>
          <cell r="N1150" t="str">
            <v>40HQ</v>
          </cell>
          <cell r="O1150">
            <v>2</v>
          </cell>
          <cell r="P1150">
            <v>45971</v>
          </cell>
          <cell r="Q1150">
            <v>45973</v>
          </cell>
          <cell r="R1150" t="str">
            <v>水</v>
          </cell>
          <cell r="S1150" t="str">
            <v>AM8:00</v>
          </cell>
        </row>
        <row r="1151">
          <cell r="A1151">
            <v>9301</v>
          </cell>
          <cell r="B1151" t="str">
            <v>山本 和弥</v>
          </cell>
          <cell r="C1151" t="str">
            <v>TRADIA</v>
          </cell>
          <cell r="D1151">
            <v>45966</v>
          </cell>
          <cell r="E1151" t="str">
            <v>25P1004</v>
          </cell>
          <cell r="F1151" t="str">
            <v>I000014760</v>
          </cell>
          <cell r="J1151">
            <v>451615.14</v>
          </cell>
          <cell r="K1151">
            <v>64.38</v>
          </cell>
          <cell r="L1151" t="str">
            <v>TSSU5189329</v>
          </cell>
          <cell r="M1151">
            <v>14</v>
          </cell>
          <cell r="N1151" t="str">
            <v>40HQ</v>
          </cell>
          <cell r="O1151">
            <v>2</v>
          </cell>
          <cell r="P1151">
            <v>45973</v>
          </cell>
          <cell r="Q1151">
            <v>45975</v>
          </cell>
          <cell r="R1151" t="str">
            <v>金</v>
          </cell>
          <cell r="S1151" t="str">
            <v>AM9:30</v>
          </cell>
        </row>
        <row r="1152">
          <cell r="A1152">
            <v>9302</v>
          </cell>
          <cell r="B1152" t="str">
            <v>山本 和弥</v>
          </cell>
          <cell r="C1152" t="str">
            <v>TRADIA</v>
          </cell>
          <cell r="D1152">
            <v>45969</v>
          </cell>
          <cell r="E1152" t="str">
            <v>25P1101</v>
          </cell>
          <cell r="F1152" t="str">
            <v>I000014778</v>
          </cell>
          <cell r="J1152">
            <v>457025.76</v>
          </cell>
          <cell r="K1152">
            <v>65.42</v>
          </cell>
          <cell r="L1152" t="str">
            <v>TSSU5214503</v>
          </cell>
          <cell r="M1152">
            <v>11</v>
          </cell>
          <cell r="N1152" t="str">
            <v>40HQ</v>
          </cell>
          <cell r="O1152">
            <v>4</v>
          </cell>
          <cell r="P1152">
            <v>45975</v>
          </cell>
          <cell r="R1152" t="str">
            <v>火</v>
          </cell>
          <cell r="S1152" t="str">
            <v>AM7:30</v>
          </cell>
        </row>
        <row r="1153">
          <cell r="A1153">
            <v>9303</v>
          </cell>
          <cell r="B1153" t="str">
            <v>梅田 勝太</v>
          </cell>
          <cell r="C1153" t="str">
            <v>TRADIA</v>
          </cell>
          <cell r="D1153">
            <v>45971</v>
          </cell>
          <cell r="E1153" t="str">
            <v>25K1101</v>
          </cell>
          <cell r="F1153" t="str">
            <v>I000014780</v>
          </cell>
          <cell r="G1153">
            <v>21500</v>
          </cell>
          <cell r="J1153">
            <v>1082669.25</v>
          </cell>
          <cell r="K1153">
            <v>66.72</v>
          </cell>
          <cell r="L1153" t="str">
            <v>TIIU4293447</v>
          </cell>
          <cell r="M1153">
            <v>18</v>
          </cell>
          <cell r="N1153" t="str">
            <v>40HQ</v>
          </cell>
          <cell r="O1153">
            <v>1</v>
          </cell>
          <cell r="P1153">
            <v>45973</v>
          </cell>
          <cell r="Q1153">
            <v>45986</v>
          </cell>
          <cell r="R1153" t="str">
            <v>火</v>
          </cell>
          <cell r="S1153" t="str">
            <v>AM8:30</v>
          </cell>
        </row>
        <row r="1154">
          <cell r="A1154">
            <v>9304</v>
          </cell>
          <cell r="B1154" t="str">
            <v>梅田 勝太</v>
          </cell>
          <cell r="C1154" t="str">
            <v>TRADIA</v>
          </cell>
          <cell r="D1154">
            <v>45971</v>
          </cell>
          <cell r="E1154" t="str">
            <v>25K1103</v>
          </cell>
          <cell r="F1154" t="str">
            <v>I000014788</v>
          </cell>
          <cell r="J1154">
            <v>290233.2</v>
          </cell>
          <cell r="K1154">
            <v>27.89</v>
          </cell>
          <cell r="L1154" t="str">
            <v>RFSU3023964</v>
          </cell>
          <cell r="M1154">
            <v>18</v>
          </cell>
          <cell r="N1154" t="str">
            <v>20GP</v>
          </cell>
          <cell r="O1154">
            <v>2</v>
          </cell>
          <cell r="P1154">
            <v>45977</v>
          </cell>
          <cell r="Q1154">
            <v>45992</v>
          </cell>
          <cell r="R1154" t="str">
            <v>水</v>
          </cell>
          <cell r="S1154" t="str">
            <v>AM8:30</v>
          </cell>
        </row>
        <row r="1155">
          <cell r="A1155">
            <v>9305</v>
          </cell>
          <cell r="B1155" t="str">
            <v>梅田 勝太</v>
          </cell>
          <cell r="C1155" t="str">
            <v>TRADIA</v>
          </cell>
          <cell r="D1155">
            <v>45972</v>
          </cell>
          <cell r="E1155" t="str">
            <v>25K1102</v>
          </cell>
          <cell r="F1155" t="str">
            <v>I000014791</v>
          </cell>
          <cell r="G1155">
            <v>8500</v>
          </cell>
          <cell r="J1155">
            <v>987627.34</v>
          </cell>
          <cell r="K1155">
            <v>60.15</v>
          </cell>
          <cell r="L1155" t="str">
            <v>WHSU8152080</v>
          </cell>
          <cell r="M1155">
            <v>18</v>
          </cell>
          <cell r="N1155" t="str">
            <v>40HQ</v>
          </cell>
          <cell r="O1155">
            <v>1</v>
          </cell>
          <cell r="P1155">
            <v>45979</v>
          </cell>
          <cell r="Q1155">
            <v>45987</v>
          </cell>
          <cell r="R1155" t="str">
            <v>水</v>
          </cell>
          <cell r="S1155" t="str">
            <v>AM8:30</v>
          </cell>
        </row>
        <row r="1156">
          <cell r="A1156">
            <v>9306</v>
          </cell>
          <cell r="B1156" t="str">
            <v>山本 和弥</v>
          </cell>
          <cell r="C1156" t="str">
            <v>FUZILOGIX</v>
          </cell>
          <cell r="D1156">
            <v>45972</v>
          </cell>
          <cell r="E1156" t="str">
            <v>25T1101</v>
          </cell>
          <cell r="F1156" t="str">
            <v>I000014775</v>
          </cell>
          <cell r="G1156">
            <v>1200</v>
          </cell>
          <cell r="J1156">
            <v>514738.54</v>
          </cell>
          <cell r="K1156">
            <v>64.55</v>
          </cell>
          <cell r="L1156" t="str">
            <v>OOCU9758883</v>
          </cell>
          <cell r="M1156">
            <v>4</v>
          </cell>
          <cell r="N1156" t="str">
            <v>40HQ</v>
          </cell>
          <cell r="O1156">
            <v>2</v>
          </cell>
          <cell r="P1156">
            <v>45973</v>
          </cell>
          <cell r="Q1156">
            <v>45975</v>
          </cell>
          <cell r="R1156" t="str">
            <v>金</v>
          </cell>
          <cell r="S1156" t="str">
            <v>AM8:00</v>
          </cell>
        </row>
        <row r="1157">
          <cell r="A1157">
            <v>9307</v>
          </cell>
          <cell r="B1157" t="str">
            <v>山本 和弥</v>
          </cell>
          <cell r="C1157" t="str">
            <v>FUZILOGIX</v>
          </cell>
          <cell r="D1157">
            <v>45972</v>
          </cell>
          <cell r="E1157" t="str">
            <v>25T1103</v>
          </cell>
          <cell r="F1157" t="str">
            <v>I000014779</v>
          </cell>
          <cell r="J1157">
            <v>544451.04</v>
          </cell>
          <cell r="K1157">
            <v>64.42</v>
          </cell>
          <cell r="L1157" t="str">
            <v>OOCU7801342</v>
          </cell>
          <cell r="M1157">
            <v>4</v>
          </cell>
          <cell r="N1157" t="str">
            <v>40HQ</v>
          </cell>
          <cell r="O1157">
            <v>5</v>
          </cell>
          <cell r="P1157">
            <v>45977</v>
          </cell>
          <cell r="Q1157">
            <v>45979</v>
          </cell>
          <cell r="R1157" t="str">
            <v>火</v>
          </cell>
          <cell r="S1157" t="str">
            <v>AM8:00</v>
          </cell>
        </row>
        <row r="1158">
          <cell r="A1158">
            <v>9308</v>
          </cell>
          <cell r="B1158" t="str">
            <v>山本 和弥</v>
          </cell>
          <cell r="C1158" t="str">
            <v>FUZILOGIX</v>
          </cell>
          <cell r="D1158">
            <v>45972</v>
          </cell>
          <cell r="E1158" t="str">
            <v>25T1102</v>
          </cell>
          <cell r="F1158" t="str">
            <v>I000014790</v>
          </cell>
          <cell r="G1158">
            <v>1200</v>
          </cell>
          <cell r="J1158">
            <v>697411.26</v>
          </cell>
          <cell r="K1158">
            <v>63.41</v>
          </cell>
          <cell r="L1158" t="str">
            <v>WHSU8175418</v>
          </cell>
          <cell r="M1158">
            <v>4</v>
          </cell>
          <cell r="N1158" t="str">
            <v>40HQ</v>
          </cell>
          <cell r="O1158">
            <v>2</v>
          </cell>
          <cell r="P1158">
            <v>45978</v>
          </cell>
          <cell r="Q1158">
            <v>45980</v>
          </cell>
          <cell r="R1158" t="str">
            <v>水</v>
          </cell>
          <cell r="S1158" t="str">
            <v>AM8:00</v>
          </cell>
        </row>
        <row r="1159">
          <cell r="A1159">
            <v>9309</v>
          </cell>
          <cell r="B1159" t="str">
            <v>山本 和弥</v>
          </cell>
          <cell r="C1159" t="str">
            <v>FUZILOGIX</v>
          </cell>
          <cell r="D1159">
            <v>45973</v>
          </cell>
          <cell r="E1159" t="str">
            <v>25T1104</v>
          </cell>
          <cell r="F1159" t="str">
            <v>I000014800</v>
          </cell>
          <cell r="J1159">
            <v>664762.72</v>
          </cell>
          <cell r="K1159">
            <v>61.63</v>
          </cell>
          <cell r="L1159" t="str">
            <v>WHSU5184078</v>
          </cell>
          <cell r="M1159">
            <v>4</v>
          </cell>
          <cell r="N1159" t="str">
            <v>40HQ</v>
          </cell>
          <cell r="O1159">
            <v>2</v>
          </cell>
          <cell r="P1159">
            <v>45985</v>
          </cell>
          <cell r="Q1159">
            <v>45987</v>
          </cell>
          <cell r="R1159" t="str">
            <v>水</v>
          </cell>
          <cell r="S1159" t="str">
            <v>AM8:00</v>
          </cell>
        </row>
        <row r="1160">
          <cell r="A1160">
            <v>9310</v>
          </cell>
          <cell r="B1160" t="str">
            <v>山本 和弥</v>
          </cell>
          <cell r="C1160" t="str">
            <v>FUZILOGIX</v>
          </cell>
          <cell r="D1160">
            <v>45973</v>
          </cell>
          <cell r="E1160" t="str">
            <v>25T1105</v>
          </cell>
          <cell r="F1160" t="str">
            <v>I000014785</v>
          </cell>
          <cell r="J1160">
            <v>284930</v>
          </cell>
          <cell r="K1160">
            <v>29.63</v>
          </cell>
          <cell r="M1160">
            <v>4</v>
          </cell>
          <cell r="P1160">
            <v>45967</v>
          </cell>
          <cell r="Q1160">
            <v>45971</v>
          </cell>
          <cell r="R1160" t="str">
            <v>月</v>
          </cell>
          <cell r="S1160" t="str">
            <v>AM8:00</v>
          </cell>
        </row>
        <row r="1161">
          <cell r="A1161">
            <v>9311</v>
          </cell>
          <cell r="B1161" t="str">
            <v>山本 和弥</v>
          </cell>
          <cell r="C1161" t="str">
            <v>FUZILOGIX</v>
          </cell>
          <cell r="D1161">
            <v>45978</v>
          </cell>
          <cell r="E1161" t="str">
            <v>25T1106</v>
          </cell>
          <cell r="F1161" t="str">
            <v>I000014807</v>
          </cell>
          <cell r="J1161">
            <v>765845</v>
          </cell>
          <cell r="K1161">
            <v>63</v>
          </cell>
          <cell r="L1161" t="str">
            <v>WHSU6944051</v>
          </cell>
          <cell r="M1161">
            <v>4</v>
          </cell>
          <cell r="N1161" t="str">
            <v>40HQ</v>
          </cell>
          <cell r="O1161">
            <v>5</v>
          </cell>
          <cell r="P1161">
            <v>45983</v>
          </cell>
          <cell r="Q1161">
            <v>45986</v>
          </cell>
          <cell r="R1161" t="str">
            <v>火</v>
          </cell>
          <cell r="S1161" t="str">
            <v>AM8:00</v>
          </cell>
        </row>
        <row r="1162">
          <cell r="A1162">
            <v>9312</v>
          </cell>
          <cell r="B1162" t="str">
            <v>山本 和弥</v>
          </cell>
          <cell r="C1162" t="str">
            <v>FUZILOGIX</v>
          </cell>
          <cell r="D1162">
            <v>45978</v>
          </cell>
          <cell r="E1162" t="str">
            <v>25T1107</v>
          </cell>
          <cell r="F1162" t="str">
            <v>I000014809</v>
          </cell>
          <cell r="J1162">
            <v>610460.5</v>
          </cell>
          <cell r="K1162">
            <v>63.22</v>
          </cell>
          <cell r="L1162" t="str">
            <v>WHSU8002074</v>
          </cell>
          <cell r="M1162">
            <v>4</v>
          </cell>
          <cell r="N1162" t="str">
            <v>40HQ</v>
          </cell>
          <cell r="O1162">
            <v>5</v>
          </cell>
          <cell r="P1162">
            <v>45983</v>
          </cell>
          <cell r="Q1162">
            <v>45986</v>
          </cell>
          <cell r="R1162" t="str">
            <v>火</v>
          </cell>
          <cell r="S1162" t="str">
            <v>AM8:00</v>
          </cell>
        </row>
        <row r="1163">
          <cell r="A1163">
            <v>9313</v>
          </cell>
          <cell r="B1163" t="str">
            <v>山本 和弥</v>
          </cell>
          <cell r="C1163" t="str">
            <v>FUZILOGIX</v>
          </cell>
          <cell r="D1163">
            <v>45979</v>
          </cell>
          <cell r="E1163" t="str">
            <v>25T1108</v>
          </cell>
          <cell r="F1163" t="str">
            <v>I000014815</v>
          </cell>
          <cell r="J1163">
            <v>696650.98</v>
          </cell>
          <cell r="K1163">
            <v>62.64</v>
          </cell>
          <cell r="L1163" t="str">
            <v>WHSU6723739</v>
          </cell>
          <cell r="M1163">
            <v>4</v>
          </cell>
          <cell r="N1163" t="str">
            <v>40HQ</v>
          </cell>
          <cell r="O1163">
            <v>2</v>
          </cell>
          <cell r="P1163">
            <v>45985</v>
          </cell>
          <cell r="Q1163">
            <v>45987</v>
          </cell>
          <cell r="R1163" t="str">
            <v>水</v>
          </cell>
          <cell r="S1163" t="str">
            <v>AM8:00</v>
          </cell>
        </row>
        <row r="1164">
          <cell r="A1164">
            <v>9314</v>
          </cell>
          <cell r="B1164" t="str">
            <v>山本 和弥</v>
          </cell>
          <cell r="C1164" t="str">
            <v>FUZILOGIX</v>
          </cell>
          <cell r="D1164">
            <v>45979</v>
          </cell>
          <cell r="E1164" t="str">
            <v>25T1109</v>
          </cell>
          <cell r="F1164" t="str">
            <v>I000014818</v>
          </cell>
          <cell r="J1164">
            <v>674575</v>
          </cell>
          <cell r="K1164">
            <v>63.79</v>
          </cell>
          <cell r="L1164" t="str">
            <v>WHSU6460782</v>
          </cell>
          <cell r="M1164">
            <v>4</v>
          </cell>
          <cell r="N1164" t="str">
            <v>40HQ</v>
          </cell>
          <cell r="O1164">
            <v>2</v>
          </cell>
          <cell r="P1164">
            <v>45985</v>
          </cell>
          <cell r="Q1164">
            <v>45987</v>
          </cell>
          <cell r="R1164" t="str">
            <v>水</v>
          </cell>
          <cell r="S1164" t="str">
            <v>AM8:00</v>
          </cell>
        </row>
        <row r="1165">
          <cell r="A1165">
            <v>9315</v>
          </cell>
          <cell r="B1165" t="str">
            <v>山本 和弥</v>
          </cell>
          <cell r="C1165" t="str">
            <v>TRADIA</v>
          </cell>
          <cell r="D1165">
            <v>45979</v>
          </cell>
          <cell r="E1165" t="str">
            <v>25P1102</v>
          </cell>
          <cell r="F1165" t="str">
            <v>I000014793</v>
          </cell>
          <cell r="J1165">
            <v>456238.2</v>
          </cell>
          <cell r="K1165">
            <v>66.45</v>
          </cell>
          <cell r="L1165" t="str">
            <v>WHSU6298943</v>
          </cell>
          <cell r="M1165">
            <v>14</v>
          </cell>
          <cell r="N1165" t="str">
            <v>40HQ</v>
          </cell>
          <cell r="O1165">
            <v>2</v>
          </cell>
          <cell r="P1165">
            <v>45979</v>
          </cell>
          <cell r="Q1165">
            <v>45988</v>
          </cell>
          <cell r="R1165" t="str">
            <v>木</v>
          </cell>
          <cell r="S1165" t="str">
            <v>AM9:30</v>
          </cell>
        </row>
        <row r="1166">
          <cell r="A1166">
            <v>9316</v>
          </cell>
          <cell r="B1166" t="str">
            <v>山本 和弥</v>
          </cell>
          <cell r="C1166" t="str">
            <v>TRADIA</v>
          </cell>
          <cell r="D1166">
            <v>45979</v>
          </cell>
          <cell r="E1166" t="str">
            <v>25P1103</v>
          </cell>
          <cell r="F1166" t="str">
            <v>I000014814</v>
          </cell>
          <cell r="G1166">
            <v>9800</v>
          </cell>
          <cell r="J1166">
            <v>435487.68</v>
          </cell>
          <cell r="K1166">
            <v>64.42</v>
          </cell>
          <cell r="L1166" t="str">
            <v>WHSU8011610</v>
          </cell>
          <cell r="M1166">
            <v>11</v>
          </cell>
          <cell r="N1166" t="str">
            <v>40HQ</v>
          </cell>
          <cell r="O1166">
            <v>4</v>
          </cell>
          <cell r="P1166">
            <v>45987</v>
          </cell>
          <cell r="Q1166">
            <v>45992</v>
          </cell>
          <cell r="R1166" t="str">
            <v>月</v>
          </cell>
          <cell r="S1166" t="str">
            <v>AM7:30</v>
          </cell>
        </row>
        <row r="1167">
          <cell r="A1167">
            <v>9317</v>
          </cell>
          <cell r="B1167" t="str">
            <v>山本 和弥</v>
          </cell>
          <cell r="C1167" t="str">
            <v>FUZILOGIX</v>
          </cell>
          <cell r="D1167">
            <v>45986</v>
          </cell>
          <cell r="E1167" t="str">
            <v>25T1110</v>
          </cell>
          <cell r="F1167" t="str">
            <v>I000014832</v>
          </cell>
          <cell r="J1167">
            <v>661861.19999999995</v>
          </cell>
          <cell r="K1167">
            <v>62.8</v>
          </cell>
          <cell r="L1167" t="str">
            <v>WHLU5702865</v>
          </cell>
          <cell r="M1167">
            <v>4</v>
          </cell>
          <cell r="N1167" t="str">
            <v>40HQ</v>
          </cell>
          <cell r="O1167">
            <v>2</v>
          </cell>
          <cell r="P1167">
            <v>45987</v>
          </cell>
          <cell r="Q1167">
            <v>45989</v>
          </cell>
          <cell r="R1167" t="str">
            <v>金</v>
          </cell>
          <cell r="S1167" t="str">
            <v>AM8:00</v>
          </cell>
        </row>
        <row r="1168">
          <cell r="A1168">
            <v>9318</v>
          </cell>
          <cell r="B1168" t="str">
            <v>山本 和弥</v>
          </cell>
          <cell r="C1168" t="str">
            <v>FUZILOGIX</v>
          </cell>
          <cell r="D1168">
            <v>45986</v>
          </cell>
          <cell r="E1168" t="str">
            <v>25T1117</v>
          </cell>
          <cell r="F1168" t="str">
            <v>I000014831</v>
          </cell>
          <cell r="J1168">
            <v>246055.8</v>
          </cell>
          <cell r="K1168">
            <v>33.46</v>
          </cell>
          <cell r="L1168" t="str">
            <v>WHSU6259016</v>
          </cell>
          <cell r="M1168">
            <v>4</v>
          </cell>
          <cell r="N1168" t="str">
            <v>40HQ</v>
          </cell>
          <cell r="O1168">
            <v>2</v>
          </cell>
          <cell r="P1168">
            <v>45987</v>
          </cell>
          <cell r="Q1168">
            <v>45989</v>
          </cell>
          <cell r="R1168" t="str">
            <v>金</v>
          </cell>
          <cell r="S1168" t="str">
            <v>AM8:00</v>
          </cell>
        </row>
        <row r="1169">
          <cell r="A1169">
            <v>9319</v>
          </cell>
          <cell r="B1169" t="str">
            <v>山本 和弥</v>
          </cell>
          <cell r="C1169" t="str">
            <v>FUZILOGIX</v>
          </cell>
          <cell r="D1169">
            <v>45986</v>
          </cell>
          <cell r="E1169" t="str">
            <v>25T1111</v>
          </cell>
          <cell r="F1169" t="str">
            <v>I000014837</v>
          </cell>
          <cell r="J1169">
            <v>675084.2</v>
          </cell>
          <cell r="K1169">
            <v>64.95</v>
          </cell>
          <cell r="L1169" t="str">
            <v>OOCU6298249</v>
          </cell>
          <cell r="M1169">
            <v>4</v>
          </cell>
          <cell r="N1169" t="str">
            <v>40HQ</v>
          </cell>
          <cell r="O1169">
            <v>2</v>
          </cell>
          <cell r="P1169">
            <v>45994</v>
          </cell>
          <cell r="Q1169">
            <v>45996</v>
          </cell>
          <cell r="R1169" t="str">
            <v>金</v>
          </cell>
          <cell r="S1169" t="str">
            <v>AM8:00</v>
          </cell>
        </row>
        <row r="1170">
          <cell r="A1170">
            <v>9320</v>
          </cell>
          <cell r="B1170" t="str">
            <v>山本 和弥</v>
          </cell>
          <cell r="C1170" t="str">
            <v>FUZILOGIX</v>
          </cell>
          <cell r="D1170">
            <v>45986</v>
          </cell>
          <cell r="E1170" t="str">
            <v>25T1112</v>
          </cell>
          <cell r="F1170" t="str">
            <v>I000014844</v>
          </cell>
          <cell r="J1170">
            <v>602396.68000000005</v>
          </cell>
          <cell r="K1170">
            <v>63.28</v>
          </cell>
          <cell r="L1170" t="str">
            <v>WHSU6582395</v>
          </cell>
          <cell r="M1170">
            <v>4</v>
          </cell>
          <cell r="N1170" t="str">
            <v>40HQ</v>
          </cell>
          <cell r="O1170">
            <v>5</v>
          </cell>
          <cell r="P1170">
            <v>45992</v>
          </cell>
          <cell r="Q1170">
            <v>45994</v>
          </cell>
          <cell r="R1170" t="str">
            <v>水</v>
          </cell>
          <cell r="S1170" t="str">
            <v>AM8:00</v>
          </cell>
        </row>
        <row r="1171">
          <cell r="A1171">
            <v>9321</v>
          </cell>
          <cell r="B1171" t="str">
            <v>梅田 勝太</v>
          </cell>
          <cell r="C1171" t="str">
            <v>TRADIA</v>
          </cell>
          <cell r="D1171">
            <v>45988</v>
          </cell>
          <cell r="E1171" t="str">
            <v>25K1104</v>
          </cell>
          <cell r="F1171" t="str">
            <v>I000014811</v>
          </cell>
          <cell r="J1171">
            <v>804186.48</v>
          </cell>
          <cell r="K1171">
            <v>54.97</v>
          </cell>
          <cell r="L1171" t="str">
            <v>FSCU5083202</v>
          </cell>
          <cell r="M1171">
            <v>18</v>
          </cell>
          <cell r="N1171" t="str">
            <v>40HQ</v>
          </cell>
          <cell r="O1171">
            <v>1</v>
          </cell>
          <cell r="P1171">
            <v>45978</v>
          </cell>
          <cell r="Q1171">
            <v>45993</v>
          </cell>
          <cell r="R1171" t="str">
            <v>火</v>
          </cell>
          <cell r="S1171" t="str">
            <v>AM8:30</v>
          </cell>
        </row>
        <row r="1172">
          <cell r="A1172">
            <v>9322</v>
          </cell>
          <cell r="B1172" t="str">
            <v>梅田 勝太</v>
          </cell>
          <cell r="C1172" t="str">
            <v>YUSEN</v>
          </cell>
          <cell r="D1172">
            <v>45988</v>
          </cell>
          <cell r="E1172" t="str">
            <v>25K1105</v>
          </cell>
          <cell r="F1172" t="str">
            <v>I000014819</v>
          </cell>
          <cell r="J1172">
            <v>327040</v>
          </cell>
          <cell r="K1172">
            <v>25.42</v>
          </cell>
          <cell r="L1172" t="str">
            <v>WHSU0274230</v>
          </cell>
          <cell r="M1172">
            <v>18</v>
          </cell>
          <cell r="N1172" t="str">
            <v>20GP</v>
          </cell>
          <cell r="O1172">
            <v>1</v>
          </cell>
          <cell r="P1172">
            <v>45981</v>
          </cell>
          <cell r="Q1172">
            <v>45999</v>
          </cell>
          <cell r="R1172" t="str">
            <v>月</v>
          </cell>
          <cell r="S1172" t="str">
            <v>AM8:30</v>
          </cell>
        </row>
        <row r="1173">
          <cell r="A1173">
            <v>9323</v>
          </cell>
          <cell r="B1173" t="str">
            <v>梅田 勝太</v>
          </cell>
          <cell r="C1173" t="str">
            <v>YUSEN</v>
          </cell>
          <cell r="D1173">
            <v>45988</v>
          </cell>
          <cell r="E1173" t="str">
            <v>25K1106</v>
          </cell>
          <cell r="F1173" t="str">
            <v>I000014824</v>
          </cell>
          <cell r="J1173">
            <v>987055.56</v>
          </cell>
          <cell r="K1173">
            <v>61.65</v>
          </cell>
          <cell r="L1173" t="str">
            <v>WHSU6950183</v>
          </cell>
          <cell r="M1173">
            <v>18</v>
          </cell>
          <cell r="N1173" t="str">
            <v>40HQ</v>
          </cell>
          <cell r="O1173">
            <v>1</v>
          </cell>
          <cell r="P1173">
            <v>45981</v>
          </cell>
          <cell r="Q1173">
            <v>46003</v>
          </cell>
          <cell r="R1173" t="str">
            <v>金</v>
          </cell>
          <cell r="S1173" t="str">
            <v>AM8:30</v>
          </cell>
        </row>
        <row r="1174">
          <cell r="A1174">
            <v>9324</v>
          </cell>
          <cell r="B1174" t="str">
            <v>山本 和弥</v>
          </cell>
          <cell r="C1174" t="str">
            <v>TRADIA</v>
          </cell>
          <cell r="D1174">
            <v>45988</v>
          </cell>
          <cell r="E1174" t="str">
            <v>25P1104</v>
          </cell>
          <cell r="F1174" t="str">
            <v>I000014828</v>
          </cell>
          <cell r="J1174">
            <v>456388.64</v>
          </cell>
          <cell r="K1174">
            <v>65.87</v>
          </cell>
          <cell r="L1174" t="str">
            <v>TSSU5248099</v>
          </cell>
          <cell r="M1174">
            <v>14</v>
          </cell>
          <cell r="N1174" t="str">
            <v>40HQ</v>
          </cell>
          <cell r="O1174">
            <v>2</v>
          </cell>
          <cell r="P1174">
            <v>45989</v>
          </cell>
          <cell r="Q1174">
            <v>46000</v>
          </cell>
          <cell r="R1174" t="str">
            <v>火</v>
          </cell>
          <cell r="S1174" t="str">
            <v>AM9:30</v>
          </cell>
        </row>
        <row r="1175">
          <cell r="A1175">
            <v>9325</v>
          </cell>
          <cell r="B1175" t="str">
            <v>山本 和弥</v>
          </cell>
          <cell r="C1175" t="str">
            <v>TRADIA</v>
          </cell>
          <cell r="D1175">
            <v>45988</v>
          </cell>
          <cell r="E1175" t="str">
            <v>25P1105</v>
          </cell>
          <cell r="F1175" t="str">
            <v>I000014855</v>
          </cell>
          <cell r="J1175">
            <v>419317.32</v>
          </cell>
          <cell r="K1175">
            <v>62.83</v>
          </cell>
          <cell r="L1175" t="str">
            <v>TLLU8816928</v>
          </cell>
          <cell r="M1175">
            <v>11</v>
          </cell>
          <cell r="N1175" t="str">
            <v>40HQ</v>
          </cell>
          <cell r="O1175">
            <v>4</v>
          </cell>
          <cell r="P1175">
            <v>45999</v>
          </cell>
          <cell r="Q1175">
            <v>46001</v>
          </cell>
          <cell r="R1175" t="str">
            <v>水</v>
          </cell>
          <cell r="S1175" t="str">
            <v>AM7:30</v>
          </cell>
        </row>
        <row r="1176">
          <cell r="A1176">
            <v>9326</v>
          </cell>
          <cell r="B1176" t="str">
            <v>山本 和弥</v>
          </cell>
          <cell r="C1176" t="str">
            <v>TRADIA</v>
          </cell>
          <cell r="D1176">
            <v>45989</v>
          </cell>
          <cell r="E1176" t="str">
            <v>25P1106</v>
          </cell>
          <cell r="F1176" t="str">
            <v>I000014862</v>
          </cell>
          <cell r="J1176">
            <v>465623.28</v>
          </cell>
          <cell r="K1176">
            <v>65.14</v>
          </cell>
          <cell r="L1176" t="str">
            <v>TSSU5035719</v>
          </cell>
          <cell r="M1176">
            <v>14</v>
          </cell>
          <cell r="N1176" t="str">
            <v>40HQ</v>
          </cell>
          <cell r="O1176">
            <v>2</v>
          </cell>
          <cell r="P1176">
            <v>45996</v>
          </cell>
          <cell r="Q1176">
            <v>46002</v>
          </cell>
          <cell r="R1176" t="str">
            <v>木</v>
          </cell>
          <cell r="S1176" t="str">
            <v>AM9:30</v>
          </cell>
        </row>
        <row r="1177">
          <cell r="A1177">
            <v>9327</v>
          </cell>
          <cell r="B1177" t="str">
            <v>山本 和弥</v>
          </cell>
          <cell r="C1177" t="str">
            <v>FUZILOGIX</v>
          </cell>
          <cell r="D1177">
            <v>45993</v>
          </cell>
          <cell r="E1177" t="str">
            <v>25T1113</v>
          </cell>
          <cell r="F1177" t="str">
            <v>I000014849</v>
          </cell>
          <cell r="J1177">
            <v>898379.26</v>
          </cell>
          <cell r="K1177">
            <v>55.03</v>
          </cell>
          <cell r="L1177" t="str">
            <v>WHSU6062496</v>
          </cell>
          <cell r="M1177">
            <v>4</v>
          </cell>
          <cell r="N1177" t="str">
            <v>40HQ</v>
          </cell>
          <cell r="O1177">
            <v>2</v>
          </cell>
          <cell r="P1177">
            <v>45999</v>
          </cell>
          <cell r="Q1177">
            <v>46001</v>
          </cell>
          <cell r="R1177" t="str">
            <v>水</v>
          </cell>
          <cell r="S1177" t="str">
            <v>AM8:00</v>
          </cell>
        </row>
        <row r="1178">
          <cell r="A1178">
            <v>9328</v>
          </cell>
          <cell r="B1178" t="str">
            <v>山本 和弥</v>
          </cell>
          <cell r="C1178" t="str">
            <v>FUZILOGIX</v>
          </cell>
          <cell r="D1178">
            <v>45993</v>
          </cell>
          <cell r="E1178" t="str">
            <v>25T1114</v>
          </cell>
          <cell r="F1178" t="str">
            <v>I000014854</v>
          </cell>
          <cell r="J1178">
            <v>600366.34</v>
          </cell>
          <cell r="K1178">
            <v>62.3</v>
          </cell>
          <cell r="L1178" t="str">
            <v>WHSU8463327</v>
          </cell>
          <cell r="M1178">
            <v>4</v>
          </cell>
          <cell r="N1178" t="str">
            <v>40HQ</v>
          </cell>
          <cell r="O1178">
            <v>2</v>
          </cell>
          <cell r="P1178">
            <v>45999</v>
          </cell>
          <cell r="Q1178">
            <v>46001</v>
          </cell>
          <cell r="R1178" t="str">
            <v>水</v>
          </cell>
          <cell r="S1178" t="str">
            <v>AM8:00</v>
          </cell>
        </row>
        <row r="1179">
          <cell r="A1179">
            <v>9329</v>
          </cell>
          <cell r="B1179" t="str">
            <v>山本 和弥</v>
          </cell>
          <cell r="C1179" t="str">
            <v>FUZILOGIX</v>
          </cell>
          <cell r="D1179">
            <v>45993</v>
          </cell>
          <cell r="E1179" t="str">
            <v>25T1115</v>
          </cell>
          <cell r="F1179" t="str">
            <v>I000014871</v>
          </cell>
          <cell r="J1179">
            <v>542023.76</v>
          </cell>
          <cell r="K1179">
            <v>65.28</v>
          </cell>
          <cell r="L1179" t="str">
            <v>WHSU8231018</v>
          </cell>
          <cell r="M1179">
            <v>4</v>
          </cell>
          <cell r="N1179" t="str">
            <v>40HQ</v>
          </cell>
          <cell r="O1179">
            <v>5</v>
          </cell>
          <cell r="P1179">
            <v>45999</v>
          </cell>
          <cell r="Q1179">
            <v>46001</v>
          </cell>
          <cell r="R1179" t="str">
            <v>水</v>
          </cell>
          <cell r="S1179" t="str">
            <v>AM8:00</v>
          </cell>
        </row>
        <row r="1180">
          <cell r="A1180">
            <v>9330</v>
          </cell>
          <cell r="B1180" t="str">
            <v>山本 和弥</v>
          </cell>
          <cell r="C1180" t="str">
            <v>FUZILOGIX</v>
          </cell>
          <cell r="D1180">
            <v>45993</v>
          </cell>
          <cell r="E1180" t="str">
            <v>25T1116</v>
          </cell>
          <cell r="F1180" t="str">
            <v>I000014864</v>
          </cell>
          <cell r="J1180">
            <v>716895.8</v>
          </cell>
          <cell r="K1180">
            <v>65.56</v>
          </cell>
          <cell r="L1180" t="str">
            <v>WHSU5590101</v>
          </cell>
          <cell r="M1180">
            <v>4</v>
          </cell>
          <cell r="N1180" t="str">
            <v>40HQ</v>
          </cell>
          <cell r="O1180">
            <v>2</v>
          </cell>
          <cell r="P1180">
            <v>45999</v>
          </cell>
          <cell r="Q1180">
            <v>46001</v>
          </cell>
          <cell r="R1180" t="str">
            <v>水</v>
          </cell>
          <cell r="S1180" t="str">
            <v>AM8:00</v>
          </cell>
        </row>
        <row r="1181">
          <cell r="A1181">
            <v>9331</v>
          </cell>
          <cell r="B1181" t="str">
            <v>山本 和弥</v>
          </cell>
          <cell r="C1181" t="str">
            <v>FUZILOGIX</v>
          </cell>
          <cell r="D1181">
            <v>45993</v>
          </cell>
          <cell r="E1181" t="str">
            <v>25T1118</v>
          </cell>
          <cell r="F1181" t="str">
            <v>I000014873</v>
          </cell>
          <cell r="J1181">
            <v>689336.38</v>
          </cell>
          <cell r="K1181">
            <v>65.27</v>
          </cell>
          <cell r="L1181" t="str">
            <v>WHSU6573897</v>
          </cell>
          <cell r="M1181">
            <v>4</v>
          </cell>
          <cell r="N1181" t="str">
            <v>40HQ</v>
          </cell>
          <cell r="O1181">
            <v>2</v>
          </cell>
          <cell r="P1181">
            <v>45999</v>
          </cell>
          <cell r="Q1181">
            <v>46001</v>
          </cell>
          <cell r="R1181" t="str">
            <v>水</v>
          </cell>
          <cell r="S1181" t="str">
            <v>AM8:00</v>
          </cell>
        </row>
        <row r="1182">
          <cell r="A1182">
            <v>9332</v>
          </cell>
          <cell r="B1182" t="str">
            <v>山本 和弥</v>
          </cell>
          <cell r="C1182" t="str">
            <v>TRADIA</v>
          </cell>
          <cell r="D1182">
            <v>45995</v>
          </cell>
          <cell r="E1182" t="str">
            <v>25P1201</v>
          </cell>
          <cell r="F1182" t="str">
            <v>I000014874</v>
          </cell>
          <cell r="J1182">
            <v>445898.76</v>
          </cell>
          <cell r="K1182">
            <v>63.99</v>
          </cell>
          <cell r="L1182" t="str">
            <v>TSSU5288321</v>
          </cell>
          <cell r="M1182">
            <v>11</v>
          </cell>
          <cell r="N1182" t="str">
            <v>40HQ</v>
          </cell>
          <cell r="O1182">
            <v>4</v>
          </cell>
          <cell r="P1182">
            <v>46003</v>
          </cell>
          <cell r="Q1182">
            <v>46007</v>
          </cell>
          <cell r="R1182" t="str">
            <v>火</v>
          </cell>
          <cell r="S1182" t="str">
            <v>AM7:30</v>
          </cell>
        </row>
        <row r="1183">
          <cell r="A1183">
            <v>9333</v>
          </cell>
          <cell r="B1183" t="str">
            <v>梅田 勝太</v>
          </cell>
          <cell r="C1183" t="str">
            <v>TRADIA</v>
          </cell>
          <cell r="D1183">
            <v>45999</v>
          </cell>
          <cell r="E1183" t="str">
            <v>25Q1101</v>
          </cell>
          <cell r="F1183" t="str">
            <v>I000014840</v>
          </cell>
          <cell r="J1183">
            <v>1072276.8</v>
          </cell>
          <cell r="K1183">
            <v>33.36</v>
          </cell>
          <cell r="L1183" t="str">
            <v>TLLU8599782</v>
          </cell>
          <cell r="M1183">
            <v>19</v>
          </cell>
          <cell r="N1183" t="str">
            <v>40HQ</v>
          </cell>
          <cell r="O1183">
            <v>4</v>
          </cell>
          <cell r="P1183">
            <v>45995</v>
          </cell>
          <cell r="Q1183">
            <v>45999</v>
          </cell>
          <cell r="R1183" t="str">
            <v>月</v>
          </cell>
          <cell r="S1183" t="str">
            <v>AM9:00</v>
          </cell>
        </row>
        <row r="1184">
          <cell r="A1184">
            <v>9334</v>
          </cell>
          <cell r="B1184" t="str">
            <v>梅田 勝太</v>
          </cell>
          <cell r="C1184" t="str">
            <v>YUSEN</v>
          </cell>
          <cell r="D1184">
            <v>45999</v>
          </cell>
          <cell r="E1184" t="str">
            <v>25Q1102</v>
          </cell>
          <cell r="F1184" t="str">
            <v>I000014870</v>
          </cell>
          <cell r="G1184">
            <v>1613250</v>
          </cell>
          <cell r="J1184">
            <v>320925.59999999998</v>
          </cell>
          <cell r="K1184">
            <v>16.100000000000001</v>
          </cell>
          <cell r="L1184" t="str">
            <v>WHSU0089015</v>
          </cell>
          <cell r="M1184">
            <v>19</v>
          </cell>
          <cell r="N1184" t="str">
            <v>20GP</v>
          </cell>
          <cell r="O1184">
            <v>4</v>
          </cell>
          <cell r="P1184">
            <v>46000</v>
          </cell>
          <cell r="Q1184">
            <v>46010</v>
          </cell>
          <cell r="R1184" t="str">
            <v>金</v>
          </cell>
          <cell r="S1184" t="str">
            <v>AM9:00</v>
          </cell>
        </row>
        <row r="1185">
          <cell r="A1185">
            <v>9335</v>
          </cell>
          <cell r="B1185" t="str">
            <v>山本 和弥</v>
          </cell>
          <cell r="C1185" t="str">
            <v>TRADIA</v>
          </cell>
          <cell r="D1185">
            <v>46000</v>
          </cell>
          <cell r="E1185" t="str">
            <v>25P1150</v>
          </cell>
          <cell r="F1185" t="str">
            <v>I200000038</v>
          </cell>
          <cell r="J1185">
            <v>23377.5</v>
          </cell>
          <cell r="K1185">
            <v>0.49099999999999999</v>
          </cell>
          <cell r="L1185" t="str">
            <v>TSSU5273980</v>
          </cell>
          <cell r="M1185">
            <v>6</v>
          </cell>
          <cell r="O1185">
            <v>2</v>
          </cell>
          <cell r="P1185">
            <v>45992</v>
          </cell>
          <cell r="Q1185">
            <v>45999</v>
          </cell>
          <cell r="R1185" t="str">
            <v>月</v>
          </cell>
          <cell r="S1185" t="str">
            <v>AM9:30</v>
          </cell>
        </row>
        <row r="1186">
          <cell r="A1186">
            <v>9336</v>
          </cell>
          <cell r="B1186" t="str">
            <v>山本　和弥</v>
          </cell>
          <cell r="C1186" t="str">
            <v>FUZILOGIX</v>
          </cell>
          <cell r="D1186">
            <v>46000</v>
          </cell>
          <cell r="E1186" t="str">
            <v>25T1201</v>
          </cell>
          <cell r="F1186" t="str">
            <v>I000014890</v>
          </cell>
          <cell r="J1186">
            <v>635385.59999999998</v>
          </cell>
          <cell r="K1186">
            <v>62.82</v>
          </cell>
          <cell r="L1186" t="str">
            <v>WHSU6477743</v>
          </cell>
          <cell r="M1186">
            <v>4</v>
          </cell>
          <cell r="N1186" t="str">
            <v>40HQ</v>
          </cell>
          <cell r="O1186">
            <v>5</v>
          </cell>
          <cell r="P1186">
            <v>46003</v>
          </cell>
          <cell r="Q1186">
            <v>46007</v>
          </cell>
          <cell r="R1186" t="str">
            <v>火</v>
          </cell>
          <cell r="S1186" t="str">
            <v>AM8:00</v>
          </cell>
        </row>
        <row r="1187">
          <cell r="A1187">
            <v>9337</v>
          </cell>
          <cell r="B1187" t="str">
            <v>山本　和弥</v>
          </cell>
          <cell r="C1187" t="str">
            <v>FUZILOGIX</v>
          </cell>
          <cell r="D1187">
            <v>46000</v>
          </cell>
          <cell r="E1187" t="str">
            <v>25T1202</v>
          </cell>
          <cell r="F1187" t="str">
            <v>I000014881</v>
          </cell>
          <cell r="J1187">
            <v>583698.57999999996</v>
          </cell>
          <cell r="K1187">
            <v>63.07</v>
          </cell>
          <cell r="L1187" t="str">
            <v>WHSU5683550</v>
          </cell>
          <cell r="M1187">
            <v>4</v>
          </cell>
          <cell r="N1187" t="str">
            <v>40HQ</v>
          </cell>
          <cell r="O1187">
            <v>2</v>
          </cell>
          <cell r="P1187">
            <v>46002</v>
          </cell>
          <cell r="Q1187">
            <v>46006</v>
          </cell>
          <cell r="R1187" t="str">
            <v>月</v>
          </cell>
          <cell r="S1187" t="str">
            <v>AM8:00</v>
          </cell>
        </row>
        <row r="1188">
          <cell r="A1188">
            <v>9338</v>
          </cell>
          <cell r="B1188" t="str">
            <v>山本　和弥</v>
          </cell>
          <cell r="C1188" t="str">
            <v>FUZILOGIX</v>
          </cell>
          <cell r="D1188">
            <v>46001</v>
          </cell>
          <cell r="E1188" t="str">
            <v>25T1204</v>
          </cell>
          <cell r="F1188" t="str">
            <v>I000014896</v>
          </cell>
          <cell r="J1188">
            <v>674357.66</v>
          </cell>
          <cell r="K1188">
            <v>61.31</v>
          </cell>
          <cell r="L1188" t="str">
            <v>CAAU8544761</v>
          </cell>
          <cell r="M1188">
            <v>4</v>
          </cell>
          <cell r="N1188" t="str">
            <v>40HQ</v>
          </cell>
          <cell r="O1188">
            <v>2</v>
          </cell>
          <cell r="P1188">
            <v>46011</v>
          </cell>
          <cell r="Q1188">
            <v>46014</v>
          </cell>
          <cell r="R1188" t="str">
            <v>火</v>
          </cell>
          <cell r="S1188" t="str">
            <v>AM8:00</v>
          </cell>
        </row>
        <row r="1189">
          <cell r="A1189">
            <v>9339</v>
          </cell>
          <cell r="B1189" t="str">
            <v>山本　和弥</v>
          </cell>
          <cell r="C1189" t="str">
            <v>FUZILOGIX</v>
          </cell>
          <cell r="D1189">
            <v>46001</v>
          </cell>
          <cell r="E1189" t="str">
            <v>25T1205</v>
          </cell>
          <cell r="F1189" t="str">
            <v>I000014897</v>
          </cell>
          <cell r="J1189">
            <v>772670.46</v>
          </cell>
          <cell r="K1189">
            <v>66.81</v>
          </cell>
          <cell r="L1189" t="str">
            <v>WHSU8095246</v>
          </cell>
          <cell r="M1189">
            <v>4</v>
          </cell>
          <cell r="N1189" t="str">
            <v>40HQ</v>
          </cell>
          <cell r="O1189">
            <v>2</v>
          </cell>
          <cell r="P1189">
            <v>46011</v>
          </cell>
          <cell r="Q1189">
            <v>46014</v>
          </cell>
          <cell r="R1189" t="str">
            <v>火</v>
          </cell>
          <cell r="S1189" t="str">
            <v>AM8:00</v>
          </cell>
        </row>
        <row r="1190">
          <cell r="A1190">
            <v>9340</v>
          </cell>
          <cell r="B1190" t="str">
            <v>山本　和弥</v>
          </cell>
          <cell r="C1190" t="str">
            <v>TRADIA</v>
          </cell>
          <cell r="D1190">
            <v>46001</v>
          </cell>
          <cell r="E1190" t="str">
            <v>25P1203</v>
          </cell>
          <cell r="F1190" t="str">
            <v>I000014902</v>
          </cell>
          <cell r="J1190">
            <v>448915.68</v>
          </cell>
          <cell r="K1190">
            <v>65.11</v>
          </cell>
          <cell r="L1190" t="str">
            <v>TEMU8974028</v>
          </cell>
          <cell r="M1190">
            <v>11</v>
          </cell>
          <cell r="N1190" t="str">
            <v>40HQ</v>
          </cell>
          <cell r="O1190">
            <v>4</v>
          </cell>
          <cell r="P1190">
            <v>46009</v>
          </cell>
          <cell r="Q1190">
            <v>46013</v>
          </cell>
          <cell r="R1190" t="str">
            <v>月</v>
          </cell>
          <cell r="S1190" t="str">
            <v>AM7:30</v>
          </cell>
        </row>
        <row r="1191">
          <cell r="A1191">
            <v>9341</v>
          </cell>
          <cell r="B1191" t="str">
            <v>梅田 勝太</v>
          </cell>
          <cell r="C1191" t="str">
            <v>TRADIA</v>
          </cell>
          <cell r="D1191">
            <v>46001</v>
          </cell>
          <cell r="E1191" t="str">
            <v>25K1201</v>
          </cell>
          <cell r="F1191" t="str">
            <v>I000014885</v>
          </cell>
          <cell r="J1191">
            <v>843882</v>
          </cell>
          <cell r="K1191">
            <v>63.57</v>
          </cell>
          <cell r="L1191" t="str">
            <v>TSSU5053878</v>
          </cell>
          <cell r="M1191">
            <v>18</v>
          </cell>
          <cell r="N1191" t="str">
            <v>40HQ</v>
          </cell>
          <cell r="O1191">
            <v>1</v>
          </cell>
          <cell r="P1191">
            <v>46003</v>
          </cell>
          <cell r="Q1191">
            <v>46027</v>
          </cell>
          <cell r="R1191" t="str">
            <v>月</v>
          </cell>
          <cell r="S1191" t="str">
            <v>AM9:30</v>
          </cell>
        </row>
        <row r="1192">
          <cell r="A1192">
            <v>9342</v>
          </cell>
          <cell r="B1192" t="str">
            <v>梅田 勝太</v>
          </cell>
          <cell r="C1192" t="str">
            <v>TRADIA</v>
          </cell>
          <cell r="D1192">
            <v>46001</v>
          </cell>
          <cell r="E1192" t="str">
            <v>25K1202</v>
          </cell>
          <cell r="F1192" t="str">
            <v>I000014899</v>
          </cell>
          <cell r="J1192">
            <v>960391.8</v>
          </cell>
          <cell r="K1192">
            <v>55.88</v>
          </cell>
          <cell r="L1192" t="str">
            <v>WHSU4005753</v>
          </cell>
          <cell r="M1192">
            <v>18</v>
          </cell>
          <cell r="N1192" t="str">
            <v>40HQ</v>
          </cell>
          <cell r="O1192">
            <v>1</v>
          </cell>
          <cell r="P1192">
            <v>46007</v>
          </cell>
          <cell r="Q1192">
            <v>46030</v>
          </cell>
          <cell r="R1192" t="str">
            <v>木</v>
          </cell>
          <cell r="S1192" t="str">
            <v>AM8:30</v>
          </cell>
        </row>
        <row r="1193">
          <cell r="A1193">
            <v>9343</v>
          </cell>
          <cell r="B1193" t="str">
            <v>山本　和弥</v>
          </cell>
          <cell r="C1193" t="str">
            <v>FUZILOGIX</v>
          </cell>
          <cell r="D1193">
            <v>46001</v>
          </cell>
          <cell r="E1193" t="str">
            <v>25T1203</v>
          </cell>
          <cell r="F1193" t="str">
            <v>I000014904</v>
          </cell>
          <cell r="J1193">
            <v>735770.16</v>
          </cell>
          <cell r="K1193">
            <v>65.02</v>
          </cell>
          <cell r="L1193" t="str">
            <v>WHSU8229556</v>
          </cell>
          <cell r="M1193">
            <v>4</v>
          </cell>
          <cell r="N1193" t="str">
            <v>40HQ</v>
          </cell>
          <cell r="O1193">
            <v>5</v>
          </cell>
          <cell r="P1193">
            <v>46012</v>
          </cell>
          <cell r="Q1193">
            <v>46014</v>
          </cell>
          <cell r="R1193" t="str">
            <v>火</v>
          </cell>
          <cell r="S1193" t="str">
            <v>AM8:00</v>
          </cell>
        </row>
        <row r="1194">
          <cell r="A1194">
            <v>9344</v>
          </cell>
          <cell r="B1194" t="str">
            <v>梅田 勝太</v>
          </cell>
          <cell r="C1194" t="str">
            <v>TRADIA</v>
          </cell>
          <cell r="D1194">
            <v>46008</v>
          </cell>
          <cell r="E1194" t="str">
            <v>25K1203</v>
          </cell>
          <cell r="F1194" t="str">
            <v>I000014917</v>
          </cell>
          <cell r="G1194">
            <v>246500</v>
          </cell>
          <cell r="J1194">
            <v>990061.31</v>
          </cell>
          <cell r="K1194">
            <v>56.81</v>
          </cell>
          <cell r="L1194" t="str">
            <v>TSSU5221143</v>
          </cell>
          <cell r="M1194">
            <v>18</v>
          </cell>
          <cell r="N1194" t="str">
            <v>40HQ</v>
          </cell>
          <cell r="O1194">
            <v>1</v>
          </cell>
          <cell r="P1194">
            <v>46015</v>
          </cell>
          <cell r="Q1194">
            <v>46028</v>
          </cell>
          <cell r="R1194" t="str">
            <v>火</v>
          </cell>
          <cell r="S1194" t="str">
            <v>AM8:30</v>
          </cell>
        </row>
        <row r="1195">
          <cell r="A1195">
            <v>9345</v>
          </cell>
          <cell r="B1195" t="str">
            <v>山本　和弥</v>
          </cell>
          <cell r="C1195" t="str">
            <v>FUZILOGIX</v>
          </cell>
          <cell r="D1195">
            <v>46009</v>
          </cell>
          <cell r="E1195" t="str">
            <v>25T1206</v>
          </cell>
          <cell r="F1195" t="str">
            <v>I000014913</v>
          </cell>
          <cell r="J1195">
            <v>670729.04</v>
          </cell>
          <cell r="K1195">
            <v>62.47</v>
          </cell>
          <cell r="L1195" t="str">
            <v>WHSU6672210</v>
          </cell>
          <cell r="M1195">
            <v>4</v>
          </cell>
          <cell r="N1195" t="str">
            <v>40HQ</v>
          </cell>
          <cell r="O1195">
            <v>5</v>
          </cell>
          <cell r="P1195">
            <v>46012</v>
          </cell>
          <cell r="Q1195">
            <v>46014</v>
          </cell>
          <cell r="R1195" t="str">
            <v>火</v>
          </cell>
          <cell r="S1195" t="str">
            <v>AM8:00</v>
          </cell>
        </row>
        <row r="1196">
          <cell r="A1196">
            <v>9346</v>
          </cell>
          <cell r="B1196" t="str">
            <v>山本　和弥</v>
          </cell>
          <cell r="C1196" t="str">
            <v>FUZILOGIX</v>
          </cell>
          <cell r="D1196">
            <v>46009</v>
          </cell>
          <cell r="E1196" t="str">
            <v>25T1207</v>
          </cell>
          <cell r="F1196" t="str">
            <v>I000014908</v>
          </cell>
          <cell r="J1196">
            <v>720068.78</v>
          </cell>
          <cell r="K1196">
            <v>63.99</v>
          </cell>
          <cell r="L1196" t="str">
            <v>WHSU8110000</v>
          </cell>
          <cell r="M1196">
            <v>4</v>
          </cell>
          <cell r="N1196" t="str">
            <v>40HQ</v>
          </cell>
          <cell r="O1196">
            <v>2</v>
          </cell>
          <cell r="P1196">
            <v>46014</v>
          </cell>
          <cell r="Q1196">
            <v>46016</v>
          </cell>
          <cell r="R1196" t="str">
            <v>木</v>
          </cell>
          <cell r="S1196" t="str">
            <v>AM8:00</v>
          </cell>
        </row>
        <row r="1197">
          <cell r="A1197">
            <v>9347</v>
          </cell>
          <cell r="B1197" t="str">
            <v>山本　和弥</v>
          </cell>
          <cell r="C1197" t="str">
            <v>FUZILOGIX</v>
          </cell>
          <cell r="D1197">
            <v>46009</v>
          </cell>
          <cell r="E1197" t="str">
            <v>25T1208</v>
          </cell>
          <cell r="F1197" t="str">
            <v>I000014918</v>
          </cell>
          <cell r="J1197">
            <v>685698.16</v>
          </cell>
          <cell r="K1197">
            <v>61.47</v>
          </cell>
          <cell r="L1197" t="str">
            <v>WHSU8074264</v>
          </cell>
          <cell r="M1197">
            <v>4</v>
          </cell>
          <cell r="N1197" t="str">
            <v>40HQ</v>
          </cell>
          <cell r="O1197">
            <v>2</v>
          </cell>
          <cell r="P1197">
            <v>46014</v>
          </cell>
          <cell r="Q1197">
            <v>46016</v>
          </cell>
          <cell r="R1197" t="str">
            <v>木</v>
          </cell>
          <cell r="S1197" t="str">
            <v>AM8:00</v>
          </cell>
        </row>
        <row r="1198">
          <cell r="A1198">
            <v>9348</v>
          </cell>
          <cell r="B1198" t="str">
            <v>山本　和弥</v>
          </cell>
          <cell r="C1198" t="str">
            <v>FUZILOGIX</v>
          </cell>
          <cell r="D1198">
            <v>46009</v>
          </cell>
          <cell r="E1198" t="str">
            <v>25T1210</v>
          </cell>
          <cell r="F1198" t="str">
            <v>I000014923</v>
          </cell>
          <cell r="J1198">
            <v>660569.4</v>
          </cell>
          <cell r="K1198">
            <v>63.62</v>
          </cell>
          <cell r="L1198" t="str">
            <v>WHSU6617341</v>
          </cell>
          <cell r="M1198">
            <v>4</v>
          </cell>
          <cell r="N1198" t="str">
            <v>40HQ</v>
          </cell>
          <cell r="O1198">
            <v>2</v>
          </cell>
          <cell r="P1198">
            <v>46016</v>
          </cell>
          <cell r="Q1198">
            <v>46020</v>
          </cell>
          <cell r="R1198" t="str">
            <v>月</v>
          </cell>
          <cell r="S1198" t="str">
            <v>AM8:00</v>
          </cell>
        </row>
        <row r="1199">
          <cell r="A1199">
            <v>9349</v>
          </cell>
          <cell r="B1199" t="str">
            <v>山本　和弥</v>
          </cell>
          <cell r="C1199" t="str">
            <v>FUZILOGIX</v>
          </cell>
          <cell r="D1199">
            <v>46009</v>
          </cell>
          <cell r="E1199" t="str">
            <v>25T1212</v>
          </cell>
          <cell r="F1199" t="str">
            <v>I000014978</v>
          </cell>
          <cell r="J1199">
            <v>576108.12</v>
          </cell>
          <cell r="K1199">
            <v>64.510000000000005</v>
          </cell>
          <cell r="L1199" t="str">
            <v>OOCU5954419</v>
          </cell>
          <cell r="M1199">
            <v>4</v>
          </cell>
          <cell r="N1199" t="str">
            <v>40HQ</v>
          </cell>
          <cell r="O1199">
            <v>5</v>
          </cell>
          <cell r="P1199">
            <v>46018</v>
          </cell>
          <cell r="Q1199">
            <v>46021</v>
          </cell>
          <cell r="R1199" t="str">
            <v>火</v>
          </cell>
          <cell r="S1199" t="str">
            <v>AM8:00</v>
          </cell>
        </row>
        <row r="1200">
          <cell r="A1200">
            <v>9350</v>
          </cell>
          <cell r="B1200" t="str">
            <v>山本　和弥</v>
          </cell>
          <cell r="C1200" t="str">
            <v>FUZILOGIX</v>
          </cell>
          <cell r="D1200">
            <v>46009</v>
          </cell>
          <cell r="E1200" t="str">
            <v>25T1209</v>
          </cell>
          <cell r="F1200" t="str">
            <v>I000014920</v>
          </cell>
          <cell r="J1200">
            <v>588571.57999999996</v>
          </cell>
          <cell r="K1200">
            <v>64.33</v>
          </cell>
          <cell r="L1200" t="str">
            <v>WHSU6909317</v>
          </cell>
          <cell r="M1200">
            <v>4</v>
          </cell>
          <cell r="N1200" t="str">
            <v>40HQ</v>
          </cell>
          <cell r="O1200">
            <v>5</v>
          </cell>
          <cell r="P1200">
            <v>46013</v>
          </cell>
          <cell r="Q1200">
            <v>46015</v>
          </cell>
          <cell r="R1200" t="str">
            <v>水</v>
          </cell>
          <cell r="S1200" t="str">
            <v>AM8:00</v>
          </cell>
        </row>
        <row r="1201">
          <cell r="A1201">
            <v>9351</v>
          </cell>
          <cell r="B1201" t="str">
            <v>山本　和弥</v>
          </cell>
          <cell r="C1201" t="str">
            <v>TRADIA</v>
          </cell>
          <cell r="D1201">
            <v>46010</v>
          </cell>
          <cell r="E1201" t="str">
            <v>25P1204</v>
          </cell>
          <cell r="F1201" t="str">
            <v>I000014921</v>
          </cell>
          <cell r="J1201">
            <v>422344.08</v>
          </cell>
          <cell r="K1201">
            <v>65.47</v>
          </cell>
          <cell r="L1201" t="str">
            <v>CAAU8036631</v>
          </cell>
          <cell r="M1201">
            <v>14</v>
          </cell>
          <cell r="N1201" t="str">
            <v>40HQ</v>
          </cell>
          <cell r="O1201">
            <v>2</v>
          </cell>
          <cell r="P1201">
            <v>46013</v>
          </cell>
          <cell r="Q1201">
            <v>46015</v>
          </cell>
          <cell r="R1201" t="str">
            <v>水</v>
          </cell>
          <cell r="S1201" t="str">
            <v>AM9:30</v>
          </cell>
        </row>
        <row r="1202">
          <cell r="A1202">
            <v>9352</v>
          </cell>
          <cell r="B1202" t="str">
            <v>山本　和弥</v>
          </cell>
          <cell r="C1202" t="str">
            <v>TRADIA</v>
          </cell>
          <cell r="D1202">
            <v>46010</v>
          </cell>
          <cell r="E1202" t="str">
            <v>25P1205</v>
          </cell>
          <cell r="F1202" t="str">
            <v>I000014981</v>
          </cell>
          <cell r="J1202">
            <v>405129.6</v>
          </cell>
          <cell r="K1202">
            <v>65.37</v>
          </cell>
          <cell r="L1202" t="str">
            <v>TSSU5100943</v>
          </cell>
          <cell r="M1202">
            <v>11</v>
          </cell>
          <cell r="N1202" t="str">
            <v>40HQ</v>
          </cell>
          <cell r="O1202">
            <v>4</v>
          </cell>
          <cell r="P1202">
            <v>46018</v>
          </cell>
          <cell r="Q1202">
            <v>46021</v>
          </cell>
          <cell r="R1202" t="str">
            <v>火</v>
          </cell>
          <cell r="S1202" t="str">
            <v>AM7:30</v>
          </cell>
        </row>
        <row r="1203">
          <cell r="A1203">
            <v>9353</v>
          </cell>
          <cell r="B1203" t="str">
            <v>山本　和弥</v>
          </cell>
          <cell r="C1203" t="str">
            <v>TRADIA</v>
          </cell>
          <cell r="D1203">
            <v>46013</v>
          </cell>
          <cell r="E1203" t="str">
            <v>25P1202</v>
          </cell>
          <cell r="F1203" t="str">
            <v>I000014891</v>
          </cell>
          <cell r="J1203">
            <v>429875.88</v>
          </cell>
          <cell r="K1203">
            <v>64.45</v>
          </cell>
          <cell r="L1203" t="str">
            <v>TSSU5290313</v>
          </cell>
          <cell r="M1203">
            <v>14</v>
          </cell>
          <cell r="N1203" t="str">
            <v>40HQ</v>
          </cell>
          <cell r="O1203">
            <v>2</v>
          </cell>
          <cell r="P1203">
            <v>46003</v>
          </cell>
          <cell r="Q1203">
            <v>46007</v>
          </cell>
          <cell r="R1203" t="str">
            <v>火</v>
          </cell>
          <cell r="S1203" t="str">
            <v>AM9:30</v>
          </cell>
        </row>
        <row r="1204">
          <cell r="A1204">
            <v>9354</v>
          </cell>
          <cell r="B1204" t="str">
            <v>梅田 勝太</v>
          </cell>
          <cell r="C1204" t="str">
            <v>TRADIA</v>
          </cell>
          <cell r="D1204">
            <v>46013</v>
          </cell>
          <cell r="E1204" t="str">
            <v>25K1207</v>
          </cell>
          <cell r="F1204" t="str">
            <v>I000014933</v>
          </cell>
          <cell r="J1204">
            <v>408522.04</v>
          </cell>
          <cell r="K1204">
            <v>26.12</v>
          </cell>
          <cell r="L1204" t="str">
            <v>WHSU2431657</v>
          </cell>
          <cell r="M1204">
            <v>18</v>
          </cell>
          <cell r="N1204" t="str">
            <v>20GP</v>
          </cell>
          <cell r="O1204">
            <v>1</v>
          </cell>
          <cell r="P1204">
            <v>46014</v>
          </cell>
          <cell r="Q1204">
            <v>46031</v>
          </cell>
          <cell r="R1204" t="str">
            <v>金</v>
          </cell>
          <cell r="S1204" t="str">
            <v>AM8:30</v>
          </cell>
        </row>
        <row r="1205">
          <cell r="A1205">
            <v>9355</v>
          </cell>
          <cell r="B1205" t="str">
            <v>梅田 勝太</v>
          </cell>
          <cell r="C1205" t="str">
            <v>TRADIA</v>
          </cell>
          <cell r="D1205">
            <v>46013</v>
          </cell>
          <cell r="E1205" t="str">
            <v>25Q1201</v>
          </cell>
          <cell r="F1205" t="str">
            <v>I000014929</v>
          </cell>
          <cell r="G1205">
            <v>1188601</v>
          </cell>
          <cell r="J1205">
            <v>955893.6</v>
          </cell>
          <cell r="K1205">
            <v>49.81</v>
          </cell>
          <cell r="L1205" t="str">
            <v>GAOU6999634</v>
          </cell>
          <cell r="M1205">
            <v>4</v>
          </cell>
          <cell r="N1205" t="str">
            <v>40HQ</v>
          </cell>
          <cell r="O1205">
            <v>19</v>
          </cell>
          <cell r="P1205">
            <v>46014</v>
          </cell>
          <cell r="Q1205">
            <v>46031</v>
          </cell>
          <cell r="R1205" t="str">
            <v>金</v>
          </cell>
          <cell r="S1205" t="str">
            <v>AM9:00</v>
          </cell>
        </row>
        <row r="1206">
          <cell r="A1206">
            <v>9356</v>
          </cell>
          <cell r="B1206" t="str">
            <v>山本　和弥</v>
          </cell>
          <cell r="C1206" t="str">
            <v>FUZILOGIX</v>
          </cell>
          <cell r="D1206">
            <v>46013</v>
          </cell>
          <cell r="E1206" t="str">
            <v>25T1213</v>
          </cell>
          <cell r="F1206" t="str">
            <v>I000014987</v>
          </cell>
          <cell r="J1206">
            <v>610488.07999999996</v>
          </cell>
          <cell r="K1206">
            <v>64.540000000000006</v>
          </cell>
          <cell r="L1206" t="str">
            <v>WHSU5154535</v>
          </cell>
          <cell r="M1206">
            <v>4</v>
          </cell>
          <cell r="N1206" t="str">
            <v>40HQ</v>
          </cell>
          <cell r="O1206">
            <v>2</v>
          </cell>
          <cell r="P1206">
            <v>46019</v>
          </cell>
          <cell r="Q1206">
            <v>46021</v>
          </cell>
          <cell r="R1206" t="str">
            <v>火</v>
          </cell>
          <cell r="S1206" t="str">
            <v>AM8:00</v>
          </cell>
        </row>
        <row r="1207">
          <cell r="A1207">
            <v>9357</v>
          </cell>
          <cell r="B1207" t="str">
            <v>山本　和弥</v>
          </cell>
          <cell r="C1207" t="str">
            <v>FUZILOGIX</v>
          </cell>
          <cell r="D1207">
            <v>46013</v>
          </cell>
          <cell r="E1207" t="str">
            <v>25T1214</v>
          </cell>
          <cell r="F1207" t="str">
            <v>I000014988</v>
          </cell>
          <cell r="J1207">
            <v>576720.64000000001</v>
          </cell>
          <cell r="K1207">
            <v>64.45</v>
          </cell>
          <cell r="L1207" t="str">
            <v>WHSU6004946</v>
          </cell>
          <cell r="M1207">
            <v>4</v>
          </cell>
          <cell r="N1207" t="str">
            <v>40HQ</v>
          </cell>
          <cell r="O1207">
            <v>5</v>
          </cell>
          <cell r="P1207">
            <v>46020</v>
          </cell>
          <cell r="Q1207">
            <v>46022</v>
          </cell>
          <cell r="R1207" t="str">
            <v>水</v>
          </cell>
          <cell r="S1207" t="str">
            <v>AM8:00</v>
          </cell>
        </row>
        <row r="1208">
          <cell r="A1208">
            <v>9358</v>
          </cell>
          <cell r="B1208" t="str">
            <v>梅田 勝太</v>
          </cell>
          <cell r="C1208" t="str">
            <v>YUSEN</v>
          </cell>
          <cell r="D1208">
            <v>46014</v>
          </cell>
          <cell r="E1208" t="str">
            <v>25K1204</v>
          </cell>
          <cell r="F1208" t="str">
            <v>I000014991</v>
          </cell>
          <cell r="G1208">
            <v>2900</v>
          </cell>
          <cell r="J1208">
            <v>856282.4</v>
          </cell>
          <cell r="K1208">
            <v>54.25</v>
          </cell>
          <cell r="L1208" t="str">
            <v>IAAU1868893</v>
          </cell>
          <cell r="M1208">
            <v>18</v>
          </cell>
          <cell r="N1208" t="str">
            <v>40HQ</v>
          </cell>
          <cell r="O1208">
            <v>1</v>
          </cell>
          <cell r="P1208">
            <v>46021</v>
          </cell>
          <cell r="Q1208">
            <v>46042</v>
          </cell>
          <cell r="R1208" t="str">
            <v>木</v>
          </cell>
          <cell r="S1208" t="str">
            <v>AM8:30</v>
          </cell>
        </row>
        <row r="1209">
          <cell r="A1209">
            <v>9359</v>
          </cell>
          <cell r="B1209" t="str">
            <v>山本 和弥</v>
          </cell>
          <cell r="C1209" t="str">
            <v>TRADIA</v>
          </cell>
          <cell r="D1209">
            <v>46027</v>
          </cell>
          <cell r="E1209" t="str">
            <v>25P1207</v>
          </cell>
          <cell r="F1209" t="str">
            <v>I000015010</v>
          </cell>
          <cell r="J1209">
            <v>435355.43999999994</v>
          </cell>
          <cell r="K1209">
            <v>66.42</v>
          </cell>
          <cell r="L1209" t="str">
            <v>WHSU8101077</v>
          </cell>
          <cell r="M1209">
            <v>14</v>
          </cell>
          <cell r="N1209" t="str">
            <v>40HQ</v>
          </cell>
          <cell r="O1209">
            <v>2</v>
          </cell>
          <cell r="P1209">
            <v>46026</v>
          </cell>
          <cell r="Q1209">
            <v>46041</v>
          </cell>
          <cell r="R1209" t="str">
            <v>月</v>
          </cell>
          <cell r="S1209" t="str">
            <v>AM9:30</v>
          </cell>
        </row>
        <row r="1210">
          <cell r="A1210">
            <v>9360</v>
          </cell>
          <cell r="B1210" t="str">
            <v>山本 和弥</v>
          </cell>
          <cell r="C1210" t="str">
            <v>TRADIA</v>
          </cell>
          <cell r="D1210">
            <v>46027</v>
          </cell>
          <cell r="E1210" t="str">
            <v>25P1208</v>
          </cell>
          <cell r="F1210" t="str">
            <v>I000015018</v>
          </cell>
          <cell r="J1210">
            <v>440686.56</v>
          </cell>
          <cell r="K1210">
            <v>65.8</v>
          </cell>
          <cell r="L1210" t="str">
            <v>CAAU6942869</v>
          </cell>
          <cell r="M1210">
            <v>11</v>
          </cell>
          <cell r="N1210" t="str">
            <v>40HQ</v>
          </cell>
          <cell r="O1210">
            <v>4</v>
          </cell>
          <cell r="P1210">
            <v>46029</v>
          </cell>
          <cell r="Q1210">
            <v>46036</v>
          </cell>
          <cell r="R1210" t="str">
            <v>水</v>
          </cell>
          <cell r="S1210" t="str">
            <v>AM7:30</v>
          </cell>
        </row>
        <row r="1211">
          <cell r="A1211">
            <v>9361</v>
          </cell>
          <cell r="B1211" t="str">
            <v>山本 和弥</v>
          </cell>
          <cell r="C1211" t="str">
            <v>FUZILOGIX</v>
          </cell>
          <cell r="D1211">
            <v>46027</v>
          </cell>
          <cell r="E1211" t="str">
            <v>25T1215</v>
          </cell>
          <cell r="F1211" t="str">
            <v>I000014997</v>
          </cell>
          <cell r="J1211">
            <v>560661.5</v>
          </cell>
          <cell r="K1211">
            <v>64.25</v>
          </cell>
          <cell r="L1211" t="str">
            <v>WHSU8190789</v>
          </cell>
          <cell r="M1211">
            <v>4</v>
          </cell>
          <cell r="N1211" t="str">
            <v>40HQ</v>
          </cell>
          <cell r="O1211">
            <v>2</v>
          </cell>
          <cell r="P1211">
            <v>45661</v>
          </cell>
          <cell r="Q1211">
            <v>45664</v>
          </cell>
          <cell r="R1211" t="str">
            <v>火</v>
          </cell>
          <cell r="S1211" t="str">
            <v>AM8:00</v>
          </cell>
        </row>
        <row r="1212">
          <cell r="A1212">
            <v>9362</v>
          </cell>
          <cell r="B1212" t="str">
            <v>山本 和弥</v>
          </cell>
          <cell r="C1212" t="str">
            <v>FUZILOGIX</v>
          </cell>
          <cell r="D1212">
            <v>46027</v>
          </cell>
          <cell r="E1212" t="str">
            <v>25T1216</v>
          </cell>
          <cell r="F1212" t="str">
            <v>I000015009</v>
          </cell>
          <cell r="J1212">
            <v>712276</v>
          </cell>
          <cell r="K1212">
            <v>66.61</v>
          </cell>
          <cell r="L1212" t="str">
            <v>WHSU8155643</v>
          </cell>
          <cell r="M1212">
            <v>4</v>
          </cell>
          <cell r="N1212" t="str">
            <v>40HQ</v>
          </cell>
          <cell r="O1212">
            <v>2</v>
          </cell>
          <cell r="P1212">
            <v>46026</v>
          </cell>
          <cell r="Q1212">
            <v>46028</v>
          </cell>
          <cell r="R1212" t="str">
            <v>火</v>
          </cell>
          <cell r="S1212" t="str">
            <v>AM8:00</v>
          </cell>
        </row>
        <row r="1213">
          <cell r="A1213">
            <v>9363</v>
          </cell>
          <cell r="B1213" t="str">
            <v>山本 和弥</v>
          </cell>
          <cell r="C1213" t="str">
            <v>FUZILOGIX</v>
          </cell>
          <cell r="D1213">
            <v>46027</v>
          </cell>
          <cell r="E1213" t="str">
            <v>25T1217</v>
          </cell>
          <cell r="F1213" t="str">
            <v>I000015005</v>
          </cell>
          <cell r="J1213">
            <v>576887.67999999993</v>
          </cell>
          <cell r="K1213">
            <v>64.58</v>
          </cell>
          <cell r="L1213" t="str">
            <v>WHSU5016644</v>
          </cell>
          <cell r="M1213">
            <v>4</v>
          </cell>
          <cell r="N1213" t="str">
            <v>40HQ</v>
          </cell>
          <cell r="O1213">
            <v>5</v>
          </cell>
          <cell r="P1213">
            <v>46027</v>
          </cell>
          <cell r="Q1213">
            <v>46029</v>
          </cell>
          <cell r="R1213" t="str">
            <v>水</v>
          </cell>
          <cell r="S1213" t="str">
            <v>AM8:00</v>
          </cell>
        </row>
        <row r="1214">
          <cell r="A1214">
            <v>9364</v>
          </cell>
          <cell r="B1214" t="str">
            <v>山本 和弥</v>
          </cell>
          <cell r="C1214" t="str">
            <v>FUZILOGIX</v>
          </cell>
          <cell r="D1214">
            <v>46027</v>
          </cell>
          <cell r="E1214" t="str">
            <v>25T1220</v>
          </cell>
          <cell r="F1214" t="str">
            <v>I000015016</v>
          </cell>
          <cell r="J1214">
            <v>546100</v>
          </cell>
          <cell r="K1214">
            <v>64.17</v>
          </cell>
          <cell r="L1214" t="str">
            <v>WHSU6808728</v>
          </cell>
          <cell r="M1214">
            <v>4</v>
          </cell>
          <cell r="N1214" t="str">
            <v>40HQ</v>
          </cell>
          <cell r="O1214">
            <v>5</v>
          </cell>
          <cell r="P1214">
            <v>46027</v>
          </cell>
          <cell r="Q1214">
            <v>46029</v>
          </cell>
          <cell r="R1214" t="str">
            <v>水</v>
          </cell>
          <cell r="S1214" t="str">
            <v>AM8:00</v>
          </cell>
        </row>
        <row r="1215">
          <cell r="A1215">
            <v>9365</v>
          </cell>
          <cell r="B1215" t="str">
            <v>山本 和弥</v>
          </cell>
          <cell r="C1215" t="str">
            <v>FUZILOGIX</v>
          </cell>
          <cell r="D1215">
            <v>46027</v>
          </cell>
          <cell r="E1215" t="str">
            <v>25T1218</v>
          </cell>
          <cell r="F1215" t="str">
            <v>I000015012</v>
          </cell>
          <cell r="J1215">
            <v>696318.4</v>
          </cell>
          <cell r="K1215">
            <v>64.67</v>
          </cell>
          <cell r="L1215" t="str">
            <v>WHSU6916229</v>
          </cell>
          <cell r="M1215">
            <v>4</v>
          </cell>
          <cell r="N1215" t="str">
            <v>40HQ</v>
          </cell>
          <cell r="O1215">
            <v>2</v>
          </cell>
          <cell r="P1215">
            <v>46029</v>
          </cell>
          <cell r="Q1215">
            <v>46031</v>
          </cell>
          <cell r="R1215" t="str">
            <v>金</v>
          </cell>
          <cell r="S1215" t="str">
            <v>AM8:00</v>
          </cell>
        </row>
        <row r="1216">
          <cell r="A1216">
            <v>9366</v>
          </cell>
          <cell r="B1216" t="str">
            <v>山本 和弥</v>
          </cell>
          <cell r="C1216" t="str">
            <v>FUZILOGIX</v>
          </cell>
          <cell r="D1216">
            <v>46027</v>
          </cell>
          <cell r="E1216" t="str">
            <v>25T1211</v>
          </cell>
          <cell r="F1216" t="str">
            <v>I000015022</v>
          </cell>
          <cell r="J1216">
            <v>802620.74000000011</v>
          </cell>
          <cell r="K1216">
            <v>66.739999999999995</v>
          </cell>
          <cell r="L1216" t="str">
            <v>WHSU5837130</v>
          </cell>
          <cell r="M1216">
            <v>4</v>
          </cell>
          <cell r="N1216" t="str">
            <v>40HQ</v>
          </cell>
          <cell r="O1216">
            <v>2</v>
          </cell>
          <cell r="P1216">
            <v>46031</v>
          </cell>
          <cell r="Q1216">
            <v>46035</v>
          </cell>
          <cell r="R1216" t="str">
            <v>火</v>
          </cell>
          <cell r="S1216" t="str">
            <v>AM8:00</v>
          </cell>
        </row>
        <row r="1217">
          <cell r="A1217">
            <v>9367</v>
          </cell>
          <cell r="B1217" t="str">
            <v>梅田 勝太</v>
          </cell>
          <cell r="C1217" t="str">
            <v>TRADIA</v>
          </cell>
          <cell r="D1217">
            <v>46029</v>
          </cell>
          <cell r="E1217" t="str">
            <v>26K0150</v>
          </cell>
          <cell r="F1217" t="str">
            <v>I000015036</v>
          </cell>
          <cell r="G1217">
            <v>0</v>
          </cell>
          <cell r="J1217">
            <v>134109</v>
          </cell>
          <cell r="K1217">
            <v>0.68</v>
          </cell>
          <cell r="M1217">
            <v>3</v>
          </cell>
          <cell r="N1217" t="str">
            <v>AIR</v>
          </cell>
          <cell r="O1217">
            <v>9</v>
          </cell>
          <cell r="P1217">
            <v>46028</v>
          </cell>
          <cell r="Q1217">
            <v>46031</v>
          </cell>
          <cell r="R1217" t="str">
            <v>金</v>
          </cell>
          <cell r="S1217" t="str">
            <v>AM8:30</v>
          </cell>
        </row>
        <row r="1218">
          <cell r="A1218">
            <v>9368</v>
          </cell>
          <cell r="B1218" t="str">
            <v>梅田 勝太</v>
          </cell>
          <cell r="C1218" t="str">
            <v>TRADIA</v>
          </cell>
          <cell r="D1218">
            <v>46030</v>
          </cell>
          <cell r="E1218" t="str">
            <v>26K0101</v>
          </cell>
          <cell r="F1218" t="str">
            <v>I000015029</v>
          </cell>
          <cell r="G1218">
            <v>41100</v>
          </cell>
          <cell r="J1218">
            <v>524653.68000000005</v>
          </cell>
          <cell r="K1218">
            <v>25.93</v>
          </cell>
          <cell r="L1218" t="str">
            <v>TSSU2170037</v>
          </cell>
          <cell r="M1218">
            <v>18</v>
          </cell>
          <cell r="N1218" t="str">
            <v>20GP</v>
          </cell>
          <cell r="O1218">
            <v>1</v>
          </cell>
          <cell r="P1218">
            <v>46036</v>
          </cell>
          <cell r="Q1218">
            <v>46045</v>
          </cell>
          <cell r="R1218" t="str">
            <v>金</v>
          </cell>
          <cell r="S1218" t="str">
            <v>AM8:30</v>
          </cell>
        </row>
        <row r="1219">
          <cell r="A1219">
            <v>9369</v>
          </cell>
          <cell r="B1219" t="str">
            <v>山本 和弥</v>
          </cell>
          <cell r="C1219" t="str">
            <v>TRADIA</v>
          </cell>
          <cell r="D1219">
            <v>46030</v>
          </cell>
          <cell r="E1219" t="str">
            <v>25P1206</v>
          </cell>
          <cell r="F1219" t="str">
            <v>I000014998</v>
          </cell>
          <cell r="G1219">
            <v>0</v>
          </cell>
          <cell r="J1219">
            <v>422721.6</v>
          </cell>
          <cell r="K1219">
            <v>63.39</v>
          </cell>
          <cell r="L1219" t="str">
            <v>TSF0263844/</v>
          </cell>
          <cell r="M1219">
            <v>14</v>
          </cell>
          <cell r="N1219" t="str">
            <v>40HQ</v>
          </cell>
          <cell r="O1219">
            <v>2</v>
          </cell>
          <cell r="P1219">
            <v>46018</v>
          </cell>
          <cell r="Q1219">
            <v>46029</v>
          </cell>
          <cell r="R1219" t="str">
            <v>水</v>
          </cell>
          <cell r="S1219" t="str">
            <v>AM9:30</v>
          </cell>
        </row>
        <row r="1220">
          <cell r="A1220">
            <v>9370</v>
          </cell>
          <cell r="B1220" t="str">
            <v>梅田 勝太</v>
          </cell>
          <cell r="C1220" t="str">
            <v>YUSEN</v>
          </cell>
          <cell r="D1220">
            <v>46030</v>
          </cell>
          <cell r="E1220" t="str">
            <v>25K1206</v>
          </cell>
          <cell r="F1220" t="str">
            <v>I000015023</v>
          </cell>
          <cell r="J1220">
            <v>498573.33</v>
          </cell>
          <cell r="K1220">
            <v>28.3</v>
          </cell>
          <cell r="L1220" t="str">
            <v>WHSU0044941</v>
          </cell>
          <cell r="M1220">
            <v>18</v>
          </cell>
          <cell r="N1220" t="str">
            <v>20GP</v>
          </cell>
          <cell r="O1220">
            <v>1</v>
          </cell>
          <cell r="P1220">
            <v>46022</v>
          </cell>
          <cell r="Q1220">
            <v>46048</v>
          </cell>
          <cell r="R1220" t="str">
            <v>月</v>
          </cell>
          <cell r="S1220" t="str">
            <v>AM8:30</v>
          </cell>
        </row>
        <row r="1221">
          <cell r="A1221">
            <v>9371</v>
          </cell>
          <cell r="B1221" t="str">
            <v>山本 和弥</v>
          </cell>
          <cell r="C1221" t="str">
            <v>TRADIA</v>
          </cell>
          <cell r="D1221">
            <v>46032</v>
          </cell>
          <cell r="E1221" t="str">
            <v>26P0101</v>
          </cell>
          <cell r="F1221" t="str">
            <v>I000015042</v>
          </cell>
          <cell r="G1221">
            <v>0</v>
          </cell>
          <cell r="J1221">
            <v>467758.92</v>
          </cell>
          <cell r="K1221">
            <v>66.239999999999995</v>
          </cell>
          <cell r="L1221" t="str">
            <v>DFSU7457590</v>
          </cell>
          <cell r="M1221">
            <v>11</v>
          </cell>
          <cell r="N1221" t="str">
            <v>40HQ</v>
          </cell>
          <cell r="O1221">
            <v>4</v>
          </cell>
          <cell r="P1221">
            <v>46040</v>
          </cell>
          <cell r="Q1221">
            <v>46045</v>
          </cell>
          <cell r="R1221" t="str">
            <v>金</v>
          </cell>
          <cell r="S1221" t="str">
            <v>AM7:30</v>
          </cell>
        </row>
        <row r="1222">
          <cell r="A1222">
            <v>9372</v>
          </cell>
          <cell r="B1222" t="str">
            <v>山本 和弥</v>
          </cell>
          <cell r="C1222" t="str">
            <v>FUZILOGIX</v>
          </cell>
          <cell r="D1222">
            <v>46035</v>
          </cell>
          <cell r="E1222" t="str">
            <v>26T0101</v>
          </cell>
          <cell r="F1222" t="str">
            <v>I000015032</v>
          </cell>
          <cell r="G1222">
            <v>0</v>
          </cell>
          <cell r="J1222">
            <v>661388.14</v>
          </cell>
          <cell r="K1222">
            <v>64.069999999999993</v>
          </cell>
          <cell r="L1222" t="str">
            <v>WHSU8381825</v>
          </cell>
          <cell r="M1222">
            <v>4</v>
          </cell>
          <cell r="N1222" t="str">
            <v>40HQ</v>
          </cell>
          <cell r="O1222">
            <v>5</v>
          </cell>
          <cell r="P1222">
            <v>46037</v>
          </cell>
          <cell r="Q1222">
            <v>46041</v>
          </cell>
          <cell r="R1222" t="str">
            <v>月</v>
          </cell>
          <cell r="S1222" t="str">
            <v>AM8:00</v>
          </cell>
        </row>
        <row r="1223">
          <cell r="A1223">
            <v>9373</v>
          </cell>
          <cell r="B1223" t="str">
            <v>山本 和弥</v>
          </cell>
          <cell r="C1223" t="str">
            <v>FUZILOGIX</v>
          </cell>
          <cell r="D1223">
            <v>46035</v>
          </cell>
          <cell r="E1223" t="str">
            <v>26T0102</v>
          </cell>
          <cell r="F1223" t="str">
            <v>I000015040</v>
          </cell>
          <cell r="G1223">
            <v>0</v>
          </cell>
          <cell r="J1223">
            <v>868461.20000000007</v>
          </cell>
          <cell r="K1223">
            <v>65.040000000000006</v>
          </cell>
          <cell r="L1223" t="str">
            <v>WHSU6899306</v>
          </cell>
          <cell r="M1223">
            <v>4</v>
          </cell>
          <cell r="N1223" t="str">
            <v>40HQ</v>
          </cell>
          <cell r="O1223">
            <v>2</v>
          </cell>
          <cell r="P1223">
            <v>46037</v>
          </cell>
          <cell r="Q1223">
            <v>46041</v>
          </cell>
          <cell r="R1223" t="str">
            <v>月</v>
          </cell>
          <cell r="S1223" t="str">
            <v>AM8:00</v>
          </cell>
        </row>
        <row r="1224">
          <cell r="A1224">
            <v>9374</v>
          </cell>
          <cell r="B1224" t="str">
            <v>山本 和弥</v>
          </cell>
          <cell r="C1224" t="str">
            <v>FUZILOGIX</v>
          </cell>
          <cell r="D1224">
            <v>46035</v>
          </cell>
          <cell r="E1224" t="str">
            <v>26T0103</v>
          </cell>
          <cell r="F1224" t="str">
            <v>I000015043</v>
          </cell>
          <cell r="G1224">
            <v>0</v>
          </cell>
          <cell r="J1224">
            <v>689023.74</v>
          </cell>
          <cell r="K1224">
            <v>62.7</v>
          </cell>
          <cell r="L1224" t="str">
            <v>WHSU6989307</v>
          </cell>
          <cell r="M1224">
            <v>4</v>
          </cell>
          <cell r="N1224" t="str">
            <v>40HQ</v>
          </cell>
          <cell r="O1224">
            <v>5</v>
          </cell>
          <cell r="P1224">
            <v>46043</v>
          </cell>
          <cell r="Q1224">
            <v>46045</v>
          </cell>
          <cell r="R1224" t="str">
            <v>金</v>
          </cell>
          <cell r="S1224" t="str">
            <v>AM8:00</v>
          </cell>
        </row>
        <row r="1225">
          <cell r="A1225">
            <v>9375</v>
          </cell>
          <cell r="B1225" t="str">
            <v>山本 和弥</v>
          </cell>
          <cell r="C1225" t="str">
            <v>FUZILOGIX</v>
          </cell>
          <cell r="D1225">
            <v>46035</v>
          </cell>
          <cell r="E1225" t="str">
            <v>26T0105</v>
          </cell>
          <cell r="F1225" t="str">
            <v>I000015051</v>
          </cell>
          <cell r="G1225">
            <v>0</v>
          </cell>
          <cell r="J1225">
            <v>619833.28</v>
          </cell>
          <cell r="K1225">
            <v>63.77</v>
          </cell>
          <cell r="L1225" t="str">
            <v>WHSU5954625</v>
          </cell>
          <cell r="M1225">
            <v>4</v>
          </cell>
          <cell r="N1225" t="str">
            <v>40HQ</v>
          </cell>
          <cell r="O1225">
            <v>5</v>
          </cell>
          <cell r="P1225">
            <v>46044</v>
          </cell>
          <cell r="Q1225">
            <v>46048</v>
          </cell>
          <cell r="R1225" t="str">
            <v>月</v>
          </cell>
          <cell r="S1225" t="str">
            <v>AM8:00</v>
          </cell>
        </row>
        <row r="1226">
          <cell r="A1226">
            <v>9376</v>
          </cell>
          <cell r="B1226" t="str">
            <v>山本 和弥</v>
          </cell>
          <cell r="C1226" t="str">
            <v>FUZILOGIX</v>
          </cell>
          <cell r="D1226">
            <v>46036</v>
          </cell>
          <cell r="E1226" t="str">
            <v>26T0106</v>
          </cell>
          <cell r="F1226" t="str">
            <v>I000015059</v>
          </cell>
          <cell r="G1226">
            <v>0</v>
          </cell>
          <cell r="J1226">
            <v>690865.18</v>
          </cell>
          <cell r="K1226">
            <v>55.83</v>
          </cell>
          <cell r="L1226" t="str">
            <v>WHSU6927347</v>
          </cell>
          <cell r="M1226">
            <v>2</v>
          </cell>
          <cell r="N1226" t="str">
            <v>40HQ</v>
          </cell>
          <cell r="O1226">
            <v>2</v>
          </cell>
          <cell r="P1226">
            <v>46043</v>
          </cell>
          <cell r="Q1226">
            <v>46045</v>
          </cell>
          <cell r="R1226" t="str">
            <v>金</v>
          </cell>
          <cell r="S1226" t="str">
            <v>AM8:00</v>
          </cell>
        </row>
        <row r="1227">
          <cell r="A1227">
            <v>9377</v>
          </cell>
          <cell r="B1227" t="str">
            <v>山本 和弥</v>
          </cell>
          <cell r="C1227" t="str">
            <v>FUZILOGIX</v>
          </cell>
          <cell r="D1227">
            <v>46036</v>
          </cell>
          <cell r="E1227" t="str">
            <v>26T0104</v>
          </cell>
          <cell r="F1227" t="str">
            <v>I000015045</v>
          </cell>
          <cell r="G1227">
            <v>0</v>
          </cell>
          <cell r="J1227">
            <v>690628.56</v>
          </cell>
          <cell r="K1227">
            <v>64.290000000000006</v>
          </cell>
          <cell r="L1227" t="str">
            <v>WHSU6394783</v>
          </cell>
          <cell r="M1227">
            <v>2</v>
          </cell>
          <cell r="N1227" t="str">
            <v>40HQ</v>
          </cell>
          <cell r="O1227">
            <v>2</v>
          </cell>
          <cell r="P1227">
            <v>46043</v>
          </cell>
          <cell r="Q1227">
            <v>46045</v>
          </cell>
          <cell r="R1227" t="str">
            <v>金</v>
          </cell>
          <cell r="S1227" t="str">
            <v>AM8:00</v>
          </cell>
        </row>
        <row r="1228">
          <cell r="A1228">
            <v>9378</v>
          </cell>
          <cell r="B1228" t="str">
            <v>山本 和弥</v>
          </cell>
          <cell r="C1228" t="str">
            <v>TRADIA</v>
          </cell>
          <cell r="D1228">
            <v>46036</v>
          </cell>
          <cell r="E1228" t="str">
            <v>26P0102</v>
          </cell>
          <cell r="F1228" t="str">
            <v>I000015057</v>
          </cell>
          <cell r="G1228">
            <v>0</v>
          </cell>
          <cell r="J1228">
            <v>401943.77999999997</v>
          </cell>
          <cell r="K1228">
            <v>62.24</v>
          </cell>
          <cell r="L1228" t="str">
            <v>OOLU8820261</v>
          </cell>
          <cell r="M1228">
            <v>14</v>
          </cell>
          <cell r="N1228" t="str">
            <v>40HQ</v>
          </cell>
          <cell r="O1228">
            <v>1</v>
          </cell>
          <cell r="P1228">
            <v>46045</v>
          </cell>
          <cell r="Q1228">
            <v>46050</v>
          </cell>
          <cell r="R1228" t="str">
            <v>水</v>
          </cell>
          <cell r="S1228" t="str">
            <v>AM9:30</v>
          </cell>
        </row>
        <row r="1229">
          <cell r="A1229">
            <v>9379</v>
          </cell>
          <cell r="B1229" t="str">
            <v>山本 和弥</v>
          </cell>
          <cell r="C1229" t="str">
            <v>FUZILOGIX</v>
          </cell>
          <cell r="D1229">
            <v>46037</v>
          </cell>
          <cell r="E1229" t="str">
            <v>26T0107</v>
          </cell>
          <cell r="F1229" t="str">
            <v>I000015064</v>
          </cell>
          <cell r="G1229">
            <v>0</v>
          </cell>
          <cell r="J1229">
            <v>651376.74</v>
          </cell>
          <cell r="K1229">
            <v>60.44</v>
          </cell>
          <cell r="L1229" t="str">
            <v>WHSU5667420</v>
          </cell>
          <cell r="M1229">
            <v>2</v>
          </cell>
          <cell r="N1229" t="str">
            <v>40HQ</v>
          </cell>
          <cell r="O1229">
            <v>5</v>
          </cell>
          <cell r="P1229">
            <v>46045</v>
          </cell>
          <cell r="Q1229">
            <v>46049</v>
          </cell>
          <cell r="R1229" t="str">
            <v>火</v>
          </cell>
          <cell r="S1229" t="str">
            <v>AM8:00</v>
          </cell>
        </row>
        <row r="1230">
          <cell r="A1230">
            <v>9380</v>
          </cell>
          <cell r="B1230" t="str">
            <v>山本 和弥</v>
          </cell>
          <cell r="C1230" t="str">
            <v>FUZILOGIX</v>
          </cell>
          <cell r="D1230">
            <v>46038</v>
          </cell>
          <cell r="E1230" t="str">
            <v>26T0108</v>
          </cell>
          <cell r="F1230" t="str">
            <v>I000015068</v>
          </cell>
          <cell r="G1230">
            <v>0</v>
          </cell>
          <cell r="J1230">
            <v>773103.96</v>
          </cell>
          <cell r="K1230">
            <v>64.53</v>
          </cell>
          <cell r="L1230" t="str">
            <v>00CU9384741</v>
          </cell>
          <cell r="M1230">
            <v>2</v>
          </cell>
          <cell r="N1230" t="str">
            <v>40HQ</v>
          </cell>
          <cell r="O1230">
            <v>1</v>
          </cell>
          <cell r="P1230">
            <v>46045</v>
          </cell>
          <cell r="Q1230">
            <v>46049</v>
          </cell>
          <cell r="R1230" t="str">
            <v>火</v>
          </cell>
          <cell r="S1230" t="str">
            <v>AM8:00</v>
          </cell>
        </row>
        <row r="1231">
          <cell r="A1231">
            <v>9381</v>
          </cell>
          <cell r="B1231" t="str">
            <v>山本 和弥</v>
          </cell>
          <cell r="C1231" t="str">
            <v>TRADIA</v>
          </cell>
          <cell r="D1231">
            <v>46038</v>
          </cell>
          <cell r="E1231" t="str">
            <v>26P0103</v>
          </cell>
          <cell r="F1231" t="str">
            <v>I000015070</v>
          </cell>
          <cell r="G1231">
            <v>0</v>
          </cell>
          <cell r="J1231">
            <v>400398.78</v>
          </cell>
          <cell r="K1231">
            <v>64.680000000000007</v>
          </cell>
          <cell r="L1231" t="str">
            <v>CSNU5709067</v>
          </cell>
          <cell r="M1231">
            <v>11</v>
          </cell>
          <cell r="N1231" t="str">
            <v>20GP</v>
          </cell>
          <cell r="O1231">
            <v>2</v>
          </cell>
          <cell r="P1231">
            <v>46048</v>
          </cell>
          <cell r="Q1231">
            <v>46052</v>
          </cell>
          <cell r="R1231" t="str">
            <v>金</v>
          </cell>
          <cell r="S1231" t="str">
            <v>AM7:30</v>
          </cell>
        </row>
        <row r="1232">
          <cell r="A1232">
            <v>9382</v>
          </cell>
          <cell r="B1232" t="str">
            <v>梅田 勝太</v>
          </cell>
          <cell r="C1232" t="str">
            <v>TRADIA</v>
          </cell>
          <cell r="D1232">
            <v>46048</v>
          </cell>
          <cell r="E1232" t="str">
            <v>26K0103</v>
          </cell>
          <cell r="F1232" t="str">
            <v>I000015074</v>
          </cell>
          <cell r="G1232">
            <v>7140</v>
          </cell>
          <cell r="J1232">
            <v>1343892.96</v>
          </cell>
          <cell r="K1232">
            <v>54.59</v>
          </cell>
          <cell r="L1232" t="str">
            <v>OOLU4411619</v>
          </cell>
          <cell r="M1232">
            <v>18</v>
          </cell>
          <cell r="N1232" t="str">
            <v>40GP</v>
          </cell>
          <cell r="O1232">
            <v>1</v>
          </cell>
          <cell r="P1232">
            <v>46052</v>
          </cell>
          <cell r="Q1232">
            <v>46058</v>
          </cell>
          <cell r="R1232" t="str">
            <v>木</v>
          </cell>
          <cell r="S1232" t="str">
            <v>AM8:30</v>
          </cell>
        </row>
        <row r="1233">
          <cell r="A1233">
            <v>9383</v>
          </cell>
          <cell r="B1233" t="str">
            <v>梅田 勝太</v>
          </cell>
          <cell r="C1233" t="str">
            <v>TRADIA</v>
          </cell>
          <cell r="D1233">
            <v>46049</v>
          </cell>
          <cell r="E1233" t="str">
            <v>26K0102</v>
          </cell>
          <cell r="F1233" t="str">
            <v>I000015053</v>
          </cell>
          <cell r="G1233">
            <v>0</v>
          </cell>
          <cell r="J1233">
            <v>1268006.9200000002</v>
          </cell>
          <cell r="K1233">
            <v>64.180000000000007</v>
          </cell>
          <cell r="L1233" t="str">
            <v>TEMU6229833</v>
          </cell>
          <cell r="M1233">
            <v>18</v>
          </cell>
          <cell r="N1233" t="str">
            <v>40HQ</v>
          </cell>
          <cell r="O1233">
            <v>1</v>
          </cell>
          <cell r="P1233">
            <v>46040</v>
          </cell>
          <cell r="S1233" t="str">
            <v>AM8:30</v>
          </cell>
        </row>
        <row r="1234">
          <cell r="A1234">
            <v>9384</v>
          </cell>
          <cell r="B1234" t="str">
            <v>山本 和弥</v>
          </cell>
          <cell r="C1234" t="str">
            <v>FUZILOGIX</v>
          </cell>
          <cell r="D1234">
            <v>46049</v>
          </cell>
          <cell r="E1234" t="str">
            <v>26T0109</v>
          </cell>
          <cell r="F1234" t="str">
            <v>I000015075</v>
          </cell>
          <cell r="J1234">
            <v>763364.82</v>
          </cell>
          <cell r="K1234">
            <v>64.89</v>
          </cell>
          <cell r="L1234" t="str">
            <v>WHSU8422821</v>
          </cell>
          <cell r="M1234">
            <v>2</v>
          </cell>
          <cell r="N1234" t="str">
            <v>40HQ</v>
          </cell>
          <cell r="O1234">
            <v>2</v>
          </cell>
          <cell r="P1234">
            <v>46050</v>
          </cell>
          <cell r="Q1234">
            <v>46052</v>
          </cell>
          <cell r="R1234" t="str">
            <v>金</v>
          </cell>
          <cell r="S1234" t="str">
            <v>AM8:00</v>
          </cell>
        </row>
        <row r="1235">
          <cell r="A1235">
            <v>9385</v>
          </cell>
          <cell r="B1235" t="str">
            <v>山本 和弥</v>
          </cell>
          <cell r="C1235" t="str">
            <v>FUZILOGIX</v>
          </cell>
          <cell r="D1235">
            <v>46049</v>
          </cell>
          <cell r="E1235" t="str">
            <v>26T0110</v>
          </cell>
          <cell r="F1235" t="str">
            <v>I000015077</v>
          </cell>
          <cell r="J1235">
            <v>922155.92</v>
          </cell>
          <cell r="K1235">
            <v>63.31</v>
          </cell>
          <cell r="L1235" t="str">
            <v>TXGU8149576</v>
          </cell>
          <cell r="M1235">
            <v>2</v>
          </cell>
          <cell r="N1235" t="str">
            <v>40HQ</v>
          </cell>
          <cell r="O1235">
            <v>2</v>
          </cell>
          <cell r="P1235">
            <v>46050</v>
          </cell>
          <cell r="Q1235">
            <v>46052</v>
          </cell>
          <cell r="R1235" t="str">
            <v>金</v>
          </cell>
          <cell r="S1235" t="str">
            <v>AM8:00</v>
          </cell>
        </row>
        <row r="1236">
          <cell r="A1236">
            <v>9386</v>
          </cell>
          <cell r="B1236" t="str">
            <v>山本 和弥</v>
          </cell>
          <cell r="C1236" t="str">
            <v>FUZILOGIX</v>
          </cell>
          <cell r="D1236">
            <v>46049</v>
          </cell>
          <cell r="E1236" t="str">
            <v>26T0111</v>
          </cell>
          <cell r="F1236" t="str">
            <v>I000015085</v>
          </cell>
          <cell r="J1236">
            <v>566047.96</v>
          </cell>
          <cell r="K1236">
            <v>64.900000000000006</v>
          </cell>
          <cell r="L1236" t="str">
            <v>WHSU8066628</v>
          </cell>
          <cell r="M1236">
            <v>2</v>
          </cell>
          <cell r="N1236" t="str">
            <v>40HQ</v>
          </cell>
          <cell r="O1236">
            <v>5</v>
          </cell>
          <cell r="P1236">
            <v>46052</v>
          </cell>
          <cell r="Q1236">
            <v>46056</v>
          </cell>
          <cell r="R1236" t="str">
            <v>火</v>
          </cell>
          <cell r="S1236" t="str">
            <v>AM8:00</v>
          </cell>
        </row>
        <row r="1237">
          <cell r="A1237">
            <v>9387</v>
          </cell>
          <cell r="B1237" t="str">
            <v>山本 和弥</v>
          </cell>
          <cell r="C1237" t="str">
            <v>FUZILOGIX</v>
          </cell>
          <cell r="D1237">
            <v>46049</v>
          </cell>
          <cell r="E1237" t="str">
            <v>26T0112</v>
          </cell>
          <cell r="F1237" t="str">
            <v>I000015088</v>
          </cell>
          <cell r="J1237">
            <v>801133.76</v>
          </cell>
          <cell r="K1237">
            <v>63.29</v>
          </cell>
          <cell r="L1237" t="str">
            <v>WHSU6854169</v>
          </cell>
          <cell r="M1237">
            <v>2</v>
          </cell>
          <cell r="N1237" t="str">
            <v>40HQ</v>
          </cell>
          <cell r="O1237">
            <v>2</v>
          </cell>
          <cell r="P1237">
            <v>46051</v>
          </cell>
          <cell r="Q1237">
            <v>46055</v>
          </cell>
          <cell r="R1237" t="str">
            <v>月</v>
          </cell>
          <cell r="S1237" t="str">
            <v>AM8:00</v>
          </cell>
        </row>
        <row r="1238">
          <cell r="A1238">
            <v>9388</v>
          </cell>
          <cell r="B1238" t="str">
            <v>山本 和弥</v>
          </cell>
          <cell r="C1238" t="str">
            <v>FUZILOGIX</v>
          </cell>
          <cell r="D1238">
            <v>46049</v>
          </cell>
          <cell r="E1238" t="str">
            <v>26T0113</v>
          </cell>
          <cell r="F1238" t="str">
            <v>I000015091</v>
          </cell>
          <cell r="J1238">
            <v>741252.66</v>
          </cell>
          <cell r="K1238">
            <v>62.8</v>
          </cell>
          <cell r="L1238" t="str">
            <v>TIIU6816402</v>
          </cell>
          <cell r="M1238">
            <v>2</v>
          </cell>
          <cell r="N1238" t="str">
            <v>40HQ</v>
          </cell>
          <cell r="O1238">
            <v>2</v>
          </cell>
          <cell r="P1238">
            <v>46056</v>
          </cell>
          <cell r="Q1238">
            <v>46058</v>
          </cell>
          <cell r="R1238" t="str">
            <v>木</v>
          </cell>
          <cell r="S1238" t="str">
            <v>AM8:00</v>
          </cell>
        </row>
        <row r="1239">
          <cell r="A1239">
            <v>9389</v>
          </cell>
          <cell r="B1239" t="str">
            <v>山本 和弥</v>
          </cell>
          <cell r="C1239" t="str">
            <v>FUZILOGIX</v>
          </cell>
          <cell r="D1239">
            <v>46049</v>
          </cell>
          <cell r="E1239" t="str">
            <v>26T0115</v>
          </cell>
          <cell r="F1239" t="str">
            <v>I000015095</v>
          </cell>
          <cell r="J1239">
            <v>700215.88000000012</v>
          </cell>
          <cell r="K1239">
            <v>57.44</v>
          </cell>
          <cell r="L1239" t="str">
            <v>UETU7967400</v>
          </cell>
          <cell r="M1239">
            <v>2</v>
          </cell>
          <cell r="N1239" t="str">
            <v>40HQ</v>
          </cell>
          <cell r="O1239">
            <v>2</v>
          </cell>
          <cell r="P1239">
            <v>46056</v>
          </cell>
          <cell r="Q1239">
            <v>46058</v>
          </cell>
          <cell r="R1239" t="str">
            <v>木</v>
          </cell>
          <cell r="S1239" t="str">
            <v>AM8:00</v>
          </cell>
        </row>
        <row r="1240">
          <cell r="A1240">
            <v>9390</v>
          </cell>
          <cell r="B1240" t="str">
            <v>山本 和弥</v>
          </cell>
          <cell r="C1240" t="str">
            <v>TRADIA</v>
          </cell>
          <cell r="D1240">
            <v>46050</v>
          </cell>
          <cell r="E1240" t="str">
            <v>26P0104</v>
          </cell>
          <cell r="F1240" t="str">
            <v>I000015081</v>
          </cell>
          <cell r="J1240">
            <v>429496.19999999995</v>
          </cell>
          <cell r="K1240">
            <v>62.96</v>
          </cell>
          <cell r="L1240" t="str">
            <v>TIIU5186588</v>
          </cell>
          <cell r="M1240">
            <v>14</v>
          </cell>
          <cell r="N1240" t="str">
            <v>40HQ</v>
          </cell>
          <cell r="O1240">
            <v>2</v>
          </cell>
          <cell r="P1240">
            <v>46052</v>
          </cell>
          <cell r="Q1240">
            <v>46059</v>
          </cell>
          <cell r="R1240" t="str">
            <v>金</v>
          </cell>
          <cell r="S1240" t="str">
            <v>AM9:30</v>
          </cell>
        </row>
        <row r="1241">
          <cell r="A1241">
            <v>9391</v>
          </cell>
          <cell r="B1241" t="str">
            <v>山本 和弥</v>
          </cell>
          <cell r="C1241" t="str">
            <v>TRADIA</v>
          </cell>
          <cell r="D1241">
            <v>46050</v>
          </cell>
          <cell r="E1241" t="str">
            <v>26P0105</v>
          </cell>
          <cell r="F1241" t="str">
            <v>I000015093</v>
          </cell>
          <cell r="J1241">
            <v>437528.88</v>
          </cell>
          <cell r="K1241">
            <v>62.78</v>
          </cell>
          <cell r="L1241" t="str">
            <v>EISU8250665</v>
          </cell>
          <cell r="M1241">
            <v>11</v>
          </cell>
          <cell r="N1241" t="str">
            <v>40HQ</v>
          </cell>
          <cell r="O1241">
            <v>4</v>
          </cell>
          <cell r="P1241">
            <v>46057</v>
          </cell>
          <cell r="Q1241">
            <v>46066</v>
          </cell>
          <cell r="R1241" t="str">
            <v>金</v>
          </cell>
          <cell r="S1241" t="str">
            <v>AM7:30</v>
          </cell>
        </row>
        <row r="1242">
          <cell r="A1242">
            <v>9392</v>
          </cell>
          <cell r="B1242" t="str">
            <v>梅田 勝太</v>
          </cell>
          <cell r="C1242" t="str">
            <v>TRADIA</v>
          </cell>
          <cell r="D1242">
            <v>46051</v>
          </cell>
          <cell r="E1242" t="str">
            <v>26K0152</v>
          </cell>
          <cell r="F1242" t="str">
            <v>I000015049</v>
          </cell>
          <cell r="J1242">
            <v>521.6</v>
          </cell>
          <cell r="K1242">
            <v>0</v>
          </cell>
          <cell r="M1242">
            <v>18</v>
          </cell>
          <cell r="N1242" t="str">
            <v>AIR</v>
          </cell>
          <cell r="O1242">
            <v>9</v>
          </cell>
          <cell r="S1242" t="str">
            <v>AM8:30</v>
          </cell>
        </row>
        <row r="1243">
          <cell r="A1243">
            <v>9393</v>
          </cell>
          <cell r="B1243" t="str">
            <v>梅田 勝太</v>
          </cell>
          <cell r="C1243" t="str">
            <v>TRADIA</v>
          </cell>
          <cell r="D1243">
            <v>46051</v>
          </cell>
          <cell r="E1243" t="str">
            <v>26K0153</v>
          </cell>
          <cell r="F1243" t="str">
            <v>I000015048</v>
          </cell>
          <cell r="J1243">
            <v>40</v>
          </cell>
          <cell r="K1243">
            <v>0</v>
          </cell>
          <cell r="M1243">
            <v>18</v>
          </cell>
          <cell r="N1243" t="str">
            <v>AIR</v>
          </cell>
          <cell r="O1243">
            <v>9</v>
          </cell>
          <cell r="S1243" t="str">
            <v>AM8:30</v>
          </cell>
        </row>
        <row r="1244">
          <cell r="A1244">
            <v>9394</v>
          </cell>
          <cell r="B1244" t="str">
            <v>山本 和弥</v>
          </cell>
          <cell r="C1244" t="str">
            <v>FUZILOGIX</v>
          </cell>
          <cell r="D1244">
            <v>46051</v>
          </cell>
          <cell r="E1244" t="str">
            <v>26T0150</v>
          </cell>
          <cell r="F1244" t="str">
            <v>I000015026</v>
          </cell>
          <cell r="J1244">
            <v>203.1</v>
          </cell>
          <cell r="K1244">
            <v>1</v>
          </cell>
          <cell r="M1244">
            <v>2</v>
          </cell>
          <cell r="N1244" t="str">
            <v>AIR</v>
          </cell>
          <cell r="O1244">
            <v>9</v>
          </cell>
          <cell r="P1244">
            <v>46026</v>
          </cell>
          <cell r="S1244" t="str">
            <v>AM8:00</v>
          </cell>
        </row>
        <row r="1245">
          <cell r="A1245">
            <v>9395</v>
          </cell>
          <cell r="B1245" t="str">
            <v>山本 和弥</v>
          </cell>
          <cell r="C1245" t="str">
            <v>FUZILOGIX</v>
          </cell>
          <cell r="D1245">
            <v>46051</v>
          </cell>
          <cell r="E1245" t="str">
            <v>26T0151</v>
          </cell>
          <cell r="F1245" t="str">
            <v>I000015033</v>
          </cell>
          <cell r="J1245">
            <v>446.85</v>
          </cell>
          <cell r="K1245">
            <v>5</v>
          </cell>
          <cell r="M1245">
            <v>2</v>
          </cell>
          <cell r="N1245" t="str">
            <v>AIR</v>
          </cell>
          <cell r="O1245">
            <v>9</v>
          </cell>
          <cell r="P1245">
            <v>46026</v>
          </cell>
          <cell r="S1245" t="str">
            <v>AM8:00</v>
          </cell>
        </row>
        <row r="1246">
          <cell r="A1246">
            <v>9396</v>
          </cell>
          <cell r="B1246" t="str">
            <v>山本 和弥</v>
          </cell>
          <cell r="C1246" t="str">
            <v>FUZILOGIX</v>
          </cell>
          <cell r="D1246">
            <v>46051</v>
          </cell>
          <cell r="E1246" t="str">
            <v>26T0152</v>
          </cell>
          <cell r="F1246" t="str">
            <v>I000015056</v>
          </cell>
          <cell r="J1246">
            <v>1656.4599999999998</v>
          </cell>
          <cell r="K1246">
            <v>0.2</v>
          </cell>
          <cell r="M1246">
            <v>2</v>
          </cell>
          <cell r="N1246" t="str">
            <v>AIR</v>
          </cell>
          <cell r="O1246">
            <v>9</v>
          </cell>
          <cell r="P1246">
            <v>46034</v>
          </cell>
          <cell r="S1246" t="str">
            <v>AM8:00</v>
          </cell>
        </row>
        <row r="1247">
          <cell r="A1247">
            <v>9397</v>
          </cell>
          <cell r="B1247" t="str">
            <v>山本 和弥</v>
          </cell>
          <cell r="C1247" t="str">
            <v>FUZILOGIX</v>
          </cell>
          <cell r="D1247">
            <v>46051</v>
          </cell>
          <cell r="E1247" t="str">
            <v>26T0153</v>
          </cell>
          <cell r="F1247" t="str">
            <v>I000015067</v>
          </cell>
          <cell r="J1247">
            <v>34</v>
          </cell>
          <cell r="K1247">
            <v>1</v>
          </cell>
          <cell r="M1247">
            <v>2</v>
          </cell>
          <cell r="N1247" t="str">
            <v>AIR</v>
          </cell>
          <cell r="O1247">
            <v>9</v>
          </cell>
          <cell r="P1247">
            <v>46037</v>
          </cell>
          <cell r="S1247" t="str">
            <v>AM8:00</v>
          </cell>
        </row>
        <row r="1248">
          <cell r="A1248">
            <v>9398</v>
          </cell>
          <cell r="B1248" t="str">
            <v>山本 和弥</v>
          </cell>
          <cell r="C1248" t="str">
            <v>FUZILOGIX</v>
          </cell>
          <cell r="D1248">
            <v>46051</v>
          </cell>
          <cell r="E1248" t="str">
            <v>26T0114</v>
          </cell>
          <cell r="F1248" t="str">
            <v>I000015099</v>
          </cell>
          <cell r="J1248">
            <v>698474.4</v>
          </cell>
          <cell r="K1248">
            <v>61.81</v>
          </cell>
          <cell r="L1248" t="str">
            <v>WHSU8177832</v>
          </cell>
          <cell r="M1248">
            <v>2</v>
          </cell>
          <cell r="N1248" t="str">
            <v>40HQ</v>
          </cell>
          <cell r="O1248">
            <v>5</v>
          </cell>
          <cell r="P1248">
            <v>46058</v>
          </cell>
          <cell r="Q1248">
            <v>46062</v>
          </cell>
          <cell r="R1248" t="str">
            <v>月</v>
          </cell>
          <cell r="S1248" t="str">
            <v>AM8:00</v>
          </cell>
        </row>
        <row r="1249">
          <cell r="A1249">
            <v>9399</v>
          </cell>
          <cell r="B1249" t="str">
            <v>山本 和弥</v>
          </cell>
          <cell r="C1249" t="str">
            <v>FUZILOGIX</v>
          </cell>
          <cell r="D1249">
            <v>46051</v>
          </cell>
          <cell r="E1249" t="str">
            <v>26T0116</v>
          </cell>
          <cell r="F1249" t="str">
            <v>I000015108</v>
          </cell>
          <cell r="J1249">
            <v>654505.76</v>
          </cell>
          <cell r="K1249">
            <v>65.09</v>
          </cell>
          <cell r="L1249" t="str">
            <v>WHSU8630173</v>
          </cell>
          <cell r="M1249">
            <v>2</v>
          </cell>
          <cell r="N1249" t="str">
            <v>40HQ</v>
          </cell>
          <cell r="O1249">
            <v>5</v>
          </cell>
          <cell r="P1249">
            <v>46058</v>
          </cell>
          <cell r="Q1249">
            <v>46062</v>
          </cell>
          <cell r="R1249" t="str">
            <v>月</v>
          </cell>
          <cell r="S1249" t="str">
            <v>AM8:00</v>
          </cell>
        </row>
        <row r="1250">
          <cell r="A1250">
            <v>9400</v>
          </cell>
          <cell r="B1250" t="str">
            <v>梅田 勝太</v>
          </cell>
          <cell r="C1250" t="str">
            <v>YUSEN</v>
          </cell>
          <cell r="D1250">
            <v>46052</v>
          </cell>
          <cell r="E1250" t="str">
            <v>26K0105</v>
          </cell>
          <cell r="F1250" t="str">
            <v>I000015098</v>
          </cell>
          <cell r="J1250">
            <v>977587.8</v>
          </cell>
          <cell r="K1250">
            <v>61.76</v>
          </cell>
          <cell r="L1250" t="str">
            <v>WHSU8103803</v>
          </cell>
          <cell r="M1250">
            <v>18</v>
          </cell>
          <cell r="N1250" t="str">
            <v>40HQ</v>
          </cell>
          <cell r="O1250">
            <v>1</v>
          </cell>
          <cell r="P1250">
            <v>46058</v>
          </cell>
          <cell r="S1250" t="str">
            <v>AM8:30</v>
          </cell>
        </row>
        <row r="1251">
          <cell r="A1251">
            <v>9401</v>
          </cell>
          <cell r="B1251" t="str">
            <v>山本 和弥</v>
          </cell>
          <cell r="C1251" t="str">
            <v>FUZILOGIX</v>
          </cell>
          <cell r="D1251">
            <v>46055</v>
          </cell>
          <cell r="E1251" t="str">
            <v>26T0117</v>
          </cell>
          <cell r="F1251" t="str">
            <v>I000015109</v>
          </cell>
          <cell r="J1251">
            <v>705865.88</v>
          </cell>
          <cell r="K1251">
            <v>62.97</v>
          </cell>
          <cell r="L1251" t="str">
            <v>WHSU8635112</v>
          </cell>
          <cell r="M1251">
            <v>2</v>
          </cell>
          <cell r="N1251" t="str">
            <v>40HQ</v>
          </cell>
          <cell r="O1251">
            <v>2</v>
          </cell>
          <cell r="P1251">
            <v>46060</v>
          </cell>
          <cell r="Q1251">
            <v>46063</v>
          </cell>
          <cell r="R1251" t="str">
            <v>火</v>
          </cell>
          <cell r="S1251" t="str">
            <v>AM8:00</v>
          </cell>
        </row>
        <row r="1252">
          <cell r="A1252">
            <v>9402</v>
          </cell>
          <cell r="B1252" t="str">
            <v>山本 和弥</v>
          </cell>
          <cell r="C1252" t="str">
            <v>FUZILOGIX</v>
          </cell>
          <cell r="D1252">
            <v>46055</v>
          </cell>
          <cell r="E1252" t="str">
            <v>26T0119</v>
          </cell>
          <cell r="F1252" t="str">
            <v>I000015120</v>
          </cell>
          <cell r="J1252">
            <v>651720.07999999996</v>
          </cell>
          <cell r="K1252">
            <v>65.8</v>
          </cell>
          <cell r="L1252" t="str">
            <v>WHSU8088099</v>
          </cell>
          <cell r="M1252">
            <v>2</v>
          </cell>
          <cell r="N1252" t="str">
            <v>40HQ</v>
          </cell>
          <cell r="O1252">
            <v>5</v>
          </cell>
          <cell r="P1252">
            <v>46063</v>
          </cell>
          <cell r="Q1252">
            <v>46065</v>
          </cell>
          <cell r="R1252" t="str">
            <v>木</v>
          </cell>
          <cell r="S1252" t="str">
            <v>AM8:00</v>
          </cell>
        </row>
        <row r="1253">
          <cell r="A1253">
            <v>9403</v>
          </cell>
          <cell r="B1253" t="str">
            <v>山本 和弥</v>
          </cell>
          <cell r="C1253" t="str">
            <v>FUZILOGIX</v>
          </cell>
          <cell r="D1253">
            <v>46055</v>
          </cell>
          <cell r="E1253" t="str">
            <v>26T0120</v>
          </cell>
          <cell r="F1253" t="str">
            <v>I000015123</v>
          </cell>
          <cell r="J1253">
            <v>710436.88</v>
          </cell>
          <cell r="K1253">
            <v>66.28</v>
          </cell>
          <cell r="L1253" t="str">
            <v>WHSU6885597</v>
          </cell>
          <cell r="M1253">
            <v>2</v>
          </cell>
          <cell r="N1253" t="str">
            <v>40HQ</v>
          </cell>
          <cell r="O1253">
            <v>2</v>
          </cell>
          <cell r="P1253">
            <v>46060</v>
          </cell>
          <cell r="Q1253">
            <v>46063</v>
          </cell>
          <cell r="R1253" t="str">
            <v>火</v>
          </cell>
          <cell r="S1253" t="str">
            <v>AM8:00</v>
          </cell>
        </row>
        <row r="1254">
          <cell r="A1254">
            <v>9404</v>
          </cell>
          <cell r="B1254" t="str">
            <v>山本 和弥</v>
          </cell>
          <cell r="C1254" t="str">
            <v>TRADIA</v>
          </cell>
          <cell r="D1254">
            <v>46056</v>
          </cell>
          <cell r="E1254" t="str">
            <v>26P0106</v>
          </cell>
          <cell r="F1254" t="str">
            <v>I000015124</v>
          </cell>
          <cell r="J1254">
            <v>457257.36000000004</v>
          </cell>
          <cell r="K1254">
            <v>64.55</v>
          </cell>
          <cell r="L1254" t="str">
            <v>EGSU1162764</v>
          </cell>
          <cell r="M1254">
            <v>14</v>
          </cell>
          <cell r="N1254" t="str">
            <v>40HQ</v>
          </cell>
          <cell r="O1254">
            <v>2</v>
          </cell>
          <cell r="P1254">
            <v>46061</v>
          </cell>
          <cell r="Q1254">
            <v>46071</v>
          </cell>
          <cell r="R1254" t="str">
            <v>水</v>
          </cell>
          <cell r="S1254" t="str">
            <v>AM9:30</v>
          </cell>
        </row>
        <row r="1255">
          <cell r="A1255">
            <v>9405</v>
          </cell>
          <cell r="B1255" t="str">
            <v>山本 和弥</v>
          </cell>
          <cell r="C1255" t="str">
            <v>FUZILOGIX</v>
          </cell>
          <cell r="D1255">
            <v>46059</v>
          </cell>
          <cell r="E1255" t="str">
            <v>26T0118</v>
          </cell>
          <cell r="F1255" t="str">
            <v>I000015119</v>
          </cell>
          <cell r="J1255">
            <v>772250</v>
          </cell>
          <cell r="K1255">
            <v>64.06</v>
          </cell>
          <cell r="L1255" t="str">
            <v>WHSU5106748</v>
          </cell>
          <cell r="M1255">
            <v>2</v>
          </cell>
          <cell r="N1255" t="str">
            <v>40HQ</v>
          </cell>
          <cell r="O1255">
            <v>2</v>
          </cell>
          <cell r="P1255">
            <v>46062</v>
          </cell>
          <cell r="Q1255">
            <v>46064</v>
          </cell>
          <cell r="R1255" t="str">
            <v>水</v>
          </cell>
          <cell r="S1255" t="str">
            <v>AM8:00</v>
          </cell>
        </row>
        <row r="1256">
          <cell r="A1256">
            <v>9406</v>
          </cell>
          <cell r="B1256" t="str">
            <v>山本 和弥</v>
          </cell>
          <cell r="C1256" t="str">
            <v>FUZILOGIX</v>
          </cell>
          <cell r="D1256">
            <v>46059</v>
          </cell>
          <cell r="E1256" t="str">
            <v>26T0201</v>
          </cell>
          <cell r="F1256" t="str">
            <v>I000015125</v>
          </cell>
          <cell r="J1256">
            <v>612253.07999999996</v>
          </cell>
          <cell r="K1256">
            <v>62.24</v>
          </cell>
          <cell r="L1256" t="str">
            <v>WHSU8171599</v>
          </cell>
          <cell r="M1256">
            <v>2</v>
          </cell>
          <cell r="N1256" t="str">
            <v>40HQ</v>
          </cell>
          <cell r="O1256">
            <v>2</v>
          </cell>
          <cell r="P1256">
            <v>46066</v>
          </cell>
          <cell r="Q1256">
            <v>46070</v>
          </cell>
          <cell r="R1256" t="str">
            <v>火</v>
          </cell>
          <cell r="S1256" t="str">
            <v>AM8:00</v>
          </cell>
        </row>
        <row r="1257">
          <cell r="A1257">
            <v>9407</v>
          </cell>
          <cell r="B1257" t="str">
            <v>山本 和弥</v>
          </cell>
          <cell r="C1257" t="str">
            <v>FUZILOGIX</v>
          </cell>
          <cell r="D1257">
            <v>46059</v>
          </cell>
          <cell r="E1257" t="str">
            <v>26T0202</v>
          </cell>
          <cell r="F1257" t="str">
            <v>I000015133</v>
          </cell>
          <cell r="J1257">
            <v>656571.32000000007</v>
          </cell>
          <cell r="K1257">
            <v>63.85</v>
          </cell>
          <cell r="L1257" t="str">
            <v>WHSU8668158</v>
          </cell>
          <cell r="M1257">
            <v>2</v>
          </cell>
          <cell r="N1257" t="str">
            <v>40HQ</v>
          </cell>
          <cell r="O1257">
            <v>2</v>
          </cell>
          <cell r="P1257">
            <v>46066</v>
          </cell>
          <cell r="Q1257">
            <v>46070</v>
          </cell>
          <cell r="R1257" t="str">
            <v>火</v>
          </cell>
          <cell r="S1257" t="str">
            <v>AM8:00</v>
          </cell>
        </row>
        <row r="1258">
          <cell r="A1258">
            <v>9408</v>
          </cell>
          <cell r="B1258" t="str">
            <v>山本 和弥</v>
          </cell>
          <cell r="C1258" t="str">
            <v>FUZILOGIX</v>
          </cell>
          <cell r="D1258">
            <v>46059</v>
          </cell>
          <cell r="E1258" t="str">
            <v>26T0203</v>
          </cell>
          <cell r="F1258" t="str">
            <v>I000015137</v>
          </cell>
          <cell r="J1258">
            <v>685352.54</v>
          </cell>
          <cell r="K1258">
            <v>61.12</v>
          </cell>
          <cell r="L1258" t="str">
            <v>WHSU8665821</v>
          </cell>
          <cell r="M1258">
            <v>2</v>
          </cell>
          <cell r="N1258" t="str">
            <v>40HQ</v>
          </cell>
          <cell r="O1258">
            <v>5</v>
          </cell>
          <cell r="P1258">
            <v>46067</v>
          </cell>
          <cell r="Q1258">
            <v>46070</v>
          </cell>
          <cell r="R1258" t="str">
            <v>火</v>
          </cell>
          <cell r="S1258" t="str">
            <v>AM8:00</v>
          </cell>
        </row>
        <row r="1259">
          <cell r="A1259">
            <v>9409</v>
          </cell>
          <cell r="B1259" t="str">
            <v>山本 和弥</v>
          </cell>
          <cell r="C1259" t="str">
            <v>TRADIA</v>
          </cell>
          <cell r="D1259">
            <v>46059</v>
          </cell>
          <cell r="E1259" t="str">
            <v>26P0201</v>
          </cell>
          <cell r="F1259" t="str">
            <v>I000015146</v>
          </cell>
          <cell r="J1259">
            <v>455771.33999999997</v>
          </cell>
          <cell r="K1259">
            <v>67.290000000000006</v>
          </cell>
          <cell r="L1259" t="str">
            <v>OOCU6183569</v>
          </cell>
          <cell r="M1259">
            <v>11</v>
          </cell>
          <cell r="N1259" t="str">
            <v>40HQ</v>
          </cell>
          <cell r="O1259">
            <v>4</v>
          </cell>
          <cell r="P1259">
            <v>46071</v>
          </cell>
          <cell r="Q1259">
            <v>46080</v>
          </cell>
          <cell r="R1259" t="str">
            <v>金</v>
          </cell>
          <cell r="S1259" t="str">
            <v>AM7:30</v>
          </cell>
        </row>
        <row r="1260">
          <cell r="A1260">
            <v>9410</v>
          </cell>
          <cell r="B1260" t="str">
            <v>山本 和弥</v>
          </cell>
          <cell r="C1260" t="str">
            <v>FUZILOGIX</v>
          </cell>
          <cell r="D1260">
            <v>46063</v>
          </cell>
          <cell r="E1260" t="str">
            <v>26T0204</v>
          </cell>
          <cell r="F1260" t="str">
            <v>I000015150</v>
          </cell>
          <cell r="J1260">
            <v>751671</v>
          </cell>
          <cell r="K1260">
            <v>61.16</v>
          </cell>
          <cell r="L1260" t="str">
            <v>WHSU8750517</v>
          </cell>
          <cell r="M1260">
            <v>2</v>
          </cell>
          <cell r="N1260" t="str">
            <v>40HQ</v>
          </cell>
          <cell r="O1260">
            <v>2</v>
          </cell>
          <cell r="P1260">
            <v>46069</v>
          </cell>
          <cell r="Q1260">
            <v>46071</v>
          </cell>
          <cell r="R1260" t="str">
            <v>水</v>
          </cell>
          <cell r="S1260" t="str">
            <v>AM8:00</v>
          </cell>
        </row>
        <row r="1261">
          <cell r="A1261">
            <v>9411</v>
          </cell>
          <cell r="B1261" t="str">
            <v>山本 和弥</v>
          </cell>
          <cell r="C1261" t="str">
            <v>FUZILOGIX</v>
          </cell>
          <cell r="D1261">
            <v>46063</v>
          </cell>
          <cell r="E1261" t="str">
            <v>26T0205</v>
          </cell>
          <cell r="F1261" t="str">
            <v>I000015154</v>
          </cell>
          <cell r="J1261">
            <v>549981.74000000011</v>
          </cell>
          <cell r="K1261">
            <v>63.93</v>
          </cell>
          <cell r="L1261" t="str">
            <v>WHSU5812750</v>
          </cell>
          <cell r="M1261">
            <v>2</v>
          </cell>
          <cell r="N1261" t="str">
            <v>40HQ</v>
          </cell>
          <cell r="O1261">
            <v>2</v>
          </cell>
          <cell r="P1261">
            <v>46069</v>
          </cell>
          <cell r="Q1261">
            <v>46071</v>
          </cell>
          <cell r="R1261" t="str">
            <v>水</v>
          </cell>
          <cell r="S1261" t="str">
            <v>AM8:00</v>
          </cell>
        </row>
        <row r="1262">
          <cell r="A1262">
            <v>9412</v>
          </cell>
          <cell r="B1262" t="str">
            <v>山本 和弥</v>
          </cell>
          <cell r="C1262" t="str">
            <v>FUZILOGIX</v>
          </cell>
          <cell r="D1262">
            <v>46063</v>
          </cell>
          <cell r="E1262" t="str">
            <v>26T0206</v>
          </cell>
          <cell r="F1262" t="str">
            <v>I000015153</v>
          </cell>
          <cell r="J1262">
            <v>536982.31999999995</v>
          </cell>
          <cell r="K1262">
            <v>64.45</v>
          </cell>
          <cell r="L1262" t="str">
            <v>WHSU8652697</v>
          </cell>
          <cell r="M1262">
            <v>2</v>
          </cell>
          <cell r="N1262" t="str">
            <v>40HQ</v>
          </cell>
          <cell r="O1262">
            <v>5</v>
          </cell>
          <cell r="P1262">
            <v>46070</v>
          </cell>
          <cell r="Q1262">
            <v>46072</v>
          </cell>
          <cell r="R1262" t="str">
            <v>木</v>
          </cell>
          <cell r="S1262" t="str">
            <v>AM8:00</v>
          </cell>
        </row>
        <row r="1263">
          <cell r="A1263">
            <v>9413</v>
          </cell>
          <cell r="B1263" t="str">
            <v>梅田 勝太</v>
          </cell>
          <cell r="C1263" t="str">
            <v>TRADIA</v>
          </cell>
          <cell r="D1263">
            <v>46065</v>
          </cell>
          <cell r="E1263" t="str">
            <v>26K0155</v>
          </cell>
          <cell r="F1263" t="str">
            <v>I000015060</v>
          </cell>
          <cell r="J1263">
            <v>39013.64</v>
          </cell>
          <cell r="K1263">
            <v>5.34</v>
          </cell>
          <cell r="M1263">
            <v>18</v>
          </cell>
          <cell r="O1263">
            <v>2</v>
          </cell>
          <cell r="P1263">
            <v>46044</v>
          </cell>
          <cell r="S1263" t="str">
            <v>AM8:30</v>
          </cell>
        </row>
        <row r="1264">
          <cell r="A1264">
            <v>9414</v>
          </cell>
          <cell r="B1264" t="str">
            <v>梅田 勝太</v>
          </cell>
          <cell r="C1264" t="str">
            <v>TRADIA</v>
          </cell>
          <cell r="D1264">
            <v>46065</v>
          </cell>
          <cell r="E1264" t="str">
            <v>26K0201</v>
          </cell>
          <cell r="F1264" t="str">
            <v>I000015136</v>
          </cell>
          <cell r="J1264">
            <v>816678.74</v>
          </cell>
          <cell r="K1264">
            <v>58.21</v>
          </cell>
          <cell r="L1264" t="str">
            <v>OOCU4757879</v>
          </cell>
          <cell r="M1264">
            <v>18</v>
          </cell>
          <cell r="N1264" t="str">
            <v>40GP</v>
          </cell>
          <cell r="O1264">
            <v>1</v>
          </cell>
          <cell r="P1264">
            <v>46069</v>
          </cell>
          <cell r="S1264" t="str">
            <v>AM8:30</v>
          </cell>
        </row>
        <row r="1265">
          <cell r="A1265">
            <v>9415</v>
          </cell>
          <cell r="B1265" t="str">
            <v>梅田 勝太</v>
          </cell>
          <cell r="C1265" t="str">
            <v>TRADIA</v>
          </cell>
          <cell r="D1265">
            <v>46065</v>
          </cell>
          <cell r="E1265" t="str">
            <v>26K0202</v>
          </cell>
          <cell r="F1265" t="str">
            <v>I000015152</v>
          </cell>
          <cell r="J1265">
            <v>900727.55999999994</v>
          </cell>
          <cell r="K1265">
            <v>61.04</v>
          </cell>
          <cell r="L1265" t="str">
            <v>OOLU4502508</v>
          </cell>
          <cell r="M1265">
            <v>18</v>
          </cell>
          <cell r="N1265" t="str">
            <v>40GP</v>
          </cell>
          <cell r="O1265">
            <v>1</v>
          </cell>
          <cell r="P1265">
            <v>46069</v>
          </cell>
          <cell r="S1265" t="str">
            <v>AM8:30</v>
          </cell>
        </row>
        <row r="1266">
          <cell r="A1266">
            <v>9416</v>
          </cell>
          <cell r="B1266" t="str">
            <v>梅田 勝太</v>
          </cell>
          <cell r="C1266" t="str">
            <v>TRADIA</v>
          </cell>
          <cell r="D1266">
            <v>46065</v>
          </cell>
          <cell r="E1266" t="str">
            <v>26K0252</v>
          </cell>
          <cell r="F1266" t="str">
            <v>I000015158</v>
          </cell>
          <cell r="J1266">
            <v>14991.5</v>
          </cell>
          <cell r="K1266">
            <v>0.8</v>
          </cell>
          <cell r="M1266">
            <v>18</v>
          </cell>
          <cell r="O1266">
            <v>2</v>
          </cell>
          <cell r="P1266">
            <v>46069</v>
          </cell>
          <cell r="S1266" t="str">
            <v>AM8:30</v>
          </cell>
        </row>
        <row r="1267">
          <cell r="A1267">
            <v>9417</v>
          </cell>
          <cell r="B1267" t="str">
            <v>梅田 勝太</v>
          </cell>
          <cell r="C1267" t="str">
            <v>TRADIA</v>
          </cell>
          <cell r="D1267">
            <v>46065</v>
          </cell>
          <cell r="E1267" t="str">
            <v>26K0256</v>
          </cell>
          <cell r="F1267" t="str">
            <v>I000015161</v>
          </cell>
          <cell r="J1267">
            <v>230880.84999999998</v>
          </cell>
          <cell r="K1267">
            <v>1.57</v>
          </cell>
          <cell r="M1267">
            <v>18</v>
          </cell>
          <cell r="O1267">
            <v>9</v>
          </cell>
          <cell r="S1267" t="str">
            <v>AM8:30</v>
          </cell>
        </row>
        <row r="1268">
          <cell r="A1268">
            <v>9418</v>
          </cell>
          <cell r="B1268" t="str">
            <v>梅田 勝太</v>
          </cell>
          <cell r="C1268" t="str">
            <v>TRADIA</v>
          </cell>
          <cell r="D1268">
            <v>46065</v>
          </cell>
          <cell r="E1268" t="str">
            <v>26K0254</v>
          </cell>
          <cell r="F1268" t="str">
            <v>I000015159</v>
          </cell>
          <cell r="J1268">
            <v>950.05</v>
          </cell>
          <cell r="K1268">
            <v>0.11</v>
          </cell>
          <cell r="M1268">
            <v>18</v>
          </cell>
          <cell r="O1268">
            <v>9</v>
          </cell>
          <cell r="S1268" t="str">
            <v>AM8:30</v>
          </cell>
        </row>
        <row r="1269">
          <cell r="A1269">
            <v>9419</v>
          </cell>
          <cell r="B1269" t="str">
            <v>梅田 勝太</v>
          </cell>
          <cell r="C1269" t="str">
            <v>TRADIA</v>
          </cell>
          <cell r="D1269">
            <v>46065</v>
          </cell>
          <cell r="E1269" t="str">
            <v>26K0204</v>
          </cell>
          <cell r="F1269" t="str">
            <v>I000015167</v>
          </cell>
          <cell r="J1269">
            <v>841788.72999999986</v>
          </cell>
          <cell r="K1269">
            <v>59.31</v>
          </cell>
          <cell r="L1269" t="str">
            <v>EGHU8323281</v>
          </cell>
          <cell r="M1269">
            <v>18</v>
          </cell>
          <cell r="N1269" t="str">
            <v>40GP</v>
          </cell>
          <cell r="O1269">
            <v>1</v>
          </cell>
          <cell r="P1269">
            <v>46073</v>
          </cell>
          <cell r="S1269" t="str">
            <v>AM8:30</v>
          </cell>
        </row>
        <row r="1270">
          <cell r="A1270">
            <v>9420</v>
          </cell>
          <cell r="B1270" t="str">
            <v>梅田 勝太</v>
          </cell>
          <cell r="C1270" t="str">
            <v>TRADIA</v>
          </cell>
          <cell r="D1270">
            <v>46065</v>
          </cell>
          <cell r="E1270" t="str">
            <v>26K0253</v>
          </cell>
          <cell r="F1270" t="str">
            <v>I000015164</v>
          </cell>
          <cell r="J1270">
            <v>2366.2999999999997</v>
          </cell>
          <cell r="K1270">
            <v>0.32</v>
          </cell>
          <cell r="M1270">
            <v>18</v>
          </cell>
          <cell r="O1270">
            <v>9</v>
          </cell>
          <cell r="S1270" t="str">
            <v>AM8:30</v>
          </cell>
        </row>
        <row r="1271">
          <cell r="A1271">
            <v>9421</v>
          </cell>
          <cell r="B1271" t="str">
            <v>山本 和弥</v>
          </cell>
          <cell r="C1271" t="str">
            <v>TRADIA</v>
          </cell>
          <cell r="D1271">
            <v>46069</v>
          </cell>
          <cell r="E1271" t="str">
            <v>26P0202</v>
          </cell>
          <cell r="F1271" t="str">
            <v>I000015168</v>
          </cell>
          <cell r="J1271">
            <v>430548.84</v>
          </cell>
          <cell r="K1271">
            <v>59.04</v>
          </cell>
          <cell r="L1271" t="str">
            <v>EGSU6302534</v>
          </cell>
          <cell r="M1271">
            <v>14</v>
          </cell>
          <cell r="N1271" t="str">
            <v>40HQ</v>
          </cell>
          <cell r="O1271">
            <v>2</v>
          </cell>
          <cell r="P1271">
            <v>46072</v>
          </cell>
          <cell r="Q1271">
            <v>46080</v>
          </cell>
          <cell r="R1271" t="str">
            <v>金</v>
          </cell>
          <cell r="S1271" t="str">
            <v>AM9:30</v>
          </cell>
        </row>
        <row r="1272">
          <cell r="A1272">
            <v>9422</v>
          </cell>
          <cell r="B1272" t="str">
            <v>山本 和弥</v>
          </cell>
          <cell r="C1272" t="str">
            <v>FUZILOGIX</v>
          </cell>
          <cell r="D1272">
            <v>46069</v>
          </cell>
          <cell r="E1272" t="str">
            <v>26T0207</v>
          </cell>
          <cell r="F1272" t="str">
            <v>I000015165</v>
          </cell>
          <cell r="J1272">
            <v>637538.84000000008</v>
          </cell>
          <cell r="K1272">
            <v>62.72</v>
          </cell>
          <cell r="L1272" t="str">
            <v>BSIU8436894</v>
          </cell>
          <cell r="M1272">
            <v>2</v>
          </cell>
          <cell r="N1272" t="str">
            <v>40HQ</v>
          </cell>
          <cell r="O1272">
            <v>5</v>
          </cell>
          <cell r="P1272">
            <v>46073</v>
          </cell>
          <cell r="Q1272">
            <v>46077</v>
          </cell>
          <cell r="R1272" t="str">
            <v>火</v>
          </cell>
          <cell r="S1272" t="str">
            <v>AM8:00</v>
          </cell>
        </row>
        <row r="1273">
          <cell r="A1273">
            <v>9423</v>
          </cell>
          <cell r="B1273" t="str">
            <v>山本 和弥</v>
          </cell>
          <cell r="C1273" t="str">
            <v>FUZILOGIX</v>
          </cell>
          <cell r="D1273">
            <v>46069</v>
          </cell>
          <cell r="E1273" t="str">
            <v>26T0208</v>
          </cell>
          <cell r="F1273" t="str">
            <v>I000015166</v>
          </cell>
          <cell r="J1273">
            <v>707196.74</v>
          </cell>
          <cell r="K1273">
            <v>60.63</v>
          </cell>
          <cell r="L1273" t="str">
            <v>CSNU8752112</v>
          </cell>
          <cell r="M1273">
            <v>2</v>
          </cell>
          <cell r="N1273" t="str">
            <v>40HQ</v>
          </cell>
          <cell r="O1273">
            <v>2</v>
          </cell>
          <cell r="P1273">
            <v>46073</v>
          </cell>
          <cell r="Q1273">
            <v>46077</v>
          </cell>
          <cell r="R1273" t="str">
            <v>火</v>
          </cell>
          <cell r="S1273" t="str">
            <v>AM8:00</v>
          </cell>
        </row>
        <row r="1274">
          <cell r="A1274">
            <v>9424</v>
          </cell>
          <cell r="B1274" t="str">
            <v>山本 和弥</v>
          </cell>
          <cell r="C1274" t="str">
            <v>FUZILOGIX</v>
          </cell>
          <cell r="D1274">
            <v>46080</v>
          </cell>
          <cell r="E1274" t="str">
            <v>26T0250</v>
          </cell>
          <cell r="F1274" t="str">
            <v>I000015128</v>
          </cell>
          <cell r="J1274">
            <v>2200</v>
          </cell>
          <cell r="K1274">
            <v>0.19</v>
          </cell>
          <cell r="M1274">
            <v>2</v>
          </cell>
          <cell r="N1274" t="str">
            <v>DHL</v>
          </cell>
          <cell r="O1274">
            <v>9</v>
          </cell>
          <cell r="S1274" t="str">
            <v>AM8:00</v>
          </cell>
        </row>
        <row r="1275">
          <cell r="A1275">
            <v>9425</v>
          </cell>
          <cell r="B1275" t="str">
            <v>山本 和弥</v>
          </cell>
          <cell r="C1275" t="str">
            <v>FUZILOGIX</v>
          </cell>
          <cell r="D1275">
            <v>46080</v>
          </cell>
          <cell r="E1275" t="str">
            <v>26T0251</v>
          </cell>
          <cell r="F1275" t="str">
            <v>I000015145</v>
          </cell>
          <cell r="J1275">
            <v>58160</v>
          </cell>
          <cell r="K1275">
            <v>3.47</v>
          </cell>
          <cell r="M1275">
            <v>2</v>
          </cell>
          <cell r="N1275" t="str">
            <v>DHL</v>
          </cell>
          <cell r="O1275">
            <v>9</v>
          </cell>
          <cell r="S1275" t="str">
            <v>AM8:00</v>
          </cell>
        </row>
        <row r="1276">
          <cell r="A1276">
            <v>9426</v>
          </cell>
          <cell r="B1276" t="str">
            <v>山本 和弥</v>
          </cell>
          <cell r="C1276" t="str">
            <v>FUZILOGIX</v>
          </cell>
          <cell r="D1276">
            <v>46080</v>
          </cell>
          <cell r="E1276" t="str">
            <v>26T0252</v>
          </cell>
          <cell r="F1276" t="str">
            <v>I000015148</v>
          </cell>
          <cell r="J1276">
            <v>17159.68</v>
          </cell>
          <cell r="K1276">
            <v>0</v>
          </cell>
          <cell r="M1276">
            <v>2</v>
          </cell>
          <cell r="N1276" t="str">
            <v>DHL</v>
          </cell>
          <cell r="O1276">
            <v>9</v>
          </cell>
          <cell r="S1276" t="str">
            <v>AM8:00</v>
          </cell>
        </row>
        <row r="1277">
          <cell r="A1277">
            <v>9427</v>
          </cell>
          <cell r="B1277" t="str">
            <v>山本 和弥</v>
          </cell>
          <cell r="C1277" t="str">
            <v>FUZILOGIX</v>
          </cell>
          <cell r="D1277">
            <v>46080</v>
          </cell>
          <cell r="E1277" t="str">
            <v>26T0253</v>
          </cell>
          <cell r="F1277" t="str">
            <v>I000015144</v>
          </cell>
          <cell r="J1277">
            <v>10800</v>
          </cell>
          <cell r="K1277">
            <v>0.16</v>
          </cell>
          <cell r="M1277">
            <v>2</v>
          </cell>
          <cell r="N1277" t="str">
            <v>DHL</v>
          </cell>
          <cell r="O1277">
            <v>9</v>
          </cell>
          <cell r="S1277" t="str">
            <v>AM8:00</v>
          </cell>
        </row>
        <row r="1278">
          <cell r="A1278">
            <v>9428</v>
          </cell>
          <cell r="B1278" t="str">
            <v>山本 和弥</v>
          </cell>
          <cell r="C1278" t="str">
            <v>FUZILOGIX</v>
          </cell>
          <cell r="D1278">
            <v>46080</v>
          </cell>
          <cell r="E1278" t="str">
            <v>26T0254</v>
          </cell>
          <cell r="F1278" t="str">
            <v>I000015160</v>
          </cell>
          <cell r="J1278">
            <v>5645</v>
          </cell>
          <cell r="K1278">
            <v>0.93</v>
          </cell>
          <cell r="M1278">
            <v>2</v>
          </cell>
          <cell r="N1278" t="str">
            <v>DHL</v>
          </cell>
          <cell r="O1278">
            <v>9</v>
          </cell>
          <cell r="S1278" t="str">
            <v>AM8:00</v>
          </cell>
        </row>
        <row r="1279">
          <cell r="A1279">
            <v>9429</v>
          </cell>
          <cell r="B1279" t="str">
            <v>山本 和弥</v>
          </cell>
          <cell r="C1279" t="str">
            <v>FUZILOGIX</v>
          </cell>
          <cell r="D1279">
            <v>46083</v>
          </cell>
          <cell r="E1279" t="str">
            <v>26T0209</v>
          </cell>
          <cell r="F1279" t="str">
            <v>I000015174</v>
          </cell>
          <cell r="J1279">
            <v>878815.3</v>
          </cell>
          <cell r="K1279">
            <v>63.47</v>
          </cell>
          <cell r="L1279" t="str">
            <v>WHSU8221473</v>
          </cell>
          <cell r="M1279">
            <v>2</v>
          </cell>
          <cell r="N1279" t="str">
            <v>40HQ</v>
          </cell>
          <cell r="O1279">
            <v>2</v>
          </cell>
          <cell r="P1279">
            <v>46093</v>
          </cell>
          <cell r="Q1279">
            <v>46097</v>
          </cell>
          <cell r="R1279" t="str">
            <v>月</v>
          </cell>
          <cell r="S1279" t="str">
            <v>AM8:00</v>
          </cell>
        </row>
        <row r="1280">
          <cell r="A1280">
            <v>9430</v>
          </cell>
          <cell r="B1280" t="str">
            <v>山本 和弥</v>
          </cell>
          <cell r="C1280" t="str">
            <v>FUZILOGIX</v>
          </cell>
          <cell r="D1280">
            <v>46083</v>
          </cell>
          <cell r="E1280" t="str">
            <v>26T0210</v>
          </cell>
          <cell r="F1280" t="str">
            <v>I000015180</v>
          </cell>
          <cell r="J1280">
            <v>712769.72000000009</v>
          </cell>
          <cell r="K1280">
            <v>61.27</v>
          </cell>
          <cell r="L1280" t="str">
            <v>WHSU8166566</v>
          </cell>
          <cell r="M1280">
            <v>2</v>
          </cell>
          <cell r="N1280" t="str">
            <v>40HQ</v>
          </cell>
          <cell r="O1280">
            <v>2</v>
          </cell>
          <cell r="P1280">
            <v>46093</v>
          </cell>
          <cell r="Q1280">
            <v>46097</v>
          </cell>
          <cell r="R1280" t="str">
            <v>月</v>
          </cell>
          <cell r="S1280" t="str">
            <v>AM8:00</v>
          </cell>
        </row>
        <row r="1281">
          <cell r="A1281">
            <v>9431</v>
          </cell>
          <cell r="B1281" t="str">
            <v>山本 和弥</v>
          </cell>
          <cell r="C1281" t="str">
            <v>FUZILOGIX</v>
          </cell>
          <cell r="D1281">
            <v>46087</v>
          </cell>
          <cell r="E1281" t="str">
            <v>26T0301</v>
          </cell>
          <cell r="F1281" t="str">
            <v>I000015190</v>
          </cell>
          <cell r="J1281">
            <v>540797.46000000008</v>
          </cell>
          <cell r="K1281">
            <v>64.010000000000005</v>
          </cell>
          <cell r="L1281" t="str">
            <v>WHSU8379520</v>
          </cell>
          <cell r="M1281">
            <v>2</v>
          </cell>
          <cell r="N1281" t="str">
            <v>40HQ</v>
          </cell>
          <cell r="O1281">
            <v>5</v>
          </cell>
          <cell r="P1281">
            <v>46096</v>
          </cell>
          <cell r="Q1281">
            <v>46098</v>
          </cell>
          <cell r="R1281" t="str">
            <v>火</v>
          </cell>
          <cell r="S1281" t="str">
            <v>AM8:00</v>
          </cell>
        </row>
        <row r="1282">
          <cell r="A1282">
            <v>9432</v>
          </cell>
          <cell r="B1282" t="str">
            <v>山本 和弥</v>
          </cell>
          <cell r="C1282" t="str">
            <v>FUZILOGIX</v>
          </cell>
          <cell r="D1282">
            <v>46087</v>
          </cell>
          <cell r="E1282" t="str">
            <v>26T0302</v>
          </cell>
          <cell r="F1282" t="str">
            <v>I000015195</v>
          </cell>
          <cell r="J1282">
            <v>637060.1100000001</v>
          </cell>
          <cell r="K1282">
            <v>62.73</v>
          </cell>
          <cell r="L1282" t="str">
            <v>WHSU5496780</v>
          </cell>
          <cell r="M1282">
            <v>2</v>
          </cell>
          <cell r="N1282" t="str">
            <v>40HQ</v>
          </cell>
          <cell r="O1282">
            <v>2</v>
          </cell>
          <cell r="P1282">
            <v>46095</v>
          </cell>
          <cell r="Q1282">
            <v>46098</v>
          </cell>
          <cell r="R1282" t="str">
            <v>火</v>
          </cell>
          <cell r="S1282" t="str">
            <v>AM8:00</v>
          </cell>
        </row>
        <row r="1283">
          <cell r="A1283">
            <v>9433</v>
          </cell>
          <cell r="B1283" t="str">
            <v>山本 和弥</v>
          </cell>
          <cell r="C1283" t="str">
            <v>TRADIA</v>
          </cell>
          <cell r="D1283">
            <v>46087</v>
          </cell>
          <cell r="E1283" t="str">
            <v>26P0301</v>
          </cell>
          <cell r="F1283" t="str">
            <v>I000015196</v>
          </cell>
          <cell r="J1283">
            <v>461081.4</v>
          </cell>
          <cell r="K1283">
            <v>62.76</v>
          </cell>
          <cell r="L1283" t="str">
            <v>OOCU8844333</v>
          </cell>
          <cell r="M1283">
            <v>11</v>
          </cell>
          <cell r="N1283" t="str">
            <v>40HQ</v>
          </cell>
          <cell r="O1283">
            <v>4</v>
          </cell>
          <cell r="P1283">
            <v>46096</v>
          </cell>
          <cell r="Q1283">
            <v>46105</v>
          </cell>
          <cell r="R1283" t="str">
            <v>火</v>
          </cell>
          <cell r="S1283" t="str">
            <v>AM7:30</v>
          </cell>
        </row>
        <row r="1284">
          <cell r="A1284">
            <v>9434</v>
          </cell>
          <cell r="B1284" t="str">
            <v>梅田 勝太</v>
          </cell>
          <cell r="C1284" t="str">
            <v>TRADIA</v>
          </cell>
          <cell r="D1284">
            <v>46090</v>
          </cell>
          <cell r="E1284" t="str">
            <v>26K0301</v>
          </cell>
          <cell r="F1284" t="str">
            <v>I000015198</v>
          </cell>
          <cell r="J1284">
            <v>760769.6</v>
          </cell>
          <cell r="K1284">
            <v>49.21</v>
          </cell>
          <cell r="L1284" t="str">
            <v>TCLU4390796</v>
          </cell>
          <cell r="M1284">
            <v>18</v>
          </cell>
          <cell r="N1284" t="str">
            <v>40GP</v>
          </cell>
          <cell r="O1284">
            <v>1</v>
          </cell>
          <cell r="P1284">
            <v>46096</v>
          </cell>
          <cell r="S1284" t="str">
            <v>AM8:30</v>
          </cell>
        </row>
        <row r="1285">
          <cell r="A1285">
            <v>9435</v>
          </cell>
          <cell r="B1285" t="str">
            <v>山本 和弥</v>
          </cell>
          <cell r="C1285" t="str">
            <v>FUZILOGIX</v>
          </cell>
          <cell r="D1285">
            <v>46090</v>
          </cell>
          <cell r="E1285" t="str">
            <v>26T0303</v>
          </cell>
          <cell r="F1285" t="str">
            <v>I000015202</v>
          </cell>
          <cell r="J1285">
            <v>750770</v>
          </cell>
          <cell r="K1285">
            <v>56.93</v>
          </cell>
          <cell r="L1285" t="str">
            <v>FFAU5577317</v>
          </cell>
          <cell r="M1285">
            <v>2</v>
          </cell>
          <cell r="N1285" t="str">
            <v>40HQ</v>
          </cell>
          <cell r="O1285">
            <v>2</v>
          </cell>
          <cell r="P1285">
            <v>46095</v>
          </cell>
          <cell r="Q1285">
            <v>46098</v>
          </cell>
          <cell r="R1285" t="str">
            <v>火</v>
          </cell>
          <cell r="S1285" t="str">
            <v>AM8:00</v>
          </cell>
        </row>
        <row r="1286">
          <cell r="A1286">
            <v>9436</v>
          </cell>
          <cell r="B1286" t="str">
            <v>梅田 勝太</v>
          </cell>
          <cell r="C1286" t="str">
            <v>TRADIA</v>
          </cell>
          <cell r="D1286">
            <v>46092</v>
          </cell>
          <cell r="E1286" t="str">
            <v>26K0352</v>
          </cell>
          <cell r="F1286" t="str">
            <v>I000015208</v>
          </cell>
          <cell r="J1286">
            <v>223106.24</v>
          </cell>
          <cell r="K1286">
            <v>2.1800000000000002</v>
          </cell>
          <cell r="M1286">
            <v>18</v>
          </cell>
          <cell r="O1286">
            <v>9</v>
          </cell>
          <cell r="S1286" t="str">
            <v>AM8:30</v>
          </cell>
        </row>
        <row r="1287">
          <cell r="A1287">
            <v>9437</v>
          </cell>
          <cell r="B1287" t="str">
            <v>山本 和弥</v>
          </cell>
          <cell r="C1287" t="str">
            <v>FUZILOGIX</v>
          </cell>
          <cell r="D1287">
            <v>46093</v>
          </cell>
          <cell r="E1287" t="str">
            <v>26T0305</v>
          </cell>
          <cell r="F1287" t="str">
            <v>I000015213</v>
          </cell>
          <cell r="J1287">
            <v>702241.3</v>
          </cell>
          <cell r="K1287">
            <v>61.17</v>
          </cell>
          <cell r="L1287" t="str">
            <v>WHSU8312280</v>
          </cell>
          <cell r="M1287">
            <v>2</v>
          </cell>
          <cell r="N1287" t="str">
            <v>40HQ</v>
          </cell>
          <cell r="O1287">
            <v>5</v>
          </cell>
          <cell r="P1287">
            <v>46099</v>
          </cell>
          <cell r="Q1287">
            <v>46101</v>
          </cell>
          <cell r="R1287" t="str">
            <v>金</v>
          </cell>
          <cell r="S1287" t="str">
            <v>AM8:00</v>
          </cell>
        </row>
        <row r="1288">
          <cell r="A1288">
            <v>9438</v>
          </cell>
          <cell r="B1288" t="str">
            <v>梅田 勝太</v>
          </cell>
          <cell r="C1288" t="str">
            <v>TRADIA</v>
          </cell>
          <cell r="D1288">
            <v>46093</v>
          </cell>
          <cell r="E1288" t="str">
            <v>26K0354</v>
          </cell>
          <cell r="F1288" t="str">
            <v>I000015212</v>
          </cell>
          <cell r="J1288">
            <v>36452</v>
          </cell>
          <cell r="K1288">
            <v>0.3</v>
          </cell>
          <cell r="M1288">
            <v>18</v>
          </cell>
          <cell r="O1288">
            <v>9</v>
          </cell>
          <cell r="S1288" t="str">
            <v>AM8:30</v>
          </cell>
        </row>
        <row r="1289">
          <cell r="A1289">
            <v>9439</v>
          </cell>
          <cell r="B1289" t="str">
            <v>山本 和弥</v>
          </cell>
          <cell r="C1289" t="str">
            <v>TRADIA</v>
          </cell>
          <cell r="D1289">
            <v>46094</v>
          </cell>
          <cell r="E1289" t="str">
            <v>26P0302</v>
          </cell>
          <cell r="F1289" t="str">
            <v>I000015217</v>
          </cell>
          <cell r="J1289">
            <v>199597.56</v>
          </cell>
          <cell r="K1289">
            <v>28.47</v>
          </cell>
          <cell r="L1289" t="str">
            <v>TGBU3014852</v>
          </cell>
          <cell r="M1289">
            <v>14</v>
          </cell>
          <cell r="N1289" t="str">
            <v>20GP</v>
          </cell>
          <cell r="O1289">
            <v>2</v>
          </cell>
          <cell r="P1289">
            <v>46101</v>
          </cell>
          <cell r="S1289" t="str">
            <v>AM9:30</v>
          </cell>
        </row>
        <row r="1290">
          <cell r="A1290">
            <v>9440</v>
          </cell>
          <cell r="B1290" t="str">
            <v>山本 和弥</v>
          </cell>
          <cell r="C1290" t="str">
            <v>FUZILOGIX</v>
          </cell>
          <cell r="D1290">
            <v>46094</v>
          </cell>
          <cell r="E1290" t="str">
            <v>26T0304</v>
          </cell>
          <cell r="F1290" t="str">
            <v>I000015209</v>
          </cell>
          <cell r="J1290">
            <v>665942.64</v>
          </cell>
          <cell r="K1290">
            <v>62.29</v>
          </cell>
          <cell r="L1290" t="str">
            <v>TIIU5325298</v>
          </cell>
          <cell r="M1290">
            <v>2</v>
          </cell>
          <cell r="N1290" t="str">
            <v>40HQ</v>
          </cell>
          <cell r="O1290">
            <v>2</v>
          </cell>
          <cell r="P1290">
            <v>46102</v>
          </cell>
          <cell r="Q1290">
            <v>46105</v>
          </cell>
          <cell r="R1290" t="str">
            <v>火</v>
          </cell>
          <cell r="S1290" t="str">
            <v>AM8:00</v>
          </cell>
        </row>
        <row r="1291">
          <cell r="A1291">
            <v>9441</v>
          </cell>
          <cell r="B1291" t="str">
            <v>山本 和弥</v>
          </cell>
          <cell r="C1291" t="str">
            <v>FUZILOGIX</v>
          </cell>
          <cell r="D1291">
            <v>46094</v>
          </cell>
          <cell r="E1291" t="str">
            <v>26T0306</v>
          </cell>
          <cell r="F1291" t="str">
            <v>I000015218</v>
          </cell>
          <cell r="J1291">
            <v>636172.24</v>
          </cell>
          <cell r="K1291">
            <v>61.84</v>
          </cell>
          <cell r="L1291" t="str">
            <v>TIIU5308156</v>
          </cell>
          <cell r="M1291">
            <v>2</v>
          </cell>
          <cell r="N1291" t="str">
            <v>40HQ</v>
          </cell>
          <cell r="O1291">
            <v>2</v>
          </cell>
          <cell r="P1291">
            <v>46102</v>
          </cell>
          <cell r="Q1291">
            <v>46105</v>
          </cell>
          <cell r="R1291" t="str">
            <v>火</v>
          </cell>
          <cell r="S1291" t="str">
            <v>AM8:00</v>
          </cell>
        </row>
        <row r="1292">
          <cell r="A1292">
            <v>9442</v>
          </cell>
          <cell r="B1292" t="str">
            <v>梅田 勝太</v>
          </cell>
          <cell r="C1292" t="str">
            <v>TRADIA</v>
          </cell>
          <cell r="D1292">
            <v>46095</v>
          </cell>
          <cell r="E1292" t="str">
            <v>26K0203</v>
          </cell>
          <cell r="F1292" t="str">
            <v>I000015179</v>
          </cell>
          <cell r="J1292">
            <v>1032135.6</v>
          </cell>
          <cell r="K1292">
            <v>61</v>
          </cell>
          <cell r="L1292" t="str">
            <v>WHSU8405660</v>
          </cell>
          <cell r="M1292">
            <v>18</v>
          </cell>
          <cell r="N1292" t="str">
            <v>40HQ</v>
          </cell>
          <cell r="O1292">
            <v>2</v>
          </cell>
          <cell r="P1292">
            <v>46093</v>
          </cell>
          <cell r="S1292" t="str">
            <v>AM8:30</v>
          </cell>
        </row>
        <row r="1293">
          <cell r="A1293">
            <v>9443</v>
          </cell>
          <cell r="B1293" t="str">
            <v>梅田 勝太</v>
          </cell>
          <cell r="C1293" t="str">
            <v>TRADIA</v>
          </cell>
          <cell r="D1293">
            <v>46095</v>
          </cell>
          <cell r="E1293" t="str">
            <v>26K0302</v>
          </cell>
          <cell r="F1293" t="str">
            <v>I000015214</v>
          </cell>
          <cell r="J1293">
            <v>992613.39999999991</v>
          </cell>
          <cell r="K1293">
            <v>52.84</v>
          </cell>
          <cell r="L1293" t="str">
            <v>OOCU4904687</v>
          </cell>
          <cell r="M1293">
            <v>18</v>
          </cell>
          <cell r="N1293" t="str">
            <v>40GP</v>
          </cell>
          <cell r="O1293">
            <v>2</v>
          </cell>
          <cell r="P1293">
            <v>46101</v>
          </cell>
          <cell r="S1293" t="str">
            <v>AM8:30</v>
          </cell>
        </row>
        <row r="1294">
          <cell r="A1294">
            <v>9444</v>
          </cell>
          <cell r="B1294" t="str">
            <v>山本 和弥</v>
          </cell>
          <cell r="C1294" t="str">
            <v>FUZILOGIX</v>
          </cell>
          <cell r="D1294">
            <v>46097</v>
          </cell>
          <cell r="E1294" t="str">
            <v>26T0308</v>
          </cell>
          <cell r="F1294" t="str">
            <v>I000015223</v>
          </cell>
          <cell r="J1294">
            <v>704669.82000000007</v>
          </cell>
          <cell r="K1294">
            <v>62.72</v>
          </cell>
          <cell r="L1294" t="str">
            <v>WHSU8258786</v>
          </cell>
          <cell r="M1294">
            <v>2</v>
          </cell>
          <cell r="N1294" t="str">
            <v>40HQ</v>
          </cell>
          <cell r="O1294">
            <v>5</v>
          </cell>
          <cell r="P1294">
            <v>46104</v>
          </cell>
          <cell r="Q1294">
            <v>46106</v>
          </cell>
          <cell r="R1294" t="str">
            <v>水</v>
          </cell>
          <cell r="S1294" t="str">
            <v>AM8:00</v>
          </cell>
        </row>
        <row r="1295">
          <cell r="A1295">
            <v>9445</v>
          </cell>
          <cell r="B1295" t="str">
            <v>山本 和弥</v>
          </cell>
          <cell r="C1295" t="str">
            <v>FUZILOGIX</v>
          </cell>
          <cell r="D1295">
            <v>46098</v>
          </cell>
          <cell r="E1295" t="str">
            <v>26T0307</v>
          </cell>
          <cell r="F1295" t="str">
            <v>I000015221</v>
          </cell>
          <cell r="J1295">
            <v>669659.91</v>
          </cell>
          <cell r="K1295">
            <v>64.37</v>
          </cell>
          <cell r="L1295" t="str">
            <v>WHSU8779130</v>
          </cell>
          <cell r="M1295">
            <v>2</v>
          </cell>
          <cell r="N1295" t="str">
            <v>40HQ</v>
          </cell>
          <cell r="O1295">
            <v>2</v>
          </cell>
          <cell r="P1295">
            <v>46105</v>
          </cell>
          <cell r="Q1295">
            <v>46107</v>
          </cell>
          <cell r="R1295" t="str">
            <v>木</v>
          </cell>
          <cell r="S1295" t="str">
            <v>AM8:00</v>
          </cell>
        </row>
        <row r="1296">
          <cell r="A1296">
            <v>9446</v>
          </cell>
          <cell r="B1296" t="str">
            <v>梅田 勝太</v>
          </cell>
          <cell r="C1296" t="str">
            <v>TRADIA</v>
          </cell>
          <cell r="D1296">
            <v>46100</v>
          </cell>
          <cell r="E1296" t="str">
            <v>26K0356</v>
          </cell>
          <cell r="F1296" t="str">
            <v>I000015229</v>
          </cell>
          <cell r="J1296">
            <v>163617.97</v>
          </cell>
          <cell r="K1296">
            <v>0.89</v>
          </cell>
          <cell r="M1296">
            <v>18</v>
          </cell>
          <cell r="O1296">
            <v>9</v>
          </cell>
          <cell r="S1296" t="str">
            <v>AM8:30</v>
          </cell>
        </row>
        <row r="1297">
          <cell r="A1297">
            <v>9447</v>
          </cell>
          <cell r="B1297" t="str">
            <v>山本 和弥</v>
          </cell>
          <cell r="C1297" t="str">
            <v>FUZILOGIX</v>
          </cell>
          <cell r="D1297">
            <v>46100</v>
          </cell>
          <cell r="E1297" t="str">
            <v>26T0309</v>
          </cell>
          <cell r="F1297" t="str">
            <v>I000015228</v>
          </cell>
          <cell r="J1297">
            <v>668800.4</v>
          </cell>
          <cell r="K1297">
            <v>63.06</v>
          </cell>
          <cell r="L1297" t="str">
            <v>WHSU8263083</v>
          </cell>
          <cell r="M1297">
            <v>2</v>
          </cell>
          <cell r="N1297" t="str">
            <v>40HQ</v>
          </cell>
          <cell r="O1297">
            <v>2</v>
          </cell>
          <cell r="P1297">
            <v>46110</v>
          </cell>
          <cell r="Q1297">
            <v>46112</v>
          </cell>
          <cell r="R1297" t="str">
            <v>火</v>
          </cell>
          <cell r="S1297" t="str">
            <v>AM8:00</v>
          </cell>
        </row>
        <row r="1298">
          <cell r="A1298">
            <v>9448</v>
          </cell>
          <cell r="B1298" t="str">
            <v>山本 和弥</v>
          </cell>
          <cell r="C1298" t="str">
            <v>FUZILOGIX</v>
          </cell>
          <cell r="D1298">
            <v>46100</v>
          </cell>
          <cell r="E1298" t="str">
            <v>26T0310</v>
          </cell>
          <cell r="F1298" t="str">
            <v>I000015237</v>
          </cell>
          <cell r="J1298">
            <v>693725.96</v>
          </cell>
          <cell r="K1298">
            <v>63.77</v>
          </cell>
          <cell r="L1298" t="str">
            <v>WHSU8176409</v>
          </cell>
          <cell r="M1298">
            <v>2</v>
          </cell>
          <cell r="N1298" t="str">
            <v>40HQ</v>
          </cell>
          <cell r="O1298">
            <v>2</v>
          </cell>
          <cell r="P1298">
            <v>46110</v>
          </cell>
          <cell r="Q1298">
            <v>46112</v>
          </cell>
          <cell r="R1298" t="str">
            <v>火</v>
          </cell>
          <cell r="S1298" t="str">
            <v>AM8:00</v>
          </cell>
        </row>
        <row r="1299">
          <cell r="A1299">
            <v>9449</v>
          </cell>
          <cell r="B1299" t="str">
            <v>山本 和弥</v>
          </cell>
          <cell r="C1299" t="str">
            <v>TRADIA</v>
          </cell>
          <cell r="D1299">
            <v>46100</v>
          </cell>
          <cell r="E1299" t="str">
            <v>26P0303</v>
          </cell>
          <cell r="F1299" t="str">
            <v>I000015239</v>
          </cell>
          <cell r="J1299">
            <v>420736.86</v>
          </cell>
          <cell r="K1299">
            <v>62.83</v>
          </cell>
          <cell r="L1299" t="str">
            <v>CCLU7424996</v>
          </cell>
          <cell r="M1299">
            <v>11</v>
          </cell>
          <cell r="N1299" t="str">
            <v>40HQ</v>
          </cell>
          <cell r="O1299">
            <v>4</v>
          </cell>
          <cell r="P1299">
            <v>46110</v>
          </cell>
          <cell r="Q1299">
            <v>46119</v>
          </cell>
          <cell r="R1299" t="str">
            <v>火</v>
          </cell>
          <cell r="S1299" t="str">
            <v>AM7:30</v>
          </cell>
        </row>
        <row r="1300">
          <cell r="A1300">
            <v>9450</v>
          </cell>
          <cell r="B1300" t="str">
            <v>梅田 勝太</v>
          </cell>
          <cell r="C1300" t="str">
            <v>TRADIA</v>
          </cell>
          <cell r="D1300">
            <v>46104</v>
          </cell>
          <cell r="E1300" t="str">
            <v>26K0303</v>
          </cell>
          <cell r="F1300" t="str">
            <v>I000015222</v>
          </cell>
          <cell r="J1300">
            <v>376156.33999999997</v>
          </cell>
          <cell r="K1300">
            <v>26.18</v>
          </cell>
          <cell r="L1300" t="str">
            <v>TLLU2655976</v>
          </cell>
          <cell r="M1300">
            <v>18</v>
          </cell>
          <cell r="N1300" t="str">
            <v>20GP</v>
          </cell>
          <cell r="O1300">
            <v>2</v>
          </cell>
          <cell r="P1300">
            <v>46107</v>
          </cell>
          <cell r="S1300" t="str">
            <v>AM8:30</v>
          </cell>
        </row>
        <row r="1301">
          <cell r="A1301">
            <v>9451</v>
          </cell>
          <cell r="B1301" t="str">
            <v>梅田 勝太</v>
          </cell>
          <cell r="C1301" t="str">
            <v>TRADIA</v>
          </cell>
          <cell r="D1301">
            <v>46104</v>
          </cell>
          <cell r="E1301" t="str">
            <v>26K0350</v>
          </cell>
          <cell r="F1301" t="str">
            <v>I000015182</v>
          </cell>
          <cell r="J1301">
            <v>159682.96</v>
          </cell>
          <cell r="K1301">
            <v>1</v>
          </cell>
          <cell r="M1301">
            <v>18</v>
          </cell>
          <cell r="O1301">
            <v>9</v>
          </cell>
          <cell r="S1301" t="str">
            <v>AM8:30</v>
          </cell>
        </row>
        <row r="1302">
          <cell r="A1302">
            <v>9452</v>
          </cell>
          <cell r="B1302" t="str">
            <v>梅田 勝太</v>
          </cell>
          <cell r="C1302" t="str">
            <v>TRADIA</v>
          </cell>
          <cell r="D1302">
            <v>46104</v>
          </cell>
          <cell r="E1302" t="str">
            <v>26K0351</v>
          </cell>
          <cell r="F1302" t="str">
            <v>I000015191</v>
          </cell>
          <cell r="J1302">
            <v>129859.3</v>
          </cell>
          <cell r="K1302">
            <v>1.36</v>
          </cell>
          <cell r="M1302">
            <v>18</v>
          </cell>
          <cell r="O1302">
            <v>9</v>
          </cell>
          <cell r="S1302" t="str">
            <v>AM8:30</v>
          </cell>
        </row>
        <row r="1303">
          <cell r="A1303">
            <v>9453</v>
          </cell>
          <cell r="B1303" t="str">
            <v>梅田 勝太</v>
          </cell>
          <cell r="C1303" t="str">
            <v>TRADIA</v>
          </cell>
          <cell r="D1303">
            <v>46104</v>
          </cell>
          <cell r="E1303" t="str">
            <v>26K0353</v>
          </cell>
          <cell r="F1303" t="str">
            <v>I000015201</v>
          </cell>
          <cell r="J1303">
            <v>659.4</v>
          </cell>
          <cell r="K1303">
            <v>0.01</v>
          </cell>
          <cell r="M1303">
            <v>18</v>
          </cell>
          <cell r="N1303" t="str">
            <v>DHL</v>
          </cell>
          <cell r="O1303">
            <v>9</v>
          </cell>
          <cell r="S1303" t="str">
            <v>AM8:30</v>
          </cell>
        </row>
        <row r="1304">
          <cell r="A1304">
            <v>9454</v>
          </cell>
          <cell r="B1304" t="str">
            <v>梅田 勝太</v>
          </cell>
          <cell r="C1304" t="str">
            <v>TRADIA</v>
          </cell>
          <cell r="D1304">
            <v>46104</v>
          </cell>
          <cell r="E1304" t="str">
            <v>26K0358</v>
          </cell>
          <cell r="F1304" t="str">
            <v>I000015244</v>
          </cell>
          <cell r="J1304">
            <v>98575.22</v>
          </cell>
          <cell r="K1304">
            <v>0.65</v>
          </cell>
          <cell r="M1304">
            <v>18</v>
          </cell>
          <cell r="O1304">
            <v>9</v>
          </cell>
          <cell r="S1304" t="str">
            <v>AM8:30</v>
          </cell>
        </row>
        <row r="1305">
          <cell r="A1305">
            <v>9455</v>
          </cell>
          <cell r="B1305" t="str">
            <v>山本 和弥</v>
          </cell>
          <cell r="C1305" t="str">
            <v>FUZILOGIX</v>
          </cell>
          <cell r="D1305">
            <v>46104</v>
          </cell>
          <cell r="E1305" t="str">
            <v>26T0312</v>
          </cell>
          <cell r="F1305" t="str">
            <v>I000015246</v>
          </cell>
          <cell r="J1305">
            <v>662138.58000000007</v>
          </cell>
          <cell r="K1305">
            <v>64.069999999999993</v>
          </cell>
          <cell r="L1305" t="str">
            <v>WHSU6904552</v>
          </cell>
          <cell r="M1305">
            <v>2</v>
          </cell>
          <cell r="N1305" t="str">
            <v>40HQ</v>
          </cell>
          <cell r="O1305">
            <v>2</v>
          </cell>
          <cell r="P1305">
            <v>46111</v>
          </cell>
          <cell r="Q1305">
            <v>46113</v>
          </cell>
          <cell r="R1305" t="str">
            <v>水</v>
          </cell>
          <cell r="S1305" t="str">
            <v>AM8:00</v>
          </cell>
        </row>
        <row r="1306">
          <cell r="A1306">
            <v>9456</v>
          </cell>
          <cell r="B1306" t="str">
            <v>山本 和弥</v>
          </cell>
          <cell r="C1306" t="str">
            <v>FUZILOGIX</v>
          </cell>
          <cell r="D1306">
            <v>46104</v>
          </cell>
          <cell r="E1306" t="str">
            <v>26T0313</v>
          </cell>
          <cell r="F1306" t="str">
            <v>I000015247</v>
          </cell>
          <cell r="J1306">
            <v>739922.54</v>
          </cell>
          <cell r="K1306">
            <v>63.42</v>
          </cell>
          <cell r="L1306" t="str">
            <v>WHSU8417300</v>
          </cell>
          <cell r="M1306">
            <v>2</v>
          </cell>
          <cell r="N1306" t="str">
            <v>40HQ</v>
          </cell>
          <cell r="O1306">
            <v>2</v>
          </cell>
          <cell r="P1306">
            <v>46111</v>
          </cell>
          <cell r="Q1306">
            <v>46113</v>
          </cell>
          <cell r="R1306" t="str">
            <v>水</v>
          </cell>
          <cell r="S1306" t="str">
            <v>AM8:00</v>
          </cell>
        </row>
        <row r="1307">
          <cell r="A1307">
            <v>9457</v>
          </cell>
          <cell r="B1307" t="str">
            <v>梅田 勝太</v>
          </cell>
          <cell r="C1307" t="str">
            <v>TRADIA</v>
          </cell>
          <cell r="D1307">
            <v>46104</v>
          </cell>
          <cell r="E1307" t="str">
            <v>26K0304</v>
          </cell>
          <cell r="F1307" t="str">
            <v>I000015236</v>
          </cell>
          <cell r="J1307">
            <v>419503.8</v>
          </cell>
          <cell r="K1307">
            <v>27.07</v>
          </cell>
          <cell r="L1307" t="str">
            <v>OOLU1967163</v>
          </cell>
          <cell r="M1307">
            <v>18</v>
          </cell>
          <cell r="N1307" t="str">
            <v>20GP</v>
          </cell>
          <cell r="O1307">
            <v>2</v>
          </cell>
          <cell r="P1307">
            <v>46107</v>
          </cell>
          <cell r="S1307" t="str">
            <v>AM8:30</v>
          </cell>
        </row>
        <row r="1308">
          <cell r="A1308">
            <v>9458</v>
          </cell>
          <cell r="B1308" t="str">
            <v>梅田 勝太</v>
          </cell>
          <cell r="C1308" t="str">
            <v>YUSEN</v>
          </cell>
          <cell r="D1308">
            <v>46104</v>
          </cell>
          <cell r="E1308" t="str">
            <v>26K0305</v>
          </cell>
          <cell r="F1308" t="str">
            <v>I000015245</v>
          </cell>
          <cell r="J1308">
            <v>767288.08000000019</v>
          </cell>
          <cell r="K1308">
            <v>57.7</v>
          </cell>
          <cell r="L1308" t="str">
            <v>IAAU4683635</v>
          </cell>
          <cell r="M1308">
            <v>18</v>
          </cell>
          <cell r="N1308" t="str">
            <v>40GP</v>
          </cell>
          <cell r="O1308">
            <v>2</v>
          </cell>
          <cell r="P1308">
            <v>46110</v>
          </cell>
          <cell r="S1308" t="str">
            <v>AM8:30</v>
          </cell>
        </row>
        <row r="1309">
          <cell r="A1309">
            <v>9459</v>
          </cell>
          <cell r="B1309" t="str">
            <v>山本 和弥</v>
          </cell>
          <cell r="C1309" t="str">
            <v>TRADIA</v>
          </cell>
          <cell r="D1309">
            <v>46105</v>
          </cell>
          <cell r="E1309" t="str">
            <v>26P0304</v>
          </cell>
          <cell r="F1309" t="str">
            <v>I000015250</v>
          </cell>
          <cell r="J1309">
            <v>377166.60000000003</v>
          </cell>
          <cell r="K1309">
            <v>61.02</v>
          </cell>
          <cell r="L1309" t="str">
            <v>MAGU5359322</v>
          </cell>
          <cell r="M1309">
            <v>14</v>
          </cell>
          <cell r="N1309" t="str">
            <v>40HQ</v>
          </cell>
          <cell r="O1309">
            <v>2</v>
          </cell>
          <cell r="P1309">
            <v>46116</v>
          </cell>
          <cell r="Q1309">
            <v>46122</v>
          </cell>
          <cell r="R1309" t="str">
            <v>金</v>
          </cell>
          <cell r="S1309" t="str">
            <v>AM9:30</v>
          </cell>
        </row>
        <row r="1310">
          <cell r="A1310">
            <v>9460</v>
          </cell>
          <cell r="B1310" t="str">
            <v>山本 和弥</v>
          </cell>
          <cell r="C1310" t="str">
            <v>FUZILOGIX</v>
          </cell>
          <cell r="D1310">
            <v>46107</v>
          </cell>
          <cell r="E1310" t="str">
            <v>26T0311</v>
          </cell>
          <cell r="F1310" t="str">
            <v>I000015241</v>
          </cell>
          <cell r="J1310">
            <v>596756.15999999992</v>
          </cell>
          <cell r="K1310">
            <v>63.56</v>
          </cell>
          <cell r="L1310" t="str">
            <v>WHSU8171428</v>
          </cell>
          <cell r="M1310">
            <v>2</v>
          </cell>
          <cell r="N1310" t="str">
            <v>40HQ</v>
          </cell>
          <cell r="O1310">
            <v>5</v>
          </cell>
          <cell r="P1310">
            <v>46113</v>
          </cell>
          <cell r="Q1310">
            <v>46115</v>
          </cell>
          <cell r="R1310" t="str">
            <v>金</v>
          </cell>
          <cell r="S1310" t="str">
            <v>AM8:00</v>
          </cell>
        </row>
        <row r="1311">
          <cell r="A1311">
            <v>9461</v>
          </cell>
          <cell r="B1311" t="str">
            <v>山本 和弥</v>
          </cell>
          <cell r="C1311" t="str">
            <v>FUZILOGIX</v>
          </cell>
          <cell r="D1311">
            <v>46107</v>
          </cell>
          <cell r="E1311" t="str">
            <v>26T0314</v>
          </cell>
          <cell r="F1311" t="str">
            <v>I000015252</v>
          </cell>
          <cell r="J1311">
            <v>785160.28</v>
          </cell>
          <cell r="K1311">
            <v>63.38</v>
          </cell>
          <cell r="L1311" t="str">
            <v>WHSU6767104</v>
          </cell>
          <cell r="M1311">
            <v>2</v>
          </cell>
          <cell r="N1311" t="str">
            <v>40HQ</v>
          </cell>
          <cell r="O1311">
            <v>5</v>
          </cell>
          <cell r="P1311">
            <v>46113</v>
          </cell>
          <cell r="Q1311">
            <v>46115</v>
          </cell>
          <cell r="R1311" t="str">
            <v>金</v>
          </cell>
          <cell r="S1311" t="str">
            <v>AM8:00</v>
          </cell>
        </row>
        <row r="1312">
          <cell r="A1312">
            <v>9462</v>
          </cell>
          <cell r="B1312" t="str">
            <v>梅田 勝太</v>
          </cell>
          <cell r="C1312" t="str">
            <v>YUSEN</v>
          </cell>
          <cell r="D1312">
            <v>46108</v>
          </cell>
          <cell r="E1312" t="str">
            <v>26K0306</v>
          </cell>
          <cell r="F1312" t="str">
            <v>I000015248</v>
          </cell>
          <cell r="J1312">
            <v>420433.10000000003</v>
          </cell>
          <cell r="K1312">
            <v>25.26</v>
          </cell>
          <cell r="L1312" t="str">
            <v>IAAU2078527</v>
          </cell>
          <cell r="M1312">
            <v>18</v>
          </cell>
          <cell r="N1312" t="str">
            <v>20GP</v>
          </cell>
          <cell r="O1312">
            <v>2</v>
          </cell>
          <cell r="P1312">
            <v>46112</v>
          </cell>
          <cell r="S1312" t="str">
            <v>AM8:30</v>
          </cell>
        </row>
        <row r="1313">
          <cell r="A1313">
            <v>9463</v>
          </cell>
          <cell r="B1313" t="str">
            <v>梅田 勝太</v>
          </cell>
          <cell r="C1313" t="str">
            <v>TRADIA</v>
          </cell>
          <cell r="D1313">
            <v>46108</v>
          </cell>
          <cell r="E1313" t="str">
            <v>26K0361</v>
          </cell>
          <cell r="F1313" t="str">
            <v>I000015251</v>
          </cell>
          <cell r="J1313">
            <v>48866.54</v>
          </cell>
          <cell r="K1313">
            <v>0.9</v>
          </cell>
          <cell r="M1313">
            <v>18</v>
          </cell>
          <cell r="O1313">
            <v>9</v>
          </cell>
          <cell r="S1313" t="str">
            <v>AM8:30</v>
          </cell>
        </row>
        <row r="1314">
          <cell r="A1314">
            <v>9464</v>
          </cell>
          <cell r="B1314" t="str">
            <v>山本 和弥</v>
          </cell>
          <cell r="C1314" t="str">
            <v>FUZILOGIX</v>
          </cell>
          <cell r="D1314">
            <v>46111</v>
          </cell>
          <cell r="E1314" t="str">
            <v>26T0315</v>
          </cell>
          <cell r="F1314" t="str">
            <v>I000015255</v>
          </cell>
          <cell r="J1314">
            <v>852489.8</v>
          </cell>
          <cell r="K1314">
            <v>65.59</v>
          </cell>
          <cell r="L1314" t="str">
            <v>WHSU6402657</v>
          </cell>
          <cell r="M1314">
            <v>2</v>
          </cell>
          <cell r="N1314" t="str">
            <v>40HQ</v>
          </cell>
          <cell r="O1314">
            <v>2</v>
          </cell>
          <cell r="P1314">
            <v>46118</v>
          </cell>
          <cell r="Q1314">
            <v>46120</v>
          </cell>
          <cell r="R1314" t="str">
            <v>水</v>
          </cell>
          <cell r="S1314" t="str">
            <v>AM8:00</v>
          </cell>
        </row>
        <row r="1315">
          <cell r="A1315">
            <v>9465</v>
          </cell>
          <cell r="B1315" t="str">
            <v>山本 和弥</v>
          </cell>
          <cell r="C1315" t="str">
            <v>FUZILOGIX</v>
          </cell>
          <cell r="D1315">
            <v>46111</v>
          </cell>
          <cell r="E1315" t="str">
            <v>26T0317</v>
          </cell>
          <cell r="F1315" t="str">
            <v>I000015265</v>
          </cell>
          <cell r="J1315">
            <v>825176.94</v>
          </cell>
          <cell r="K1315">
            <v>63.72</v>
          </cell>
          <cell r="L1315" t="str">
            <v>WHSU8052270</v>
          </cell>
          <cell r="M1315">
            <v>2</v>
          </cell>
          <cell r="N1315" t="str">
            <v>40HQ</v>
          </cell>
          <cell r="O1315">
            <v>2</v>
          </cell>
          <cell r="P1315">
            <v>46118</v>
          </cell>
          <cell r="Q1315">
            <v>46120</v>
          </cell>
          <cell r="R1315" t="str">
            <v>水</v>
          </cell>
          <cell r="S1315" t="str">
            <v>AM8:00</v>
          </cell>
        </row>
        <row r="1316">
          <cell r="A1316">
            <v>9466</v>
          </cell>
          <cell r="B1316" t="str">
            <v>山本 和弥</v>
          </cell>
          <cell r="C1316" t="str">
            <v>FUZILOGIX</v>
          </cell>
          <cell r="D1316">
            <v>46111</v>
          </cell>
          <cell r="E1316" t="str">
            <v>26T0316</v>
          </cell>
          <cell r="F1316" t="str">
            <v>I000015264</v>
          </cell>
          <cell r="J1316">
            <v>600947.12</v>
          </cell>
          <cell r="K1316">
            <v>64.62</v>
          </cell>
          <cell r="L1316" t="str">
            <v>WHSU8149321</v>
          </cell>
          <cell r="M1316">
            <v>2</v>
          </cell>
          <cell r="N1316" t="str">
            <v>40HQ</v>
          </cell>
          <cell r="O1316">
            <v>5</v>
          </cell>
          <cell r="P1316">
            <v>46113</v>
          </cell>
          <cell r="Q1316">
            <v>46115</v>
          </cell>
          <cell r="R1316" t="str">
            <v>金</v>
          </cell>
          <cell r="S1316" t="str">
            <v>AM8:00</v>
          </cell>
        </row>
        <row r="1317">
          <cell r="A1317">
            <v>9467</v>
          </cell>
          <cell r="B1317" t="str">
            <v>山本 和弥</v>
          </cell>
          <cell r="C1317" t="str">
            <v>TRADIA</v>
          </cell>
          <cell r="D1317">
            <v>46112</v>
          </cell>
          <cell r="E1317" t="str">
            <v>26P0305</v>
          </cell>
          <cell r="F1317" t="str">
            <v>I000015263</v>
          </cell>
          <cell r="J1317">
            <v>412915.86</v>
          </cell>
          <cell r="K1317">
            <v>61.88</v>
          </cell>
          <cell r="L1317" t="str">
            <v>OOLU8964269</v>
          </cell>
          <cell r="M1317">
            <v>11</v>
          </cell>
          <cell r="N1317" t="str">
            <v>40HQ</v>
          </cell>
          <cell r="O1317">
            <v>4</v>
          </cell>
          <cell r="P1317">
            <v>46119</v>
          </cell>
          <cell r="Q1317">
            <v>46127</v>
          </cell>
          <cell r="R1317" t="str">
            <v>水</v>
          </cell>
          <cell r="S1317" t="str">
            <v>AM7:30</v>
          </cell>
        </row>
        <row r="1318">
          <cell r="A1318">
            <v>9468</v>
          </cell>
          <cell r="B1318" t="str">
            <v>山本 和弥</v>
          </cell>
          <cell r="C1318" t="str">
            <v>FUZILOGIX</v>
          </cell>
          <cell r="D1318">
            <v>46113</v>
          </cell>
          <cell r="E1318" t="str">
            <v>26T0350</v>
          </cell>
          <cell r="F1318" t="str">
            <v>I000015211</v>
          </cell>
          <cell r="J1318">
            <v>550</v>
          </cell>
          <cell r="K1318">
            <v>0.08</v>
          </cell>
          <cell r="M1318">
            <v>2</v>
          </cell>
          <cell r="N1318" t="str">
            <v>DHL</v>
          </cell>
          <cell r="O1318">
            <v>9</v>
          </cell>
          <cell r="S1318" t="str">
            <v>AM8:00</v>
          </cell>
        </row>
        <row r="1319">
          <cell r="A1319">
            <v>9469</v>
          </cell>
          <cell r="B1319" t="str">
            <v>梅田 勝太</v>
          </cell>
          <cell r="C1319" t="str">
            <v>YUSEN</v>
          </cell>
          <cell r="D1319">
            <v>46114</v>
          </cell>
          <cell r="E1319" t="str">
            <v>26K0307</v>
          </cell>
          <cell r="F1319" t="str">
            <v>I000015259</v>
          </cell>
          <cell r="J1319">
            <v>1008494.88</v>
          </cell>
          <cell r="K1319">
            <v>57.06</v>
          </cell>
          <cell r="L1319" t="str">
            <v>IAAU4683738</v>
          </cell>
          <cell r="M1319">
            <v>18</v>
          </cell>
          <cell r="N1319" t="str">
            <v>40GP</v>
          </cell>
          <cell r="O1319">
            <v>2</v>
          </cell>
          <cell r="P1319">
            <v>46119</v>
          </cell>
          <cell r="S1319" t="str">
            <v>AM8:30</v>
          </cell>
        </row>
        <row r="1320">
          <cell r="A1320">
            <v>9470</v>
          </cell>
          <cell r="B1320" t="str">
            <v>山本 和弥</v>
          </cell>
          <cell r="C1320" t="str">
            <v>FUZILOGIX</v>
          </cell>
          <cell r="D1320">
            <v>46114</v>
          </cell>
          <cell r="E1320" t="str">
            <v>26T0318</v>
          </cell>
          <cell r="F1320" t="str">
            <v>I000015269</v>
          </cell>
          <cell r="J1320">
            <v>758497.03999999992</v>
          </cell>
          <cell r="K1320">
            <v>66.900000000000006</v>
          </cell>
          <cell r="L1320" t="str">
            <v>WHSU8189324</v>
          </cell>
          <cell r="M1320">
            <v>2</v>
          </cell>
          <cell r="N1320" t="str">
            <v>40HQ</v>
          </cell>
          <cell r="O1320">
            <v>2</v>
          </cell>
          <cell r="P1320">
            <v>46122</v>
          </cell>
          <cell r="Q1320">
            <v>46126</v>
          </cell>
          <cell r="R1320" t="str">
            <v>火</v>
          </cell>
          <cell r="S1320" t="str">
            <v>AM8:00</v>
          </cell>
        </row>
        <row r="1321">
          <cell r="A1321">
            <v>9471</v>
          </cell>
          <cell r="B1321" t="str">
            <v>山本 和弥</v>
          </cell>
          <cell r="C1321" t="str">
            <v>FUZILOGIX</v>
          </cell>
          <cell r="D1321">
            <v>46114</v>
          </cell>
          <cell r="E1321" t="str">
            <v>26T0401</v>
          </cell>
          <cell r="F1321" t="str">
            <v>I000015281</v>
          </cell>
          <cell r="J1321">
            <v>762660.44</v>
          </cell>
          <cell r="K1321">
            <v>66.09</v>
          </cell>
          <cell r="L1321" t="str">
            <v>WHSU5262720</v>
          </cell>
          <cell r="M1321">
            <v>2</v>
          </cell>
          <cell r="N1321" t="str">
            <v>40HQ</v>
          </cell>
          <cell r="O1321">
            <v>2</v>
          </cell>
          <cell r="P1321">
            <v>46122</v>
          </cell>
          <cell r="Q1321">
            <v>46126</v>
          </cell>
          <cell r="R1321" t="str">
            <v>火</v>
          </cell>
          <cell r="S1321" t="str">
            <v>AM8:00</v>
          </cell>
        </row>
        <row r="1322">
          <cell r="A1322">
            <v>9472</v>
          </cell>
          <cell r="B1322" t="str">
            <v>梅田 勝太</v>
          </cell>
          <cell r="C1322" t="str">
            <v>YUSEN</v>
          </cell>
          <cell r="D1322">
            <v>46115</v>
          </cell>
          <cell r="E1322" t="str">
            <v>26K0308</v>
          </cell>
          <cell r="F1322" t="str">
            <v>I000015278</v>
          </cell>
          <cell r="J1322">
            <v>1074763</v>
          </cell>
          <cell r="K1322">
            <v>52.96</v>
          </cell>
          <cell r="L1322" t="str">
            <v>IAAU4686151</v>
          </cell>
          <cell r="M1322">
            <v>18</v>
          </cell>
          <cell r="N1322" t="str">
            <v>40GP</v>
          </cell>
          <cell r="O1322">
            <v>2</v>
          </cell>
          <cell r="P1322">
            <v>46125</v>
          </cell>
          <cell r="S1322" t="str">
            <v>AM8:30</v>
          </cell>
        </row>
        <row r="1323">
          <cell r="A1323">
            <v>9473</v>
          </cell>
          <cell r="B1323" t="str">
            <v>梅田 勝太</v>
          </cell>
          <cell r="C1323" t="str">
            <v>TRADIA</v>
          </cell>
          <cell r="D1323">
            <v>46115</v>
          </cell>
          <cell r="E1323" t="str">
            <v>26K0401</v>
          </cell>
          <cell r="F1323" t="str">
            <v>I000015285</v>
          </cell>
          <cell r="J1323">
            <v>438428.18999999994</v>
          </cell>
          <cell r="K1323">
            <v>27.57</v>
          </cell>
          <cell r="L1323" t="str">
            <v>EITU0472628</v>
          </cell>
          <cell r="M1323">
            <v>18</v>
          </cell>
          <cell r="N1323" t="str">
            <v>20GP</v>
          </cell>
          <cell r="O1323">
            <v>1</v>
          </cell>
          <cell r="P1323">
            <v>46124</v>
          </cell>
          <cell r="S1323" t="str">
            <v>AM8:30</v>
          </cell>
        </row>
        <row r="1324">
          <cell r="A1324">
            <v>9474</v>
          </cell>
          <cell r="B1324" t="str">
            <v>梅田 勝太</v>
          </cell>
          <cell r="C1324" t="str">
            <v>TRADIA</v>
          </cell>
          <cell r="D1324">
            <v>46115</v>
          </cell>
          <cell r="E1324" t="str">
            <v>26K0402</v>
          </cell>
          <cell r="F1324" t="str">
            <v>I000015287</v>
          </cell>
          <cell r="J1324">
            <v>392711</v>
          </cell>
          <cell r="K1324">
            <v>24.96</v>
          </cell>
          <cell r="L1324" t="str">
            <v>EGHU3827103</v>
          </cell>
          <cell r="M1324">
            <v>18</v>
          </cell>
          <cell r="N1324" t="str">
            <v>20GP</v>
          </cell>
          <cell r="O1324">
            <v>1</v>
          </cell>
          <cell r="P1324">
            <v>46124</v>
          </cell>
          <cell r="S1324" t="str">
            <v>AM8:30</v>
          </cell>
        </row>
        <row r="1325">
          <cell r="A1325">
            <v>9475</v>
          </cell>
          <cell r="B1325" t="str">
            <v>山本 和弥</v>
          </cell>
          <cell r="C1325" t="str">
            <v>TRADIA</v>
          </cell>
          <cell r="D1325">
            <v>46119</v>
          </cell>
          <cell r="E1325" t="str">
            <v>26P0401</v>
          </cell>
          <cell r="F1325" t="str">
            <v>I000015284</v>
          </cell>
          <cell r="J1325">
            <v>425265.22</v>
          </cell>
          <cell r="K1325">
            <v>61.57</v>
          </cell>
          <cell r="L1325" t="str">
            <v>CSNU8304817</v>
          </cell>
          <cell r="M1325">
            <v>14</v>
          </cell>
          <cell r="N1325" t="str">
            <v>40HQ</v>
          </cell>
          <cell r="O1325">
            <v>2</v>
          </cell>
          <cell r="P1325">
            <v>46123</v>
          </cell>
          <cell r="Q1325">
            <v>46134</v>
          </cell>
          <cell r="R1325" t="str">
            <v>水</v>
          </cell>
          <cell r="S1325" t="str">
            <v>AM9:30</v>
          </cell>
        </row>
        <row r="1326">
          <cell r="A1326">
            <v>9476</v>
          </cell>
          <cell r="B1326" t="str">
            <v>山本 和弥</v>
          </cell>
          <cell r="C1326" t="str">
            <v>TRADIA</v>
          </cell>
          <cell r="D1326">
            <v>46119</v>
          </cell>
          <cell r="E1326" t="str">
            <v>26P0450</v>
          </cell>
          <cell r="F1326" t="str">
            <v>I200000050</v>
          </cell>
          <cell r="J1326">
            <v>1039</v>
          </cell>
          <cell r="K1326">
            <v>0.03</v>
          </cell>
          <cell r="M1326">
            <v>14</v>
          </cell>
          <cell r="O1326">
            <v>9</v>
          </cell>
          <cell r="S1326" t="str">
            <v>AM9:30</v>
          </cell>
        </row>
        <row r="1327">
          <cell r="A1327">
            <v>9477</v>
          </cell>
          <cell r="B1327" t="str">
            <v>梅田 勝太</v>
          </cell>
          <cell r="C1327" t="str">
            <v>TRADIA</v>
          </cell>
          <cell r="D1327">
            <v>46120</v>
          </cell>
          <cell r="E1327" t="str">
            <v>26K0454</v>
          </cell>
          <cell r="F1327" t="str">
            <v>I000015298</v>
          </cell>
          <cell r="J1327">
            <v>460</v>
          </cell>
          <cell r="K1327">
            <v>0.03</v>
          </cell>
          <cell r="M1327">
            <v>18</v>
          </cell>
          <cell r="O1327">
            <v>9</v>
          </cell>
          <cell r="S1327" t="str">
            <v>AM8:30</v>
          </cell>
        </row>
        <row r="1328">
          <cell r="A1328">
            <v>9478</v>
          </cell>
          <cell r="B1328" t="str">
            <v>山本 和弥</v>
          </cell>
          <cell r="C1328" t="str">
            <v>FUZILOGIX</v>
          </cell>
          <cell r="D1328">
            <v>46121</v>
          </cell>
          <cell r="E1328" t="str">
            <v>26T0402</v>
          </cell>
          <cell r="F1328" t="str">
            <v>I000015288</v>
          </cell>
          <cell r="J1328">
            <v>694628.52</v>
          </cell>
          <cell r="K1328">
            <v>63.4</v>
          </cell>
          <cell r="L1328" t="str">
            <v>CAAU8525530</v>
          </cell>
          <cell r="M1328">
            <v>2</v>
          </cell>
          <cell r="N1328" t="str">
            <v>40HQ</v>
          </cell>
          <cell r="O1328">
            <v>5</v>
          </cell>
          <cell r="P1328">
            <v>46128</v>
          </cell>
          <cell r="Q1328">
            <v>46132</v>
          </cell>
          <cell r="R1328" t="str">
            <v>月</v>
          </cell>
          <cell r="S1328" t="str">
            <v>AM8:00</v>
          </cell>
        </row>
        <row r="1329">
          <cell r="A1329">
            <v>9479</v>
          </cell>
          <cell r="B1329" t="str">
            <v>山本 和弥</v>
          </cell>
          <cell r="C1329" t="str">
            <v>TRADIA</v>
          </cell>
          <cell r="D1329">
            <v>46121</v>
          </cell>
          <cell r="E1329" t="str">
            <v>26P0402</v>
          </cell>
          <cell r="F1329" t="str">
            <v>I000015294</v>
          </cell>
          <cell r="J1329">
            <v>366197.4</v>
          </cell>
          <cell r="K1329">
            <v>63.16</v>
          </cell>
          <cell r="L1329" t="str">
            <v>CCLU7325102</v>
          </cell>
          <cell r="M1329">
            <v>11</v>
          </cell>
          <cell r="N1329" t="str">
            <v>40HQ</v>
          </cell>
          <cell r="O1329">
            <v>4</v>
          </cell>
          <cell r="P1329">
            <v>46130</v>
          </cell>
          <cell r="Q1329">
            <v>46134</v>
          </cell>
          <cell r="R1329" t="str">
            <v>水</v>
          </cell>
          <cell r="S1329" t="str">
            <v>AM7:30</v>
          </cell>
        </row>
      </sheetData>
      <sheetData sheetId="1">
        <row r="1">
          <cell r="A1" t="str">
            <v>納入先No</v>
          </cell>
          <cell r="B1" t="str">
            <v>納品先</v>
          </cell>
        </row>
        <row r="2">
          <cell r="A2">
            <v>1</v>
          </cell>
          <cell r="B2" t="str">
            <v>-</v>
          </cell>
        </row>
        <row r="3">
          <cell r="A3">
            <v>2</v>
          </cell>
          <cell r="B3" t="str">
            <v>-</v>
          </cell>
        </row>
        <row r="4">
          <cell r="A4">
            <v>3</v>
          </cell>
          <cell r="B4" t="str">
            <v>気高電機㈱　本社</v>
          </cell>
        </row>
        <row r="5">
          <cell r="A5">
            <v>4</v>
          </cell>
          <cell r="B5" t="str">
            <v>タイガー魔法瓶㈱</v>
          </cell>
        </row>
        <row r="6">
          <cell r="A6">
            <v>5</v>
          </cell>
          <cell r="B6" t="str">
            <v>-</v>
          </cell>
        </row>
        <row r="7">
          <cell r="A7">
            <v>6</v>
          </cell>
          <cell r="B7" t="str">
            <v>ピーコック魔法瓶工業㈱住之江倉庫</v>
          </cell>
        </row>
        <row r="8">
          <cell r="A8">
            <v>7</v>
          </cell>
          <cell r="B8" t="str">
            <v>ピーコック魔法瓶工業㈱佐野倉庫</v>
          </cell>
        </row>
        <row r="9">
          <cell r="A9">
            <v>8</v>
          </cell>
          <cell r="B9" t="str">
            <v>気高電機㈱　鹿野工場</v>
          </cell>
        </row>
        <row r="10">
          <cell r="A10">
            <v>9</v>
          </cell>
          <cell r="B10" t="str">
            <v>-</v>
          </cell>
        </row>
        <row r="11">
          <cell r="A11">
            <v>10</v>
          </cell>
          <cell r="B11" t="str">
            <v>日本トランスシティ㈱枚方営業所</v>
          </cell>
        </row>
        <row r="12">
          <cell r="A12">
            <v>11</v>
          </cell>
          <cell r="B12" t="str">
            <v>日本トランスシティ㈱大和営業所</v>
          </cell>
        </row>
        <row r="13">
          <cell r="A13">
            <v>12</v>
          </cell>
          <cell r="B13" t="str">
            <v>北九州共和㈱</v>
          </cell>
        </row>
        <row r="14">
          <cell r="A14">
            <v>13</v>
          </cell>
          <cell r="B14" t="str">
            <v xml:space="preserve">	菊屋㈱　高崎営業所</v>
          </cell>
        </row>
        <row r="15">
          <cell r="A15">
            <v>14</v>
          </cell>
          <cell r="B15" t="str">
            <v>日本トランスシティ㈱尼崎営業所</v>
          </cell>
        </row>
        <row r="16">
          <cell r="A16">
            <v>15</v>
          </cell>
          <cell r="B16" t="str">
            <v>日本トランスシティ㈱朝明営業所</v>
          </cell>
        </row>
        <row r="17">
          <cell r="A17">
            <v>16</v>
          </cell>
          <cell r="B17" t="str">
            <v>日本トランスシティ㈱KDNC</v>
          </cell>
        </row>
        <row r="18">
          <cell r="A18">
            <v>17</v>
          </cell>
          <cell r="B18" t="str">
            <v>㈱キョーワ　東営業所</v>
          </cell>
        </row>
        <row r="19">
          <cell r="A19">
            <v>18</v>
          </cell>
          <cell r="B19" t="str">
            <v>気和商第3倉庫</v>
          </cell>
        </row>
        <row r="20">
          <cell r="A20">
            <v>19</v>
          </cell>
          <cell r="B20" t="str">
            <v>静岡 ロジスティード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>
          <a:gsLst>
            <a:gs pos="0">
              <a:srgbClr val="C00000"/>
            </a:gs>
            <a:gs pos="27000">
              <a:srgbClr val="FF0000"/>
            </a:gs>
            <a:gs pos="70000">
              <a:schemeClr val="accent6"/>
            </a:gs>
            <a:gs pos="100000">
              <a:srgbClr val="FFFF00"/>
            </a:gs>
          </a:gsLst>
          <a:lin ang="0" scaled="0"/>
        </a:gradFill>
        <a:ln>
          <a:noFill/>
        </a:ln>
      </a:spPr>
      <a:bodyPr vertOverflow="clip" horzOverflow="clip" rtlCol="0" anchor="ctr"/>
      <a:lstStyle>
        <a:defPPr algn="l">
          <a:defRPr kumimoji="1" sz="1600" b="1">
            <a:latin typeface="游ゴシック" panose="020B0400000000000000" pitchFamily="50" charset="-128"/>
            <a:ea typeface="游ゴシック" panose="020B0400000000000000" pitchFamily="50" charset="-128"/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ya_matsuda@tiger.co.jp" TargetMode="External"/><Relationship Id="rId2" Type="http://schemas.openxmlformats.org/officeDocument/2006/relationships/hyperlink" Target="mailto:ryosuke_nakagawa@tiger.co.jp" TargetMode="External"/><Relationship Id="rId1" Type="http://schemas.openxmlformats.org/officeDocument/2006/relationships/hyperlink" Target="../../../../../public01/004-&#21830;&#21697;&#37096;&#26989;&#21209;&#65319;/KEN-CORP/&#36664;&#20837;&#26360;&#39006;/&#12479;&#12452;&#12460;&#12540;/&#30906;&#35469;&#39000;&#12486;&#12531;&#12503;&#12524;&#12540;&#12488;.docx" TargetMode="External"/><Relationship Id="rId4" Type="http://schemas.openxmlformats.org/officeDocument/2006/relationships/hyperlink" Target="mailto:satoshi_matsumaru@fujilgx.co.jp,torikd@shinkoyokaiun.co.jp,mika_ishibashi@fujilgx.co.jp,yuri_mukaiyama@fujilgx.co.j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C00000"/>
  </sheetPr>
  <dimension ref="A1:U203"/>
  <sheetViews>
    <sheetView showGridLines="0" tabSelected="1" zoomScale="85" zoomScaleNormal="85" workbookViewId="0">
      <selection activeCell="L13" sqref="L13"/>
    </sheetView>
  </sheetViews>
  <sheetFormatPr defaultColWidth="9" defaultRowHeight="19.5"/>
  <cols>
    <col min="1" max="1" width="15.125" style="9" customWidth="1"/>
    <col min="2" max="2" width="19.625" style="9" customWidth="1"/>
    <col min="3" max="3" width="13.875" style="9" bestFit="1" customWidth="1"/>
    <col min="4" max="4" width="14.375" style="12" bestFit="1" customWidth="1"/>
    <col min="5" max="5" width="16.75" style="10" customWidth="1"/>
    <col min="6" max="6" width="24" style="9" customWidth="1"/>
    <col min="7" max="7" width="33.375" style="9" customWidth="1"/>
    <col min="8" max="8" width="16" style="9" customWidth="1"/>
    <col min="9" max="9" width="18.125" style="9" customWidth="1"/>
    <col min="10" max="10" width="11.5" style="9" bestFit="1" customWidth="1"/>
    <col min="11" max="11" width="10.375" style="9" customWidth="1"/>
    <col min="12" max="12" width="17.625" style="14" customWidth="1"/>
    <col min="13" max="13" width="24.125" style="9" customWidth="1"/>
    <col min="14" max="14" width="16.875" style="9" customWidth="1"/>
    <col min="15" max="15" width="7.75" style="9" bestFit="1" customWidth="1"/>
    <col min="16" max="16" width="14.125" style="9" bestFit="1" customWidth="1"/>
    <col min="17" max="17" width="14.125" style="9" customWidth="1"/>
    <col min="18" max="18" width="13.75" style="9" customWidth="1"/>
    <col min="19" max="19" width="10.125" style="9" bestFit="1" customWidth="1"/>
    <col min="20" max="20" width="8" style="9" customWidth="1"/>
    <col min="21" max="21" width="10" style="9" customWidth="1"/>
    <col min="22" max="22" width="15.125" style="9" bestFit="1" customWidth="1"/>
    <col min="23" max="23" width="13.75" style="9" bestFit="1" customWidth="1"/>
    <col min="24" max="24" width="9" style="9" customWidth="1"/>
    <col min="25" max="16384" width="9" style="9"/>
  </cols>
  <sheetData>
    <row r="1" spans="1:10" ht="39" customHeight="1">
      <c r="A1" s="9" t="s">
        <v>74</v>
      </c>
    </row>
    <row r="3" spans="1:10">
      <c r="A3" s="168" t="s">
        <v>0</v>
      </c>
      <c r="B3" s="169"/>
      <c r="C3" s="169"/>
      <c r="D3" s="26"/>
      <c r="F3" s="168" t="s">
        <v>2521</v>
      </c>
      <c r="G3" s="169"/>
      <c r="H3" s="169"/>
      <c r="I3" s="26"/>
      <c r="J3" s="164"/>
    </row>
    <row r="5" spans="1:10" ht="39.950000000000003" customHeight="1">
      <c r="A5" s="24"/>
      <c r="B5" s="25"/>
      <c r="C5" s="25"/>
    </row>
    <row r="7" spans="1:10" ht="39.950000000000003" customHeight="1"/>
    <row r="9" spans="1:10" ht="39.950000000000003" customHeight="1"/>
    <row r="11" spans="1:10">
      <c r="A11" s="170" t="s">
        <v>2</v>
      </c>
      <c r="B11" s="171"/>
      <c r="C11" s="171"/>
      <c r="D11" s="171"/>
      <c r="F11" s="128" t="s">
        <v>2450</v>
      </c>
      <c r="G11" s="1"/>
      <c r="I11" s="1"/>
    </row>
    <row r="12" spans="1:10">
      <c r="A12" s="9" t="s">
        <v>76</v>
      </c>
      <c r="B12" s="30">
        <v>46121.453715277778</v>
      </c>
      <c r="C12" s="27"/>
      <c r="F12" s="129" t="s">
        <v>2452</v>
      </c>
    </row>
    <row r="13" spans="1:10">
      <c r="A13" s="9" t="s">
        <v>75</v>
      </c>
      <c r="B13" s="27" t="s">
        <v>2842</v>
      </c>
    </row>
    <row r="16" spans="1:10" ht="36" customHeight="1">
      <c r="A16" s="3"/>
    </row>
    <row r="18" spans="1:21">
      <c r="A18" s="3" t="s">
        <v>2435</v>
      </c>
      <c r="D18" s="13"/>
      <c r="G18" s="3"/>
      <c r="H18" s="11"/>
    </row>
    <row r="19" spans="1:21" s="18" customFormat="1">
      <c r="A19" s="21" t="s">
        <v>54</v>
      </c>
      <c r="B19" s="21" t="s">
        <v>2436</v>
      </c>
      <c r="C19" s="21" t="s">
        <v>2437</v>
      </c>
      <c r="D19" s="22" t="s">
        <v>2438</v>
      </c>
      <c r="E19" s="23" t="s">
        <v>2439</v>
      </c>
      <c r="F19" s="21" t="s">
        <v>2451</v>
      </c>
      <c r="G19" s="21" t="s">
        <v>2440</v>
      </c>
      <c r="H19" s="21" t="s">
        <v>2441</v>
      </c>
      <c r="I19" s="21" t="s">
        <v>2442</v>
      </c>
      <c r="L19" s="28"/>
    </row>
    <row r="20" spans="1:21">
      <c r="A20" s="131" t="s">
        <v>2834</v>
      </c>
      <c r="B20" s="131">
        <v>4</v>
      </c>
      <c r="C20" s="131">
        <v>2520</v>
      </c>
      <c r="D20" s="130">
        <v>366197.4</v>
      </c>
      <c r="E20" s="134">
        <v>420</v>
      </c>
      <c r="F20" s="133">
        <v>5558.04</v>
      </c>
      <c r="G20" s="133">
        <v>63.16</v>
      </c>
      <c r="H20" s="131" t="s">
        <v>2453</v>
      </c>
      <c r="I20" s="132" t="s">
        <v>2277</v>
      </c>
    </row>
    <row r="21" spans="1:21">
      <c r="A21" s="131"/>
      <c r="B21" s="131"/>
      <c r="C21" s="131"/>
      <c r="D21" s="130"/>
      <c r="E21" s="134"/>
      <c r="F21" s="133"/>
      <c r="G21" s="133"/>
      <c r="H21" s="131"/>
      <c r="I21" s="132"/>
    </row>
    <row r="22" spans="1:21">
      <c r="A22" s="131"/>
      <c r="B22" s="131"/>
      <c r="C22" s="131"/>
      <c r="D22" s="130"/>
      <c r="E22" s="134"/>
      <c r="F22" s="133"/>
      <c r="G22" s="133"/>
      <c r="H22" s="131"/>
      <c r="I22" s="132"/>
    </row>
    <row r="23" spans="1:21">
      <c r="A23" s="131"/>
      <c r="B23" s="131"/>
      <c r="C23" s="131"/>
      <c r="D23" s="130"/>
      <c r="E23" s="134"/>
      <c r="F23" s="133"/>
      <c r="G23" s="133"/>
      <c r="H23" s="131"/>
      <c r="I23" s="132"/>
    </row>
    <row r="24" spans="1:21">
      <c r="A24" s="131"/>
      <c r="B24" s="131"/>
      <c r="C24" s="131"/>
      <c r="D24" s="130"/>
      <c r="E24" s="134"/>
      <c r="F24" s="133"/>
      <c r="G24" s="133"/>
      <c r="H24" s="131"/>
      <c r="I24" s="132"/>
    </row>
    <row r="25" spans="1:21">
      <c r="A25" s="131"/>
      <c r="B25" s="131"/>
      <c r="C25" s="131"/>
      <c r="D25" s="135"/>
      <c r="E25" s="134"/>
      <c r="F25" s="133"/>
      <c r="G25" s="133"/>
      <c r="H25" s="131"/>
      <c r="I25" s="132"/>
    </row>
    <row r="26" spans="1:21">
      <c r="A26" s="136"/>
      <c r="B26" s="136"/>
      <c r="C26" s="136"/>
      <c r="D26" s="137"/>
      <c r="E26" s="138"/>
      <c r="F26" s="136"/>
      <c r="G26" s="136"/>
      <c r="H26" s="136"/>
      <c r="I26" s="139"/>
      <c r="L26" s="65"/>
    </row>
    <row r="27" spans="1:21" ht="30" customHeight="1">
      <c r="A27" s="15" t="s">
        <v>53</v>
      </c>
      <c r="B27" s="15" t="s">
        <v>54</v>
      </c>
      <c r="C27" s="15" t="s">
        <v>55</v>
      </c>
      <c r="D27" s="16" t="s">
        <v>56</v>
      </c>
      <c r="E27" s="17" t="s">
        <v>57</v>
      </c>
      <c r="F27" s="15" t="s">
        <v>58</v>
      </c>
      <c r="G27" s="15" t="s">
        <v>59</v>
      </c>
      <c r="H27" s="15" t="s">
        <v>60</v>
      </c>
      <c r="I27" s="15" t="s">
        <v>61</v>
      </c>
      <c r="J27" s="15" t="s">
        <v>62</v>
      </c>
      <c r="K27" s="15" t="s">
        <v>68</v>
      </c>
      <c r="L27" s="29" t="s">
        <v>69</v>
      </c>
      <c r="M27" s="15" t="s">
        <v>63</v>
      </c>
      <c r="N27" s="15" t="s">
        <v>64</v>
      </c>
      <c r="O27" s="15" t="s">
        <v>70</v>
      </c>
      <c r="P27" s="15" t="s">
        <v>65</v>
      </c>
      <c r="Q27" s="15" t="s">
        <v>2416</v>
      </c>
      <c r="R27" s="15" t="s">
        <v>2417</v>
      </c>
      <c r="S27" s="15" t="s">
        <v>66</v>
      </c>
      <c r="T27" s="15" t="s">
        <v>2418</v>
      </c>
      <c r="U27" s="15" t="s">
        <v>67</v>
      </c>
    </row>
    <row r="28" spans="1:21">
      <c r="A28" s="253">
        <v>1</v>
      </c>
      <c r="B28" s="253" t="s">
        <v>2834</v>
      </c>
      <c r="C28" s="254" t="s">
        <v>2835</v>
      </c>
      <c r="D28" s="255">
        <v>46119</v>
      </c>
      <c r="E28" s="256" t="s">
        <v>2173</v>
      </c>
      <c r="F28" s="253" t="s">
        <v>2836</v>
      </c>
      <c r="G28" s="253" t="s">
        <v>2603</v>
      </c>
      <c r="H28" s="253">
        <v>600</v>
      </c>
      <c r="I28" s="257">
        <v>225</v>
      </c>
      <c r="J28" s="258">
        <v>3419.96</v>
      </c>
      <c r="K28" s="253">
        <v>166.61</v>
      </c>
      <c r="L28" s="127">
        <v>99966</v>
      </c>
      <c r="M28" s="259" t="s">
        <v>2837</v>
      </c>
      <c r="N28" s="260" t="s">
        <v>2838</v>
      </c>
      <c r="O28" s="259" t="s">
        <v>2606</v>
      </c>
      <c r="P28" s="253" t="s">
        <v>2401</v>
      </c>
      <c r="Q28" s="259">
        <v>46123</v>
      </c>
      <c r="R28" s="255">
        <v>46130</v>
      </c>
      <c r="S28" s="253"/>
      <c r="T28" s="253"/>
      <c r="U28" s="253"/>
    </row>
    <row r="29" spans="1:21">
      <c r="A29" s="253">
        <v>2</v>
      </c>
      <c r="B29" s="253" t="s">
        <v>2834</v>
      </c>
      <c r="C29" s="254" t="s">
        <v>2835</v>
      </c>
      <c r="D29" s="255">
        <v>46119</v>
      </c>
      <c r="E29" s="256" t="s">
        <v>2165</v>
      </c>
      <c r="F29" s="253" t="s">
        <v>2836</v>
      </c>
      <c r="G29" s="253" t="s">
        <v>2839</v>
      </c>
      <c r="H29" s="253">
        <v>750</v>
      </c>
      <c r="I29" s="257">
        <v>225</v>
      </c>
      <c r="J29" s="258">
        <v>3419.96</v>
      </c>
      <c r="K29" s="253">
        <v>152.37</v>
      </c>
      <c r="L29" s="127">
        <v>114277.5</v>
      </c>
      <c r="M29" s="259" t="s">
        <v>2837</v>
      </c>
      <c r="N29" s="260" t="s">
        <v>2838</v>
      </c>
      <c r="O29" s="259" t="s">
        <v>2606</v>
      </c>
      <c r="P29" s="253" t="s">
        <v>2401</v>
      </c>
      <c r="Q29" s="259">
        <v>46123</v>
      </c>
      <c r="R29" s="255">
        <v>46130</v>
      </c>
      <c r="S29" s="253"/>
      <c r="T29" s="253"/>
      <c r="U29" s="253"/>
    </row>
    <row r="30" spans="1:21">
      <c r="A30" s="253">
        <v>3</v>
      </c>
      <c r="B30" s="261" t="s">
        <v>2834</v>
      </c>
      <c r="C30" s="262" t="s">
        <v>2835</v>
      </c>
      <c r="D30" s="263">
        <v>46119</v>
      </c>
      <c r="E30" s="264" t="s">
        <v>2158</v>
      </c>
      <c r="F30" s="261" t="s">
        <v>2836</v>
      </c>
      <c r="G30" s="261" t="s">
        <v>2840</v>
      </c>
      <c r="H30" s="261">
        <v>960</v>
      </c>
      <c r="I30" s="265">
        <v>160</v>
      </c>
      <c r="J30" s="266">
        <v>1735.49</v>
      </c>
      <c r="K30" s="261">
        <v>129.91999999999999</v>
      </c>
      <c r="L30" s="267">
        <v>124723.2</v>
      </c>
      <c r="M30" s="268" t="s">
        <v>2837</v>
      </c>
      <c r="N30" s="269" t="s">
        <v>2838</v>
      </c>
      <c r="O30" s="268" t="s">
        <v>2606</v>
      </c>
      <c r="P30" s="261" t="s">
        <v>2401</v>
      </c>
      <c r="Q30" s="268">
        <v>46123</v>
      </c>
      <c r="R30" s="263">
        <v>46130</v>
      </c>
      <c r="S30" s="261"/>
      <c r="T30" s="253"/>
      <c r="U30" s="261"/>
    </row>
    <row r="31" spans="1:21">
      <c r="A31" s="253">
        <v>4</v>
      </c>
      <c r="B31" s="253" t="s">
        <v>2834</v>
      </c>
      <c r="C31" s="254" t="s">
        <v>2835</v>
      </c>
      <c r="D31" s="255">
        <v>46119</v>
      </c>
      <c r="E31" s="256" t="s">
        <v>2157</v>
      </c>
      <c r="F31" s="253" t="s">
        <v>2836</v>
      </c>
      <c r="G31" s="253" t="s">
        <v>2432</v>
      </c>
      <c r="H31" s="253">
        <v>210</v>
      </c>
      <c r="I31" s="257">
        <v>35</v>
      </c>
      <c r="J31" s="258">
        <v>402.59</v>
      </c>
      <c r="K31" s="253">
        <v>129.66999999999999</v>
      </c>
      <c r="L31" s="127">
        <v>27230.7</v>
      </c>
      <c r="M31" s="259" t="s">
        <v>2837</v>
      </c>
      <c r="N31" s="260" t="s">
        <v>2838</v>
      </c>
      <c r="O31" s="259" t="s">
        <v>2606</v>
      </c>
      <c r="P31" s="253" t="s">
        <v>2401</v>
      </c>
      <c r="Q31" s="259">
        <v>46123</v>
      </c>
      <c r="R31" s="255">
        <v>46130</v>
      </c>
      <c r="S31" s="253"/>
      <c r="T31" s="253"/>
      <c r="U31" s="253"/>
    </row>
    <row r="32" spans="1:21">
      <c r="A32" s="253"/>
      <c r="B32" s="253"/>
      <c r="C32" s="254"/>
      <c r="D32" s="255"/>
      <c r="E32" s="256"/>
      <c r="F32" s="253"/>
      <c r="G32" s="253"/>
      <c r="H32" s="253"/>
      <c r="I32" s="257"/>
      <c r="J32" s="258"/>
      <c r="K32" s="253"/>
      <c r="L32" s="127"/>
      <c r="M32" s="259"/>
      <c r="N32" s="260"/>
      <c r="O32" s="259"/>
      <c r="P32" s="253"/>
      <c r="Q32" s="259"/>
      <c r="R32" s="255"/>
      <c r="S32" s="253"/>
      <c r="T32" s="270"/>
      <c r="U32" s="253"/>
    </row>
    <row r="33" spans="1:21">
      <c r="A33" s="253"/>
      <c r="B33" s="253"/>
      <c r="C33" s="254"/>
      <c r="D33" s="255"/>
      <c r="E33" s="256"/>
      <c r="F33" s="253"/>
      <c r="G33" s="253"/>
      <c r="H33" s="253"/>
      <c r="I33" s="257"/>
      <c r="J33" s="258"/>
      <c r="K33" s="258"/>
      <c r="L33" s="127"/>
      <c r="M33" s="258"/>
      <c r="N33" s="260"/>
      <c r="O33" s="259"/>
      <c r="P33" s="253"/>
      <c r="Q33" s="259"/>
      <c r="R33" s="255"/>
      <c r="S33" s="253"/>
      <c r="T33" s="253"/>
      <c r="U33" s="253"/>
    </row>
    <row r="34" spans="1:21">
      <c r="A34" s="253"/>
      <c r="B34" s="253"/>
      <c r="C34" s="254"/>
      <c r="D34" s="255"/>
      <c r="E34" s="256"/>
      <c r="F34" s="253"/>
      <c r="G34" s="253"/>
      <c r="H34" s="253"/>
      <c r="I34" s="257"/>
      <c r="J34" s="258"/>
      <c r="K34" s="258"/>
      <c r="L34" s="127"/>
      <c r="M34" s="258"/>
      <c r="N34" s="260"/>
      <c r="O34" s="259"/>
      <c r="P34" s="253"/>
      <c r="Q34" s="259"/>
      <c r="R34" s="255"/>
      <c r="S34" s="253"/>
      <c r="T34" s="253"/>
      <c r="U34" s="253"/>
    </row>
    <row r="35" spans="1:21">
      <c r="A35" s="253"/>
      <c r="B35" s="253"/>
      <c r="C35" s="254"/>
      <c r="D35" s="255"/>
      <c r="E35" s="256"/>
      <c r="F35" s="253"/>
      <c r="G35" s="253"/>
      <c r="H35" s="253"/>
      <c r="I35" s="257"/>
      <c r="J35" s="258"/>
      <c r="K35" s="258"/>
      <c r="L35" s="127"/>
      <c r="M35" s="258"/>
      <c r="N35" s="260"/>
      <c r="O35" s="259"/>
      <c r="P35" s="253"/>
      <c r="Q35" s="259"/>
      <c r="R35" s="255"/>
      <c r="S35" s="253"/>
      <c r="T35" s="253"/>
      <c r="U35" s="253"/>
    </row>
    <row r="36" spans="1:21">
      <c r="A36" s="253"/>
      <c r="B36" s="253"/>
      <c r="C36" s="254"/>
      <c r="D36" s="255"/>
      <c r="E36" s="256"/>
      <c r="F36" s="253"/>
      <c r="G36" s="253"/>
      <c r="H36" s="253"/>
      <c r="I36" s="257"/>
      <c r="J36" s="258"/>
      <c r="K36" s="258"/>
      <c r="L36" s="127"/>
      <c r="M36" s="258"/>
      <c r="N36" s="260"/>
      <c r="O36" s="259"/>
      <c r="P36" s="253"/>
      <c r="Q36" s="259"/>
      <c r="R36" s="255"/>
      <c r="S36" s="253"/>
      <c r="T36" s="253"/>
      <c r="U36" s="253"/>
    </row>
    <row r="37" spans="1:21">
      <c r="A37" s="253"/>
      <c r="B37" s="253"/>
      <c r="C37" s="254"/>
      <c r="D37" s="255"/>
      <c r="E37" s="256"/>
      <c r="F37" s="253"/>
      <c r="G37" s="253"/>
      <c r="H37" s="253"/>
      <c r="I37" s="257"/>
      <c r="J37" s="258"/>
      <c r="K37" s="258"/>
      <c r="L37" s="127"/>
      <c r="M37" s="258"/>
      <c r="N37" s="260"/>
      <c r="O37" s="259"/>
      <c r="P37" s="253"/>
      <c r="Q37" s="259"/>
      <c r="R37" s="255"/>
      <c r="S37" s="253"/>
      <c r="T37" s="253"/>
      <c r="U37" s="253"/>
    </row>
    <row r="38" spans="1:21">
      <c r="A38" s="253"/>
      <c r="B38" s="253"/>
      <c r="C38" s="254"/>
      <c r="D38" s="255"/>
      <c r="E38" s="256"/>
      <c r="F38" s="253"/>
      <c r="G38" s="253"/>
      <c r="H38" s="253"/>
      <c r="I38" s="257"/>
      <c r="J38" s="258"/>
      <c r="K38" s="258"/>
      <c r="L38" s="127"/>
      <c r="M38" s="258"/>
      <c r="N38" s="260"/>
      <c r="O38" s="259"/>
      <c r="P38" s="253"/>
      <c r="Q38" s="259"/>
      <c r="R38" s="255"/>
      <c r="S38" s="253"/>
      <c r="T38" s="253"/>
      <c r="U38" s="253"/>
    </row>
    <row r="39" spans="1:21">
      <c r="A39" s="253"/>
      <c r="B39" s="253"/>
      <c r="C39" s="253"/>
      <c r="D39" s="255"/>
      <c r="E39" s="256"/>
      <c r="F39" s="253"/>
      <c r="G39" s="253"/>
      <c r="H39" s="253"/>
      <c r="I39" s="257"/>
      <c r="J39" s="258"/>
      <c r="K39" s="258"/>
      <c r="L39" s="127"/>
      <c r="M39" s="258"/>
      <c r="N39" s="253"/>
      <c r="O39" s="259"/>
      <c r="P39" s="253"/>
      <c r="Q39" s="259"/>
      <c r="R39" s="255"/>
      <c r="S39" s="253"/>
      <c r="T39" s="253"/>
      <c r="U39" s="253"/>
    </row>
    <row r="40" spans="1:21">
      <c r="A40" s="253"/>
      <c r="B40" s="253"/>
      <c r="C40" s="253"/>
      <c r="D40" s="255"/>
      <c r="E40" s="256"/>
      <c r="F40" s="253"/>
      <c r="G40" s="253"/>
      <c r="H40" s="253"/>
      <c r="I40" s="257"/>
      <c r="J40" s="258"/>
      <c r="K40" s="258"/>
      <c r="L40" s="127"/>
      <c r="M40" s="258"/>
      <c r="N40" s="253"/>
      <c r="O40" s="259"/>
      <c r="P40" s="253"/>
      <c r="Q40" s="259"/>
      <c r="R40" s="255"/>
      <c r="S40" s="253"/>
      <c r="T40" s="253"/>
      <c r="U40" s="253"/>
    </row>
    <row r="41" spans="1:21">
      <c r="A41" s="253"/>
      <c r="B41" s="253"/>
      <c r="C41" s="253"/>
      <c r="D41" s="255"/>
      <c r="E41" s="256"/>
      <c r="F41" s="253"/>
      <c r="G41" s="253"/>
      <c r="H41" s="253"/>
      <c r="I41" s="257"/>
      <c r="J41" s="258"/>
      <c r="K41" s="258"/>
      <c r="L41" s="127"/>
      <c r="M41" s="258"/>
      <c r="N41" s="253"/>
      <c r="O41" s="259"/>
      <c r="P41" s="253"/>
      <c r="Q41" s="259"/>
      <c r="R41" s="255"/>
      <c r="S41" s="253"/>
      <c r="T41" s="253"/>
      <c r="U41" s="253"/>
    </row>
    <row r="42" spans="1:21">
      <c r="A42" s="253"/>
      <c r="B42" s="253"/>
      <c r="C42" s="253"/>
      <c r="D42" s="255"/>
      <c r="E42" s="256"/>
      <c r="F42" s="253"/>
      <c r="G42" s="253"/>
      <c r="H42" s="253"/>
      <c r="I42" s="257"/>
      <c r="J42" s="258"/>
      <c r="K42" s="258"/>
      <c r="L42" s="127"/>
      <c r="M42" s="258"/>
      <c r="N42" s="253"/>
      <c r="O42" s="259"/>
      <c r="P42" s="253"/>
      <c r="Q42" s="259"/>
      <c r="R42" s="255"/>
      <c r="S42" s="253"/>
      <c r="T42" s="253"/>
      <c r="U42" s="253"/>
    </row>
    <row r="43" spans="1:21">
      <c r="A43" s="253"/>
      <c r="B43" s="253"/>
      <c r="C43" s="253"/>
      <c r="D43" s="255"/>
      <c r="E43" s="256"/>
      <c r="F43" s="253"/>
      <c r="G43" s="253"/>
      <c r="H43" s="253"/>
      <c r="I43" s="257"/>
      <c r="J43" s="258"/>
      <c r="K43" s="258"/>
      <c r="L43" s="127"/>
      <c r="M43" s="258"/>
      <c r="N43" s="253"/>
      <c r="O43" s="259"/>
      <c r="P43" s="253"/>
      <c r="Q43" s="259"/>
      <c r="R43" s="255"/>
      <c r="S43" s="253"/>
      <c r="T43" s="253"/>
      <c r="U43" s="253"/>
    </row>
    <row r="44" spans="1:21">
      <c r="A44" s="253"/>
      <c r="B44" s="253"/>
      <c r="C44" s="253"/>
      <c r="D44" s="255"/>
      <c r="E44" s="256"/>
      <c r="F44" s="253"/>
      <c r="G44" s="253"/>
      <c r="H44" s="253"/>
      <c r="I44" s="257"/>
      <c r="J44" s="258"/>
      <c r="K44" s="258"/>
      <c r="L44" s="127"/>
      <c r="M44" s="258"/>
      <c r="N44" s="253"/>
      <c r="O44" s="259"/>
      <c r="P44" s="253"/>
      <c r="Q44" s="259"/>
      <c r="R44" s="255"/>
      <c r="S44" s="253"/>
      <c r="T44" s="253"/>
      <c r="U44" s="253"/>
    </row>
    <row r="45" spans="1:21">
      <c r="A45" s="253"/>
      <c r="B45" s="253"/>
      <c r="C45" s="253"/>
      <c r="D45" s="255"/>
      <c r="E45" s="256"/>
      <c r="F45" s="253"/>
      <c r="G45" s="253"/>
      <c r="H45" s="253"/>
      <c r="I45" s="257"/>
      <c r="J45" s="258"/>
      <c r="K45" s="258"/>
      <c r="L45" s="127"/>
      <c r="M45" s="258"/>
      <c r="N45" s="253"/>
      <c r="O45" s="259"/>
      <c r="P45" s="253"/>
      <c r="Q45" s="259"/>
      <c r="R45" s="255"/>
      <c r="S45" s="253"/>
      <c r="T45" s="253"/>
      <c r="U45" s="253"/>
    </row>
    <row r="46" spans="1:21">
      <c r="A46" s="253"/>
      <c r="B46" s="253"/>
      <c r="C46" s="253"/>
      <c r="D46" s="255"/>
      <c r="E46" s="256"/>
      <c r="F46" s="253"/>
      <c r="G46" s="253"/>
      <c r="H46" s="253"/>
      <c r="I46" s="257"/>
      <c r="J46" s="258"/>
      <c r="K46" s="258"/>
      <c r="L46" s="127"/>
      <c r="M46" s="258"/>
      <c r="N46" s="253"/>
      <c r="O46" s="259"/>
      <c r="P46" s="253"/>
      <c r="Q46" s="259"/>
      <c r="R46" s="255"/>
      <c r="S46" s="253"/>
      <c r="T46" s="253"/>
      <c r="U46" s="253"/>
    </row>
    <row r="47" spans="1:21">
      <c r="A47" s="253"/>
      <c r="B47" s="253"/>
      <c r="C47" s="253"/>
      <c r="D47" s="255"/>
      <c r="E47" s="256"/>
      <c r="F47" s="253"/>
      <c r="G47" s="253"/>
      <c r="H47" s="253"/>
      <c r="I47" s="257"/>
      <c r="J47" s="258"/>
      <c r="K47" s="258"/>
      <c r="L47" s="127"/>
      <c r="M47" s="258"/>
      <c r="N47" s="253"/>
      <c r="O47" s="259"/>
      <c r="P47" s="253"/>
      <c r="Q47" s="259"/>
      <c r="R47" s="255"/>
      <c r="S47" s="253"/>
      <c r="T47" s="253"/>
      <c r="U47" s="253"/>
    </row>
    <row r="48" spans="1:21">
      <c r="A48" s="253"/>
      <c r="B48" s="253"/>
      <c r="C48" s="253"/>
      <c r="D48" s="255"/>
      <c r="E48" s="256"/>
      <c r="F48" s="253"/>
      <c r="G48" s="253"/>
      <c r="H48" s="253"/>
      <c r="I48" s="257"/>
      <c r="J48" s="258"/>
      <c r="K48" s="258"/>
      <c r="L48" s="127"/>
      <c r="M48" s="258"/>
      <c r="N48" s="253"/>
      <c r="O48" s="259"/>
      <c r="P48" s="253"/>
      <c r="Q48" s="259"/>
      <c r="R48" s="255"/>
      <c r="S48" s="253"/>
      <c r="T48" s="253"/>
      <c r="U48" s="253"/>
    </row>
    <row r="49" spans="1:21">
      <c r="A49" s="253"/>
      <c r="B49" s="253"/>
      <c r="C49" s="253"/>
      <c r="D49" s="255"/>
      <c r="E49" s="256"/>
      <c r="F49" s="253"/>
      <c r="G49" s="253"/>
      <c r="H49" s="253"/>
      <c r="I49" s="257"/>
      <c r="J49" s="258"/>
      <c r="K49" s="258"/>
      <c r="L49" s="127"/>
      <c r="M49" s="258"/>
      <c r="N49" s="253"/>
      <c r="O49" s="259"/>
      <c r="P49" s="253"/>
      <c r="Q49" s="259"/>
      <c r="R49" s="255"/>
      <c r="S49" s="253"/>
      <c r="T49" s="253"/>
      <c r="U49" s="253"/>
    </row>
    <row r="50" spans="1:21">
      <c r="A50" s="253"/>
      <c r="B50" s="253"/>
      <c r="C50" s="253"/>
      <c r="D50" s="255"/>
      <c r="E50" s="256"/>
      <c r="F50" s="253"/>
      <c r="G50" s="253"/>
      <c r="H50" s="253"/>
      <c r="I50" s="257"/>
      <c r="J50" s="258"/>
      <c r="K50" s="258"/>
      <c r="L50" s="127"/>
      <c r="M50" s="258"/>
      <c r="N50" s="253"/>
      <c r="O50" s="259"/>
      <c r="P50" s="253"/>
      <c r="Q50" s="259"/>
      <c r="R50" s="255"/>
      <c r="S50" s="253"/>
      <c r="T50" s="253"/>
      <c r="U50" s="253"/>
    </row>
    <row r="51" spans="1:21">
      <c r="A51" s="253"/>
      <c r="B51" s="253"/>
      <c r="C51" s="253"/>
      <c r="D51" s="255"/>
      <c r="E51" s="256"/>
      <c r="F51" s="253"/>
      <c r="G51" s="253"/>
      <c r="H51" s="253"/>
      <c r="I51" s="257"/>
      <c r="J51" s="258"/>
      <c r="K51" s="258"/>
      <c r="L51" s="127"/>
      <c r="M51" s="258"/>
      <c r="N51" s="253"/>
      <c r="O51" s="259"/>
      <c r="P51" s="253"/>
      <c r="Q51" s="259"/>
      <c r="R51" s="255"/>
      <c r="S51" s="253"/>
      <c r="T51" s="253"/>
      <c r="U51" s="253"/>
    </row>
    <row r="52" spans="1:21">
      <c r="A52" s="253"/>
      <c r="B52" s="253"/>
      <c r="C52" s="253"/>
      <c r="D52" s="255"/>
      <c r="E52" s="256"/>
      <c r="F52" s="253"/>
      <c r="G52" s="253"/>
      <c r="H52" s="253"/>
      <c r="I52" s="257"/>
      <c r="J52" s="258"/>
      <c r="K52" s="258"/>
      <c r="L52" s="127"/>
      <c r="M52" s="258"/>
      <c r="N52" s="253"/>
      <c r="O52" s="259"/>
      <c r="P52" s="253"/>
      <c r="Q52" s="259"/>
      <c r="R52" s="255"/>
      <c r="S52" s="253"/>
      <c r="T52" s="253"/>
      <c r="U52" s="253"/>
    </row>
    <row r="53" spans="1:21">
      <c r="A53" s="253"/>
      <c r="B53" s="253"/>
      <c r="C53" s="253"/>
      <c r="D53" s="255"/>
      <c r="E53" s="256"/>
      <c r="F53" s="253"/>
      <c r="G53" s="253"/>
      <c r="H53" s="253"/>
      <c r="I53" s="257"/>
      <c r="J53" s="258"/>
      <c r="K53" s="258"/>
      <c r="L53" s="127"/>
      <c r="M53" s="258"/>
      <c r="N53" s="253"/>
      <c r="O53" s="259"/>
      <c r="P53" s="253"/>
      <c r="Q53" s="259"/>
      <c r="R53" s="255"/>
      <c r="S53" s="253"/>
      <c r="T53" s="253"/>
      <c r="U53" s="253"/>
    </row>
    <row r="54" spans="1:21">
      <c r="A54" s="253"/>
      <c r="B54" s="253"/>
      <c r="C54" s="253"/>
      <c r="D54" s="255"/>
      <c r="E54" s="256"/>
      <c r="F54" s="253"/>
      <c r="G54" s="253"/>
      <c r="H54" s="253"/>
      <c r="I54" s="257"/>
      <c r="J54" s="258"/>
      <c r="K54" s="258"/>
      <c r="L54" s="127"/>
      <c r="M54" s="258"/>
      <c r="N54" s="253"/>
      <c r="O54" s="253"/>
      <c r="P54" s="253"/>
      <c r="Q54" s="259"/>
      <c r="R54" s="255"/>
      <c r="S54" s="253"/>
      <c r="T54" s="253"/>
      <c r="U54" s="253"/>
    </row>
    <row r="55" spans="1:21">
      <c r="A55" s="253"/>
      <c r="B55" s="253"/>
      <c r="C55" s="253"/>
      <c r="D55" s="255"/>
      <c r="E55" s="256"/>
      <c r="F55" s="253"/>
      <c r="G55" s="253"/>
      <c r="H55" s="253"/>
      <c r="I55" s="253"/>
      <c r="J55" s="253"/>
      <c r="K55" s="258"/>
      <c r="L55" s="127"/>
      <c r="M55" s="258"/>
      <c r="N55" s="253"/>
      <c r="O55" s="253"/>
      <c r="P55" s="253"/>
      <c r="Q55" s="259"/>
      <c r="R55" s="255"/>
      <c r="S55" s="253"/>
      <c r="T55" s="253"/>
      <c r="U55" s="253"/>
    </row>
    <row r="56" spans="1:21">
      <c r="A56" s="253"/>
      <c r="B56" s="253"/>
      <c r="C56" s="253"/>
      <c r="D56" s="255"/>
      <c r="E56" s="256"/>
      <c r="F56" s="253"/>
      <c r="G56" s="253"/>
      <c r="H56" s="253"/>
      <c r="I56" s="253"/>
      <c r="J56" s="253"/>
      <c r="K56" s="258"/>
      <c r="L56" s="127"/>
      <c r="M56" s="258"/>
      <c r="N56" s="253"/>
      <c r="O56" s="253"/>
      <c r="P56" s="253"/>
      <c r="Q56" s="259"/>
      <c r="R56" s="255"/>
      <c r="S56" s="253"/>
      <c r="T56" s="253"/>
      <c r="U56" s="253"/>
    </row>
    <row r="57" spans="1:21">
      <c r="A57" s="253"/>
      <c r="B57" s="253"/>
      <c r="C57" s="253"/>
      <c r="D57" s="255"/>
      <c r="E57" s="256"/>
      <c r="F57" s="253"/>
      <c r="G57" s="253"/>
      <c r="H57" s="253"/>
      <c r="I57" s="253"/>
      <c r="J57" s="253"/>
      <c r="K57" s="253"/>
      <c r="L57" s="127"/>
      <c r="M57" s="253"/>
      <c r="N57" s="253"/>
      <c r="O57" s="253"/>
      <c r="P57" s="253"/>
      <c r="Q57" s="259"/>
      <c r="R57" s="255"/>
      <c r="S57" s="253"/>
      <c r="T57" s="253"/>
      <c r="U57" s="253"/>
    </row>
    <row r="58" spans="1:21">
      <c r="A58" s="253"/>
      <c r="B58" s="253"/>
      <c r="C58" s="253"/>
      <c r="D58" s="255"/>
      <c r="E58" s="256"/>
      <c r="F58" s="253"/>
      <c r="G58" s="253"/>
      <c r="H58" s="253"/>
      <c r="I58" s="253"/>
      <c r="J58" s="253"/>
      <c r="K58" s="253"/>
      <c r="L58" s="127"/>
      <c r="M58" s="253"/>
      <c r="N58" s="253"/>
      <c r="O58" s="253"/>
      <c r="P58" s="253"/>
      <c r="Q58" s="259"/>
      <c r="R58" s="255"/>
      <c r="S58" s="253"/>
      <c r="T58" s="253"/>
      <c r="U58" s="253"/>
    </row>
    <row r="59" spans="1:21">
      <c r="A59" s="253"/>
      <c r="B59" s="253"/>
      <c r="C59" s="253"/>
      <c r="D59" s="255"/>
      <c r="E59" s="256"/>
      <c r="F59" s="253"/>
      <c r="G59" s="253"/>
      <c r="H59" s="253"/>
      <c r="I59" s="253"/>
      <c r="J59" s="253"/>
      <c r="K59" s="253"/>
      <c r="L59" s="127"/>
      <c r="M59" s="253"/>
      <c r="N59" s="253"/>
      <c r="O59" s="253"/>
      <c r="P59" s="253"/>
      <c r="Q59" s="259"/>
      <c r="R59" s="255"/>
      <c r="S59" s="253"/>
      <c r="T59" s="253"/>
      <c r="U59" s="253"/>
    </row>
    <row r="60" spans="1:21">
      <c r="A60" s="253"/>
      <c r="B60" s="253"/>
      <c r="C60" s="253"/>
      <c r="D60" s="255"/>
      <c r="E60" s="256"/>
      <c r="F60" s="253"/>
      <c r="G60" s="253"/>
      <c r="H60" s="253"/>
      <c r="I60" s="253"/>
      <c r="J60" s="253"/>
      <c r="K60" s="253"/>
      <c r="L60" s="127"/>
      <c r="M60" s="253"/>
      <c r="N60" s="253"/>
      <c r="O60" s="253"/>
      <c r="P60" s="253"/>
      <c r="Q60" s="259"/>
      <c r="R60" s="255"/>
      <c r="S60" s="253"/>
      <c r="T60" s="253"/>
      <c r="U60" s="253"/>
    </row>
    <row r="61" spans="1:21">
      <c r="A61" s="253"/>
      <c r="B61" s="253"/>
      <c r="C61" s="253"/>
      <c r="D61" s="255"/>
      <c r="E61" s="256"/>
      <c r="F61" s="253"/>
      <c r="G61" s="253"/>
      <c r="H61" s="253"/>
      <c r="I61" s="253"/>
      <c r="J61" s="253"/>
      <c r="K61" s="253"/>
      <c r="L61" s="127"/>
      <c r="M61" s="253"/>
      <c r="N61" s="253"/>
      <c r="O61" s="253"/>
      <c r="P61" s="253"/>
      <c r="Q61" s="259"/>
      <c r="R61" s="255"/>
      <c r="S61" s="253"/>
      <c r="T61" s="253"/>
      <c r="U61" s="253"/>
    </row>
    <row r="62" spans="1:21">
      <c r="A62" s="253"/>
      <c r="B62" s="253"/>
      <c r="C62" s="253"/>
      <c r="D62" s="255"/>
      <c r="E62" s="256"/>
      <c r="F62" s="253"/>
      <c r="G62" s="253"/>
      <c r="H62" s="253"/>
      <c r="I62" s="253"/>
      <c r="J62" s="253"/>
      <c r="K62" s="253"/>
      <c r="L62" s="127"/>
      <c r="M62" s="253"/>
      <c r="N62" s="253"/>
      <c r="O62" s="253"/>
      <c r="P62" s="253"/>
      <c r="Q62" s="259"/>
      <c r="R62" s="255"/>
      <c r="S62" s="253"/>
      <c r="T62" s="253"/>
      <c r="U62" s="253"/>
    </row>
    <row r="63" spans="1:21">
      <c r="A63" s="253"/>
      <c r="B63" s="253"/>
      <c r="C63" s="253"/>
      <c r="D63" s="255"/>
      <c r="E63" s="256"/>
      <c r="F63" s="253"/>
      <c r="G63" s="253"/>
      <c r="H63" s="253"/>
      <c r="I63" s="253"/>
      <c r="J63" s="253"/>
      <c r="K63" s="253"/>
      <c r="L63" s="127"/>
      <c r="M63" s="253"/>
      <c r="N63" s="253"/>
      <c r="O63" s="253"/>
      <c r="P63" s="253"/>
      <c r="Q63" s="259"/>
      <c r="R63" s="255"/>
      <c r="S63" s="253"/>
      <c r="T63" s="253"/>
      <c r="U63" s="253"/>
    </row>
    <row r="64" spans="1:21">
      <c r="A64" s="253"/>
      <c r="B64" s="253"/>
      <c r="C64" s="253"/>
      <c r="D64" s="255"/>
      <c r="E64" s="256"/>
      <c r="F64" s="253"/>
      <c r="G64" s="253"/>
      <c r="H64" s="253"/>
      <c r="I64" s="253"/>
      <c r="J64" s="253"/>
      <c r="K64" s="253"/>
      <c r="L64" s="127"/>
      <c r="M64" s="253"/>
      <c r="N64" s="253"/>
      <c r="O64" s="253"/>
      <c r="P64" s="253"/>
      <c r="Q64" s="259"/>
      <c r="R64" s="255"/>
      <c r="S64" s="253"/>
      <c r="T64" s="253"/>
      <c r="U64" s="253"/>
    </row>
    <row r="65" spans="1:21">
      <c r="A65" s="253"/>
      <c r="B65" s="253"/>
      <c r="C65" s="253"/>
      <c r="D65" s="255"/>
      <c r="E65" s="256"/>
      <c r="F65" s="253"/>
      <c r="G65" s="253"/>
      <c r="H65" s="253"/>
      <c r="I65" s="253"/>
      <c r="J65" s="253"/>
      <c r="K65" s="253"/>
      <c r="L65" s="127"/>
      <c r="M65" s="253"/>
      <c r="N65" s="253"/>
      <c r="O65" s="253"/>
      <c r="P65" s="253"/>
      <c r="Q65" s="259"/>
      <c r="R65" s="255"/>
      <c r="S65" s="253"/>
      <c r="T65" s="253"/>
      <c r="U65" s="253"/>
    </row>
    <row r="66" spans="1:21">
      <c r="A66" s="253"/>
      <c r="B66" s="253"/>
      <c r="C66" s="253"/>
      <c r="D66" s="255"/>
      <c r="E66" s="256"/>
      <c r="F66" s="253"/>
      <c r="G66" s="253"/>
      <c r="H66" s="253"/>
      <c r="I66" s="253"/>
      <c r="J66" s="253"/>
      <c r="K66" s="253"/>
      <c r="L66" s="127"/>
      <c r="M66" s="253"/>
      <c r="N66" s="253"/>
      <c r="O66" s="253"/>
      <c r="P66" s="253"/>
      <c r="Q66" s="253"/>
      <c r="R66" s="255"/>
      <c r="S66" s="253"/>
      <c r="T66" s="253"/>
      <c r="U66" s="253"/>
    </row>
    <row r="67" spans="1:21">
      <c r="A67" s="253"/>
      <c r="B67" s="253"/>
      <c r="C67" s="253"/>
      <c r="D67" s="255"/>
      <c r="E67" s="256"/>
      <c r="F67" s="253"/>
      <c r="G67" s="253"/>
      <c r="H67" s="253"/>
      <c r="I67" s="253"/>
      <c r="J67" s="253"/>
      <c r="K67" s="253"/>
      <c r="L67" s="127"/>
      <c r="M67" s="253"/>
      <c r="N67" s="253"/>
      <c r="O67" s="253"/>
      <c r="P67" s="253"/>
      <c r="Q67" s="253"/>
      <c r="R67" s="255"/>
      <c r="S67" s="253"/>
      <c r="T67" s="253"/>
      <c r="U67" s="253"/>
    </row>
    <row r="68" spans="1:21">
      <c r="A68" s="253"/>
      <c r="B68" s="253"/>
      <c r="C68" s="253"/>
      <c r="D68" s="255"/>
      <c r="E68" s="256"/>
      <c r="F68" s="253"/>
      <c r="G68" s="253"/>
      <c r="H68" s="253"/>
      <c r="I68" s="253"/>
      <c r="J68" s="253"/>
      <c r="K68" s="253"/>
      <c r="L68" s="127"/>
      <c r="M68" s="253"/>
      <c r="N68" s="253"/>
      <c r="O68" s="253"/>
      <c r="P68" s="253"/>
      <c r="Q68" s="253"/>
      <c r="R68" s="255"/>
      <c r="S68" s="253"/>
      <c r="T68" s="253"/>
      <c r="U68" s="253"/>
    </row>
    <row r="69" spans="1:21">
      <c r="A69" s="253"/>
      <c r="B69" s="253"/>
      <c r="C69" s="253"/>
      <c r="D69" s="255"/>
      <c r="E69" s="256"/>
      <c r="F69" s="253"/>
      <c r="G69" s="253"/>
      <c r="H69" s="253"/>
      <c r="I69" s="253"/>
      <c r="J69" s="253"/>
      <c r="K69" s="253"/>
      <c r="L69" s="127"/>
      <c r="M69" s="253"/>
      <c r="N69" s="253"/>
      <c r="O69" s="253"/>
      <c r="P69" s="253"/>
      <c r="Q69" s="253"/>
      <c r="R69" s="255"/>
      <c r="S69" s="253"/>
      <c r="T69" s="253"/>
      <c r="U69" s="253"/>
    </row>
    <row r="70" spans="1:21">
      <c r="A70" s="253"/>
      <c r="B70" s="253"/>
      <c r="C70" s="253"/>
      <c r="D70" s="255"/>
      <c r="E70" s="256"/>
      <c r="F70" s="253"/>
      <c r="G70" s="253"/>
      <c r="H70" s="253"/>
      <c r="I70" s="253"/>
      <c r="J70" s="253"/>
      <c r="K70" s="253"/>
      <c r="L70" s="127"/>
      <c r="M70" s="253"/>
      <c r="N70" s="253"/>
      <c r="O70" s="253"/>
      <c r="P70" s="253"/>
      <c r="Q70" s="253"/>
      <c r="R70" s="255"/>
      <c r="S70" s="253"/>
      <c r="T70" s="253"/>
      <c r="U70" s="253"/>
    </row>
    <row r="71" spans="1:21">
      <c r="A71" s="253"/>
      <c r="B71" s="253"/>
      <c r="C71" s="253"/>
      <c r="D71" s="255"/>
      <c r="E71" s="256"/>
      <c r="F71" s="253"/>
      <c r="G71" s="253"/>
      <c r="H71" s="253"/>
      <c r="I71" s="253"/>
      <c r="J71" s="253"/>
      <c r="K71" s="253"/>
      <c r="L71" s="127"/>
      <c r="M71" s="253"/>
      <c r="N71" s="253"/>
      <c r="O71" s="253"/>
      <c r="P71" s="253"/>
      <c r="Q71" s="253"/>
      <c r="R71" s="255"/>
      <c r="S71" s="253"/>
      <c r="T71" s="253"/>
      <c r="U71" s="253"/>
    </row>
    <row r="72" spans="1:21">
      <c r="A72" s="253"/>
      <c r="B72" s="253"/>
      <c r="C72" s="253"/>
      <c r="D72" s="255"/>
      <c r="E72" s="256"/>
      <c r="F72" s="253"/>
      <c r="G72" s="253"/>
      <c r="H72" s="253"/>
      <c r="I72" s="253"/>
      <c r="J72" s="253"/>
      <c r="K72" s="253"/>
      <c r="L72" s="127"/>
      <c r="M72" s="253"/>
      <c r="N72" s="253"/>
      <c r="O72" s="253"/>
      <c r="P72" s="253"/>
      <c r="Q72" s="253"/>
      <c r="R72" s="255"/>
      <c r="S72" s="253"/>
      <c r="T72" s="253"/>
      <c r="U72" s="253"/>
    </row>
    <row r="73" spans="1:21">
      <c r="A73" s="253"/>
      <c r="B73" s="253"/>
      <c r="C73" s="253"/>
      <c r="D73" s="255"/>
      <c r="E73" s="256"/>
      <c r="F73" s="253"/>
      <c r="G73" s="253"/>
      <c r="H73" s="253"/>
      <c r="I73" s="253"/>
      <c r="J73" s="253"/>
      <c r="K73" s="253"/>
      <c r="L73" s="127"/>
      <c r="M73" s="253"/>
      <c r="N73" s="253"/>
      <c r="O73" s="253"/>
      <c r="P73" s="253"/>
      <c r="Q73" s="253"/>
      <c r="R73" s="255"/>
      <c r="S73" s="253"/>
      <c r="T73" s="253"/>
      <c r="U73" s="253"/>
    </row>
    <row r="74" spans="1:21">
      <c r="A74" s="253"/>
      <c r="B74" s="253"/>
      <c r="C74" s="253"/>
      <c r="D74" s="255"/>
      <c r="E74" s="256"/>
      <c r="F74" s="253"/>
      <c r="G74" s="253"/>
      <c r="H74" s="253"/>
      <c r="I74" s="253"/>
      <c r="J74" s="253"/>
      <c r="K74" s="253"/>
      <c r="L74" s="127"/>
      <c r="M74" s="253"/>
      <c r="N74" s="253"/>
      <c r="O74" s="253"/>
      <c r="P74" s="253"/>
      <c r="Q74" s="253"/>
      <c r="R74" s="255"/>
      <c r="S74" s="253"/>
      <c r="T74" s="253"/>
      <c r="U74" s="253"/>
    </row>
    <row r="75" spans="1:21">
      <c r="A75" s="253"/>
      <c r="B75" s="253"/>
      <c r="C75" s="253"/>
      <c r="D75" s="255"/>
      <c r="E75" s="256"/>
      <c r="F75" s="253"/>
      <c r="G75" s="253"/>
      <c r="H75" s="253"/>
      <c r="I75" s="253"/>
      <c r="J75" s="253"/>
      <c r="K75" s="253"/>
      <c r="L75" s="127"/>
      <c r="M75" s="253"/>
      <c r="N75" s="253"/>
      <c r="O75" s="253"/>
      <c r="P75" s="253"/>
      <c r="Q75" s="253"/>
      <c r="R75" s="255"/>
      <c r="S75" s="253"/>
      <c r="T75" s="253"/>
      <c r="U75" s="253"/>
    </row>
    <row r="76" spans="1:21">
      <c r="A76" s="253"/>
      <c r="B76" s="253"/>
      <c r="C76" s="253"/>
      <c r="D76" s="255"/>
      <c r="E76" s="256"/>
      <c r="F76" s="253"/>
      <c r="G76" s="253"/>
      <c r="H76" s="253"/>
      <c r="I76" s="253"/>
      <c r="J76" s="253"/>
      <c r="K76" s="253"/>
      <c r="L76" s="127"/>
      <c r="M76" s="253"/>
      <c r="N76" s="253"/>
      <c r="O76" s="253"/>
      <c r="P76" s="253"/>
      <c r="Q76" s="253"/>
      <c r="R76" s="255"/>
      <c r="S76" s="253"/>
      <c r="T76" s="253"/>
      <c r="U76" s="253"/>
    </row>
    <row r="77" spans="1:21">
      <c r="A77" s="253"/>
      <c r="B77" s="253"/>
      <c r="C77" s="253"/>
      <c r="D77" s="255"/>
      <c r="E77" s="256"/>
      <c r="F77" s="253"/>
      <c r="G77" s="253"/>
      <c r="H77" s="253"/>
      <c r="I77" s="253"/>
      <c r="J77" s="253"/>
      <c r="K77" s="253"/>
      <c r="L77" s="127"/>
      <c r="M77" s="253"/>
      <c r="N77" s="253"/>
      <c r="O77" s="253"/>
      <c r="P77" s="253"/>
      <c r="Q77" s="253"/>
      <c r="R77" s="255"/>
      <c r="S77" s="253"/>
      <c r="T77" s="253"/>
      <c r="U77" s="253"/>
    </row>
    <row r="78" spans="1:21">
      <c r="A78" s="253"/>
      <c r="B78" s="253"/>
      <c r="C78" s="253"/>
      <c r="D78" s="255"/>
      <c r="E78" s="256"/>
      <c r="F78" s="253"/>
      <c r="G78" s="253"/>
      <c r="H78" s="253"/>
      <c r="I78" s="253"/>
      <c r="J78" s="253"/>
      <c r="K78" s="253"/>
      <c r="L78" s="127"/>
      <c r="M78" s="253"/>
      <c r="N78" s="253"/>
      <c r="O78" s="253"/>
      <c r="P78" s="253"/>
      <c r="Q78" s="253"/>
      <c r="R78" s="255"/>
      <c r="S78" s="253"/>
      <c r="T78" s="253"/>
      <c r="U78" s="253"/>
    </row>
    <row r="79" spans="1:21">
      <c r="A79" s="253"/>
      <c r="B79" s="253"/>
      <c r="C79" s="253"/>
      <c r="D79" s="255"/>
      <c r="E79" s="256"/>
      <c r="F79" s="253"/>
      <c r="G79" s="253"/>
      <c r="H79" s="253"/>
      <c r="I79" s="253"/>
      <c r="J79" s="253"/>
      <c r="K79" s="253"/>
      <c r="L79" s="127"/>
      <c r="M79" s="253"/>
      <c r="N79" s="253"/>
      <c r="O79" s="253"/>
      <c r="P79" s="253"/>
      <c r="Q79" s="253"/>
      <c r="R79" s="255"/>
      <c r="S79" s="253"/>
      <c r="T79" s="253"/>
      <c r="U79" s="253"/>
    </row>
    <row r="80" spans="1:21">
      <c r="A80" s="253"/>
      <c r="B80" s="253"/>
      <c r="C80" s="253"/>
      <c r="D80" s="255"/>
      <c r="E80" s="256"/>
      <c r="F80" s="253"/>
      <c r="G80" s="253"/>
      <c r="H80" s="253"/>
      <c r="I80" s="253"/>
      <c r="J80" s="253"/>
      <c r="K80" s="253"/>
      <c r="L80" s="127"/>
      <c r="M80" s="253"/>
      <c r="N80" s="253"/>
      <c r="O80" s="253"/>
      <c r="P80" s="253"/>
      <c r="Q80" s="253"/>
      <c r="R80" s="255"/>
      <c r="S80" s="253"/>
      <c r="T80" s="253"/>
      <c r="U80" s="253"/>
    </row>
    <row r="81" spans="1:21">
      <c r="A81" s="253"/>
      <c r="B81" s="253"/>
      <c r="C81" s="253"/>
      <c r="D81" s="255"/>
      <c r="E81" s="256"/>
      <c r="F81" s="253"/>
      <c r="G81" s="253"/>
      <c r="H81" s="253"/>
      <c r="I81" s="253"/>
      <c r="J81" s="253"/>
      <c r="K81" s="253"/>
      <c r="L81" s="127"/>
      <c r="M81" s="253"/>
      <c r="N81" s="253"/>
      <c r="O81" s="253"/>
      <c r="P81" s="253"/>
      <c r="Q81" s="253"/>
      <c r="R81" s="255"/>
      <c r="S81" s="253"/>
      <c r="T81" s="253"/>
      <c r="U81" s="253"/>
    </row>
    <row r="82" spans="1:21">
      <c r="A82" s="253"/>
      <c r="B82" s="253"/>
      <c r="C82" s="253"/>
      <c r="D82" s="255"/>
      <c r="E82" s="256"/>
      <c r="F82" s="253"/>
      <c r="G82" s="253"/>
      <c r="H82" s="253"/>
      <c r="I82" s="253"/>
      <c r="J82" s="253"/>
      <c r="K82" s="253"/>
      <c r="L82" s="127"/>
      <c r="M82" s="253"/>
      <c r="N82" s="253"/>
      <c r="O82" s="253"/>
      <c r="P82" s="253"/>
      <c r="Q82" s="253"/>
      <c r="R82" s="255"/>
      <c r="S82" s="253"/>
      <c r="T82" s="253"/>
      <c r="U82" s="253"/>
    </row>
    <row r="83" spans="1:21">
      <c r="A83" s="253"/>
      <c r="B83" s="253"/>
      <c r="C83" s="253"/>
      <c r="D83" s="255"/>
      <c r="E83" s="256"/>
      <c r="F83" s="253"/>
      <c r="G83" s="253"/>
      <c r="H83" s="253"/>
      <c r="I83" s="253"/>
      <c r="J83" s="253"/>
      <c r="K83" s="253"/>
      <c r="L83" s="127"/>
      <c r="M83" s="253"/>
      <c r="N83" s="253"/>
      <c r="O83" s="253"/>
      <c r="P83" s="253"/>
      <c r="Q83" s="253"/>
      <c r="R83" s="255"/>
      <c r="S83" s="253"/>
      <c r="T83" s="253"/>
      <c r="U83" s="253"/>
    </row>
    <row r="84" spans="1:21">
      <c r="A84" s="253"/>
      <c r="B84" s="253"/>
      <c r="C84" s="253"/>
      <c r="D84" s="255"/>
      <c r="E84" s="256"/>
      <c r="F84" s="253"/>
      <c r="G84" s="253"/>
      <c r="H84" s="253"/>
      <c r="I84" s="253"/>
      <c r="J84" s="253"/>
      <c r="K84" s="253"/>
      <c r="L84" s="127"/>
      <c r="M84" s="253"/>
      <c r="N84" s="253"/>
      <c r="O84" s="253"/>
      <c r="P84" s="253"/>
      <c r="Q84" s="253"/>
      <c r="R84" s="255"/>
      <c r="S84" s="253"/>
      <c r="T84" s="253"/>
      <c r="U84" s="253"/>
    </row>
    <row r="85" spans="1:21">
      <c r="A85" s="253"/>
      <c r="B85" s="253"/>
      <c r="C85" s="253"/>
      <c r="D85" s="255"/>
      <c r="E85" s="256"/>
      <c r="F85" s="253"/>
      <c r="G85" s="253"/>
      <c r="H85" s="253"/>
      <c r="I85" s="253"/>
      <c r="J85" s="253"/>
      <c r="K85" s="253"/>
      <c r="L85" s="127"/>
      <c r="M85" s="253"/>
      <c r="N85" s="253"/>
      <c r="O85" s="253"/>
      <c r="P85" s="253"/>
      <c r="Q85" s="253"/>
      <c r="R85" s="255"/>
      <c r="S85" s="253"/>
      <c r="T85" s="253"/>
      <c r="U85" s="253"/>
    </row>
    <row r="86" spans="1:21">
      <c r="A86" s="253"/>
      <c r="B86" s="253"/>
      <c r="C86" s="253"/>
      <c r="D86" s="255"/>
      <c r="E86" s="256"/>
      <c r="F86" s="253"/>
      <c r="G86" s="253"/>
      <c r="H86" s="253"/>
      <c r="I86" s="253"/>
      <c r="J86" s="253"/>
      <c r="K86" s="253"/>
      <c r="L86" s="127"/>
      <c r="M86" s="253"/>
      <c r="N86" s="253"/>
      <c r="O86" s="253"/>
      <c r="P86" s="253"/>
      <c r="Q86" s="253"/>
      <c r="R86" s="255"/>
      <c r="S86" s="253"/>
      <c r="T86" s="253"/>
      <c r="U86" s="253"/>
    </row>
    <row r="87" spans="1:21">
      <c r="A87" s="253"/>
      <c r="B87" s="253"/>
      <c r="C87" s="253"/>
      <c r="D87" s="255"/>
      <c r="E87" s="256"/>
      <c r="F87" s="253"/>
      <c r="G87" s="253"/>
      <c r="H87" s="253"/>
      <c r="I87" s="253"/>
      <c r="J87" s="253"/>
      <c r="K87" s="253"/>
      <c r="L87" s="127"/>
      <c r="M87" s="253"/>
      <c r="N87" s="253"/>
      <c r="O87" s="253"/>
      <c r="P87" s="253"/>
      <c r="Q87" s="253"/>
      <c r="R87" s="255"/>
      <c r="S87" s="253"/>
      <c r="T87" s="253"/>
      <c r="U87" s="253"/>
    </row>
    <row r="88" spans="1:21">
      <c r="A88" s="253"/>
      <c r="B88" s="253"/>
      <c r="C88" s="253"/>
      <c r="D88" s="255"/>
      <c r="E88" s="256"/>
      <c r="F88" s="253"/>
      <c r="G88" s="253"/>
      <c r="H88" s="253"/>
      <c r="I88" s="253"/>
      <c r="J88" s="253"/>
      <c r="K88" s="253"/>
      <c r="L88" s="127"/>
      <c r="M88" s="253"/>
      <c r="N88" s="253"/>
      <c r="O88" s="253"/>
      <c r="P88" s="253"/>
      <c r="Q88" s="253"/>
      <c r="R88" s="255"/>
      <c r="S88" s="253"/>
      <c r="T88" s="253"/>
      <c r="U88" s="253"/>
    </row>
    <row r="89" spans="1:21">
      <c r="A89" s="253"/>
      <c r="B89" s="253"/>
      <c r="C89" s="253"/>
      <c r="D89" s="255"/>
      <c r="E89" s="256"/>
      <c r="F89" s="253"/>
      <c r="G89" s="253"/>
      <c r="H89" s="253"/>
      <c r="I89" s="253"/>
      <c r="J89" s="253"/>
      <c r="K89" s="253"/>
      <c r="L89" s="127"/>
      <c r="M89" s="253"/>
      <c r="N89" s="253"/>
      <c r="O89" s="253"/>
      <c r="P89" s="253"/>
      <c r="Q89" s="253"/>
      <c r="R89" s="255"/>
      <c r="S89" s="253"/>
      <c r="T89" s="253"/>
      <c r="U89" s="253"/>
    </row>
    <row r="90" spans="1:21">
      <c r="A90" s="253"/>
      <c r="B90" s="253"/>
      <c r="C90" s="253"/>
      <c r="D90" s="255"/>
      <c r="E90" s="256"/>
      <c r="F90" s="253"/>
      <c r="G90" s="253"/>
      <c r="H90" s="253"/>
      <c r="I90" s="253"/>
      <c r="J90" s="253"/>
      <c r="K90" s="253"/>
      <c r="L90" s="127"/>
      <c r="M90" s="253"/>
      <c r="N90" s="253"/>
      <c r="O90" s="253"/>
      <c r="P90" s="253"/>
      <c r="Q90" s="253"/>
      <c r="R90" s="255"/>
      <c r="S90" s="253"/>
      <c r="T90" s="253"/>
      <c r="U90" s="253"/>
    </row>
    <row r="91" spans="1:21">
      <c r="A91" s="253"/>
      <c r="B91" s="253"/>
      <c r="C91" s="253"/>
      <c r="D91" s="255"/>
      <c r="E91" s="256"/>
      <c r="F91" s="253"/>
      <c r="G91" s="253"/>
      <c r="H91" s="253"/>
      <c r="I91" s="253"/>
      <c r="J91" s="253"/>
      <c r="K91" s="253"/>
      <c r="L91" s="127"/>
      <c r="M91" s="253"/>
      <c r="N91" s="253"/>
      <c r="O91" s="253"/>
      <c r="P91" s="253"/>
      <c r="Q91" s="253"/>
      <c r="R91" s="255"/>
      <c r="S91" s="253"/>
      <c r="T91" s="253"/>
      <c r="U91" s="253"/>
    </row>
    <row r="92" spans="1:21">
      <c r="A92" s="253"/>
      <c r="B92" s="253"/>
      <c r="C92" s="253"/>
      <c r="D92" s="255"/>
      <c r="E92" s="256"/>
      <c r="F92" s="253"/>
      <c r="G92" s="253"/>
      <c r="H92" s="253"/>
      <c r="I92" s="253"/>
      <c r="J92" s="253"/>
      <c r="K92" s="253"/>
      <c r="L92" s="127"/>
      <c r="M92" s="253"/>
      <c r="N92" s="253"/>
      <c r="O92" s="253"/>
      <c r="P92" s="253"/>
      <c r="Q92" s="253"/>
      <c r="R92" s="255"/>
      <c r="S92" s="253"/>
      <c r="T92" s="253"/>
      <c r="U92" s="253"/>
    </row>
    <row r="93" spans="1:21">
      <c r="A93" s="253"/>
      <c r="B93" s="253"/>
      <c r="C93" s="253"/>
      <c r="D93" s="255"/>
      <c r="E93" s="256"/>
      <c r="F93" s="253"/>
      <c r="G93" s="253"/>
      <c r="H93" s="253"/>
      <c r="I93" s="253"/>
      <c r="J93" s="253"/>
      <c r="K93" s="253"/>
      <c r="L93" s="127"/>
      <c r="M93" s="253"/>
      <c r="N93" s="253"/>
      <c r="O93" s="253"/>
      <c r="P93" s="253"/>
      <c r="Q93" s="253"/>
      <c r="R93" s="255"/>
      <c r="S93" s="253"/>
      <c r="T93" s="253"/>
      <c r="U93" s="253"/>
    </row>
    <row r="94" spans="1:21">
      <c r="A94" s="253"/>
      <c r="B94" s="253"/>
      <c r="C94" s="253"/>
      <c r="D94" s="255"/>
      <c r="E94" s="256"/>
      <c r="F94" s="253"/>
      <c r="G94" s="253"/>
      <c r="H94" s="253"/>
      <c r="I94" s="253"/>
      <c r="J94" s="253"/>
      <c r="K94" s="253"/>
      <c r="L94" s="127"/>
      <c r="M94" s="253"/>
      <c r="N94" s="253"/>
      <c r="O94" s="253"/>
      <c r="P94" s="253"/>
      <c r="Q94" s="253"/>
      <c r="R94" s="255"/>
      <c r="S94" s="253"/>
      <c r="T94" s="253"/>
      <c r="U94" s="253"/>
    </row>
    <row r="95" spans="1:21">
      <c r="A95" s="253"/>
      <c r="B95" s="253"/>
      <c r="C95" s="253"/>
      <c r="D95" s="255"/>
      <c r="E95" s="256"/>
      <c r="F95" s="253"/>
      <c r="G95" s="253"/>
      <c r="H95" s="253"/>
      <c r="I95" s="253"/>
      <c r="J95" s="253"/>
      <c r="K95" s="253"/>
      <c r="L95" s="127"/>
      <c r="M95" s="253"/>
      <c r="N95" s="253"/>
      <c r="O95" s="253"/>
      <c r="P95" s="253"/>
      <c r="Q95" s="253"/>
      <c r="R95" s="255"/>
      <c r="S95" s="253"/>
      <c r="T95" s="253"/>
      <c r="U95" s="253"/>
    </row>
    <row r="96" spans="1:21">
      <c r="A96" s="253"/>
      <c r="B96" s="253"/>
      <c r="C96" s="253"/>
      <c r="D96" s="255"/>
      <c r="E96" s="256"/>
      <c r="F96" s="253"/>
      <c r="G96" s="253"/>
      <c r="H96" s="253"/>
      <c r="I96" s="253"/>
      <c r="J96" s="253"/>
      <c r="K96" s="253"/>
      <c r="L96" s="127"/>
      <c r="M96" s="253"/>
      <c r="N96" s="253"/>
      <c r="O96" s="253"/>
      <c r="P96" s="253"/>
      <c r="Q96" s="253"/>
      <c r="R96" s="255"/>
      <c r="S96" s="253"/>
      <c r="T96" s="253"/>
      <c r="U96" s="253"/>
    </row>
    <row r="97" spans="1:21">
      <c r="A97" s="253"/>
      <c r="B97" s="253"/>
      <c r="C97" s="253"/>
      <c r="D97" s="255"/>
      <c r="E97" s="256"/>
      <c r="F97" s="253"/>
      <c r="G97" s="253"/>
      <c r="H97" s="253"/>
      <c r="I97" s="253"/>
      <c r="J97" s="253"/>
      <c r="K97" s="253"/>
      <c r="L97" s="127"/>
      <c r="M97" s="253"/>
      <c r="N97" s="253"/>
      <c r="O97" s="253"/>
      <c r="P97" s="253"/>
      <c r="Q97" s="253"/>
      <c r="R97" s="255"/>
      <c r="S97" s="253"/>
      <c r="T97" s="253"/>
      <c r="U97" s="253"/>
    </row>
    <row r="98" spans="1:21">
      <c r="A98" s="253"/>
      <c r="B98" s="253"/>
      <c r="C98" s="253"/>
      <c r="D98" s="255"/>
      <c r="E98" s="256"/>
      <c r="F98" s="253"/>
      <c r="G98" s="253"/>
      <c r="H98" s="253"/>
      <c r="I98" s="253"/>
      <c r="J98" s="253"/>
      <c r="K98" s="253"/>
      <c r="L98" s="127"/>
      <c r="M98" s="253"/>
      <c r="N98" s="253"/>
      <c r="O98" s="253"/>
      <c r="P98" s="253"/>
      <c r="Q98" s="253"/>
      <c r="R98" s="255"/>
      <c r="S98" s="253"/>
      <c r="T98" s="253"/>
      <c r="U98" s="253"/>
    </row>
    <row r="99" spans="1:21">
      <c r="A99" s="253"/>
      <c r="B99" s="253"/>
      <c r="C99" s="253"/>
      <c r="D99" s="255"/>
      <c r="E99" s="256"/>
      <c r="F99" s="253"/>
      <c r="G99" s="253"/>
      <c r="H99" s="253"/>
      <c r="I99" s="253"/>
      <c r="J99" s="253"/>
      <c r="K99" s="253"/>
      <c r="L99" s="127"/>
      <c r="M99" s="253"/>
      <c r="N99" s="253"/>
      <c r="O99" s="253"/>
      <c r="P99" s="253"/>
      <c r="Q99" s="253"/>
      <c r="R99" s="255"/>
      <c r="S99" s="253"/>
      <c r="T99" s="253"/>
      <c r="U99" s="253"/>
    </row>
    <row r="100" spans="1:21">
      <c r="A100" s="253"/>
      <c r="B100" s="253"/>
      <c r="C100" s="253"/>
      <c r="D100" s="255"/>
      <c r="E100" s="256"/>
      <c r="F100" s="253"/>
      <c r="G100" s="253"/>
      <c r="H100" s="253"/>
      <c r="I100" s="253"/>
      <c r="J100" s="253"/>
      <c r="K100" s="253"/>
      <c r="L100" s="127"/>
      <c r="M100" s="253"/>
      <c r="N100" s="253"/>
      <c r="O100" s="253"/>
      <c r="P100" s="253"/>
      <c r="Q100" s="253"/>
      <c r="R100" s="255"/>
      <c r="S100" s="253"/>
      <c r="T100" s="253"/>
      <c r="U100" s="253"/>
    </row>
    <row r="101" spans="1:21">
      <c r="A101" s="253"/>
      <c r="B101" s="253"/>
      <c r="C101" s="253"/>
      <c r="D101" s="255"/>
      <c r="E101" s="256"/>
      <c r="F101" s="253"/>
      <c r="G101" s="253"/>
      <c r="H101" s="253"/>
      <c r="I101" s="253"/>
      <c r="J101" s="253"/>
      <c r="K101" s="253"/>
      <c r="L101" s="127"/>
      <c r="M101" s="253"/>
      <c r="N101" s="253"/>
      <c r="O101" s="253"/>
      <c r="P101" s="253"/>
      <c r="Q101" s="253"/>
      <c r="R101" s="255"/>
      <c r="S101" s="253"/>
      <c r="T101" s="253"/>
      <c r="U101" s="253"/>
    </row>
    <row r="102" spans="1:21">
      <c r="A102" s="253"/>
      <c r="B102" s="253"/>
      <c r="C102" s="253"/>
      <c r="D102" s="255"/>
      <c r="E102" s="256"/>
      <c r="F102" s="253"/>
      <c r="G102" s="253"/>
      <c r="H102" s="253"/>
      <c r="I102" s="253"/>
      <c r="J102" s="253"/>
      <c r="K102" s="253"/>
      <c r="L102" s="127"/>
      <c r="M102" s="253"/>
      <c r="N102" s="253"/>
      <c r="O102" s="253"/>
      <c r="P102" s="253"/>
      <c r="Q102" s="253"/>
      <c r="R102" s="255"/>
      <c r="S102" s="253"/>
      <c r="T102" s="253"/>
      <c r="U102" s="253"/>
    </row>
    <row r="103" spans="1:21">
      <c r="A103" s="253"/>
      <c r="B103" s="253"/>
      <c r="C103" s="253"/>
      <c r="D103" s="255"/>
      <c r="E103" s="256"/>
      <c r="F103" s="253"/>
      <c r="G103" s="253"/>
      <c r="H103" s="253"/>
      <c r="I103" s="253"/>
      <c r="J103" s="253"/>
      <c r="K103" s="253"/>
      <c r="L103" s="127"/>
      <c r="M103" s="253"/>
      <c r="N103" s="253"/>
      <c r="O103" s="253"/>
      <c r="P103" s="253"/>
      <c r="Q103" s="253"/>
      <c r="R103" s="255"/>
      <c r="S103" s="253"/>
      <c r="T103" s="253"/>
      <c r="U103" s="253"/>
    </row>
    <row r="104" spans="1:21">
      <c r="A104" s="253"/>
      <c r="B104" s="253"/>
      <c r="C104" s="253"/>
      <c r="D104" s="255"/>
      <c r="E104" s="256"/>
      <c r="F104" s="253"/>
      <c r="G104" s="253"/>
      <c r="H104" s="253"/>
      <c r="I104" s="253"/>
      <c r="J104" s="253"/>
      <c r="K104" s="253"/>
      <c r="L104" s="127"/>
      <c r="M104" s="253"/>
      <c r="N104" s="253"/>
      <c r="O104" s="253"/>
      <c r="P104" s="253"/>
      <c r="Q104" s="253"/>
      <c r="R104" s="255"/>
      <c r="S104" s="253"/>
      <c r="T104" s="253"/>
      <c r="U104" s="253"/>
    </row>
    <row r="105" spans="1:21">
      <c r="A105" s="253"/>
      <c r="B105" s="253"/>
      <c r="C105" s="253"/>
      <c r="D105" s="255"/>
      <c r="E105" s="256"/>
      <c r="F105" s="253"/>
      <c r="G105" s="253"/>
      <c r="H105" s="253"/>
      <c r="I105" s="253"/>
      <c r="J105" s="253"/>
      <c r="K105" s="253"/>
      <c r="L105" s="127"/>
      <c r="M105" s="253"/>
      <c r="N105" s="253"/>
      <c r="O105" s="253"/>
      <c r="P105" s="253"/>
      <c r="Q105" s="253"/>
      <c r="R105" s="255"/>
      <c r="S105" s="253"/>
      <c r="T105" s="253"/>
      <c r="U105" s="253"/>
    </row>
    <row r="106" spans="1:21">
      <c r="A106" s="253"/>
      <c r="B106" s="253"/>
      <c r="C106" s="253"/>
      <c r="D106" s="255"/>
      <c r="E106" s="256"/>
      <c r="F106" s="253"/>
      <c r="G106" s="253"/>
      <c r="H106" s="253"/>
      <c r="I106" s="253"/>
      <c r="J106" s="253"/>
      <c r="K106" s="253"/>
      <c r="L106" s="127"/>
      <c r="M106" s="253"/>
      <c r="N106" s="253"/>
      <c r="O106" s="253"/>
      <c r="P106" s="253"/>
      <c r="Q106" s="253"/>
      <c r="R106" s="255"/>
      <c r="S106" s="253"/>
      <c r="T106" s="253"/>
      <c r="U106" s="253"/>
    </row>
    <row r="107" spans="1:21">
      <c r="A107" s="253"/>
      <c r="B107" s="253"/>
      <c r="C107" s="253"/>
      <c r="D107" s="255"/>
      <c r="E107" s="256"/>
      <c r="F107" s="253"/>
      <c r="G107" s="253"/>
      <c r="H107" s="253"/>
      <c r="I107" s="253"/>
      <c r="J107" s="253"/>
      <c r="K107" s="253"/>
      <c r="L107" s="127"/>
      <c r="M107" s="253"/>
      <c r="N107" s="253"/>
      <c r="O107" s="253"/>
      <c r="P107" s="253"/>
      <c r="Q107" s="253"/>
      <c r="R107" s="255"/>
      <c r="S107" s="253"/>
      <c r="T107" s="253"/>
      <c r="U107" s="253"/>
    </row>
    <row r="108" spans="1:21">
      <c r="A108" s="253"/>
      <c r="B108" s="253"/>
      <c r="C108" s="253"/>
      <c r="D108" s="255"/>
      <c r="E108" s="256"/>
      <c r="F108" s="253"/>
      <c r="G108" s="253"/>
      <c r="H108" s="253"/>
      <c r="I108" s="253"/>
      <c r="J108" s="253"/>
      <c r="K108" s="253"/>
      <c r="L108" s="127"/>
      <c r="M108" s="253"/>
      <c r="N108" s="253"/>
      <c r="O108" s="253"/>
      <c r="P108" s="253"/>
      <c r="Q108" s="253"/>
      <c r="R108" s="255"/>
      <c r="S108" s="253"/>
      <c r="T108" s="253"/>
      <c r="U108" s="253"/>
    </row>
    <row r="109" spans="1:21">
      <c r="A109" s="253"/>
      <c r="B109" s="253"/>
      <c r="C109" s="253"/>
      <c r="D109" s="255"/>
      <c r="E109" s="256"/>
      <c r="F109" s="253"/>
      <c r="G109" s="253"/>
      <c r="H109" s="253"/>
      <c r="I109" s="253"/>
      <c r="J109" s="253"/>
      <c r="K109" s="253"/>
      <c r="L109" s="127"/>
      <c r="M109" s="253"/>
      <c r="N109" s="253"/>
      <c r="O109" s="253"/>
      <c r="P109" s="253"/>
      <c r="Q109" s="253"/>
      <c r="R109" s="255"/>
      <c r="S109" s="253"/>
      <c r="T109" s="253"/>
      <c r="U109" s="253"/>
    </row>
    <row r="110" spans="1:21">
      <c r="A110" s="253"/>
      <c r="B110" s="253"/>
      <c r="C110" s="253"/>
      <c r="D110" s="255"/>
      <c r="E110" s="256"/>
      <c r="F110" s="253"/>
      <c r="G110" s="253"/>
      <c r="H110" s="253"/>
      <c r="I110" s="253"/>
      <c r="J110" s="253"/>
      <c r="K110" s="253"/>
      <c r="L110" s="127"/>
      <c r="M110" s="253"/>
      <c r="N110" s="253"/>
      <c r="O110" s="253"/>
      <c r="P110" s="253"/>
      <c r="Q110" s="253"/>
      <c r="R110" s="255"/>
      <c r="S110" s="253"/>
      <c r="T110" s="253"/>
      <c r="U110" s="253"/>
    </row>
    <row r="111" spans="1:21">
      <c r="A111" s="253"/>
      <c r="B111" s="253"/>
      <c r="C111" s="253"/>
      <c r="D111" s="255"/>
      <c r="E111" s="256"/>
      <c r="F111" s="253"/>
      <c r="G111" s="253"/>
      <c r="H111" s="253"/>
      <c r="I111" s="253"/>
      <c r="J111" s="253"/>
      <c r="K111" s="253"/>
      <c r="L111" s="127"/>
      <c r="M111" s="253"/>
      <c r="N111" s="253"/>
      <c r="O111" s="253"/>
      <c r="P111" s="253"/>
      <c r="Q111" s="253"/>
      <c r="R111" s="255"/>
      <c r="S111" s="253"/>
      <c r="T111" s="253"/>
      <c r="U111" s="253"/>
    </row>
    <row r="112" spans="1:21">
      <c r="A112" s="253"/>
      <c r="B112" s="253"/>
      <c r="C112" s="253"/>
      <c r="D112" s="255"/>
      <c r="E112" s="256"/>
      <c r="F112" s="253"/>
      <c r="G112" s="253"/>
      <c r="H112" s="253"/>
      <c r="I112" s="253"/>
      <c r="J112" s="253"/>
      <c r="K112" s="253"/>
      <c r="L112" s="127"/>
      <c r="M112" s="253"/>
      <c r="N112" s="253"/>
      <c r="O112" s="253"/>
      <c r="P112" s="253"/>
      <c r="Q112" s="253"/>
      <c r="R112" s="255"/>
      <c r="S112" s="253"/>
      <c r="T112" s="253"/>
      <c r="U112" s="253"/>
    </row>
    <row r="113" spans="1:21">
      <c r="A113" s="253"/>
      <c r="B113" s="253"/>
      <c r="C113" s="253"/>
      <c r="D113" s="255"/>
      <c r="E113" s="256"/>
      <c r="F113" s="253"/>
      <c r="G113" s="253"/>
      <c r="H113" s="253"/>
      <c r="I113" s="253"/>
      <c r="J113" s="253"/>
      <c r="K113" s="253"/>
      <c r="L113" s="127"/>
      <c r="M113" s="253"/>
      <c r="N113" s="253"/>
      <c r="O113" s="253"/>
      <c r="P113" s="253"/>
      <c r="Q113" s="253"/>
      <c r="R113" s="255"/>
      <c r="S113" s="253"/>
      <c r="T113" s="253"/>
      <c r="U113" s="253"/>
    </row>
    <row r="114" spans="1:21">
      <c r="A114" s="253"/>
      <c r="B114" s="253"/>
      <c r="C114" s="253"/>
      <c r="D114" s="255"/>
      <c r="E114" s="256"/>
      <c r="F114" s="253"/>
      <c r="G114" s="253"/>
      <c r="H114" s="253"/>
      <c r="I114" s="253"/>
      <c r="J114" s="253"/>
      <c r="K114" s="253"/>
      <c r="L114" s="127"/>
      <c r="M114" s="253"/>
      <c r="N114" s="253"/>
      <c r="O114" s="253"/>
      <c r="P114" s="253"/>
      <c r="Q114" s="253"/>
      <c r="R114" s="255"/>
      <c r="S114" s="253"/>
      <c r="T114" s="253"/>
      <c r="U114" s="253"/>
    </row>
    <row r="115" spans="1:21">
      <c r="A115" s="253"/>
      <c r="B115" s="253"/>
      <c r="C115" s="253"/>
      <c r="D115" s="255"/>
      <c r="E115" s="256"/>
      <c r="F115" s="253"/>
      <c r="G115" s="253"/>
      <c r="H115" s="253"/>
      <c r="I115" s="253"/>
      <c r="J115" s="253"/>
      <c r="K115" s="253"/>
      <c r="L115" s="127"/>
      <c r="M115" s="253"/>
      <c r="N115" s="253"/>
      <c r="O115" s="253"/>
      <c r="P115" s="253"/>
      <c r="Q115" s="253"/>
      <c r="R115" s="255"/>
      <c r="S115" s="253"/>
      <c r="T115" s="253"/>
      <c r="U115" s="253"/>
    </row>
    <row r="116" spans="1:21">
      <c r="A116" s="253"/>
      <c r="B116" s="253"/>
      <c r="C116" s="253"/>
      <c r="D116" s="255"/>
      <c r="E116" s="256"/>
      <c r="F116" s="253"/>
      <c r="G116" s="253"/>
      <c r="H116" s="253"/>
      <c r="I116" s="253"/>
      <c r="J116" s="253"/>
      <c r="K116" s="253"/>
      <c r="L116" s="127"/>
      <c r="M116" s="253"/>
      <c r="N116" s="253"/>
      <c r="O116" s="253"/>
      <c r="P116" s="253"/>
      <c r="Q116" s="253"/>
      <c r="R116" s="255"/>
      <c r="S116" s="253"/>
      <c r="T116" s="253"/>
      <c r="U116" s="253"/>
    </row>
    <row r="117" spans="1:21">
      <c r="A117" s="253"/>
      <c r="B117" s="253"/>
      <c r="C117" s="253"/>
      <c r="D117" s="255"/>
      <c r="E117" s="256"/>
      <c r="F117" s="253"/>
      <c r="G117" s="253"/>
      <c r="H117" s="253"/>
      <c r="I117" s="253"/>
      <c r="J117" s="253"/>
      <c r="K117" s="253"/>
      <c r="L117" s="127"/>
      <c r="M117" s="253"/>
      <c r="N117" s="253"/>
      <c r="O117" s="253"/>
      <c r="P117" s="253"/>
      <c r="Q117" s="253"/>
      <c r="R117" s="255"/>
      <c r="S117" s="253"/>
      <c r="T117" s="253"/>
      <c r="U117" s="253"/>
    </row>
    <row r="118" spans="1:21">
      <c r="A118" s="253"/>
      <c r="B118" s="253"/>
      <c r="C118" s="253"/>
      <c r="D118" s="255"/>
      <c r="E118" s="256"/>
      <c r="F118" s="253"/>
      <c r="G118" s="253"/>
      <c r="H118" s="253"/>
      <c r="I118" s="253"/>
      <c r="J118" s="253"/>
      <c r="K118" s="253"/>
      <c r="L118" s="127"/>
      <c r="M118" s="253"/>
      <c r="N118" s="253"/>
      <c r="O118" s="253"/>
      <c r="P118" s="253"/>
      <c r="Q118" s="253"/>
      <c r="R118" s="255"/>
      <c r="S118" s="253"/>
      <c r="T118" s="253"/>
      <c r="U118" s="253"/>
    </row>
    <row r="119" spans="1:21">
      <c r="A119" s="253"/>
      <c r="B119" s="253"/>
      <c r="C119" s="253"/>
      <c r="D119" s="255"/>
      <c r="E119" s="256"/>
      <c r="F119" s="253"/>
      <c r="G119" s="253"/>
      <c r="H119" s="253"/>
      <c r="I119" s="253"/>
      <c r="J119" s="253"/>
      <c r="K119" s="253"/>
      <c r="L119" s="127"/>
      <c r="M119" s="253"/>
      <c r="N119" s="253"/>
      <c r="O119" s="253"/>
      <c r="P119" s="253"/>
      <c r="Q119" s="253"/>
      <c r="R119" s="255"/>
      <c r="S119" s="253"/>
      <c r="T119" s="253"/>
      <c r="U119" s="253"/>
    </row>
    <row r="120" spans="1:21">
      <c r="A120" s="253"/>
      <c r="B120" s="253"/>
      <c r="C120" s="253"/>
      <c r="D120" s="255"/>
      <c r="E120" s="256"/>
      <c r="F120" s="253"/>
      <c r="G120" s="253"/>
      <c r="H120" s="253"/>
      <c r="I120" s="253"/>
      <c r="J120" s="253"/>
      <c r="K120" s="253"/>
      <c r="L120" s="127"/>
      <c r="M120" s="253"/>
      <c r="N120" s="253"/>
      <c r="O120" s="253"/>
      <c r="P120" s="253"/>
      <c r="Q120" s="253"/>
      <c r="R120" s="255"/>
      <c r="S120" s="253"/>
      <c r="T120" s="253"/>
      <c r="U120" s="253"/>
    </row>
    <row r="121" spans="1:21">
      <c r="A121" s="253"/>
      <c r="B121" s="253"/>
      <c r="C121" s="253"/>
      <c r="D121" s="255"/>
      <c r="E121" s="256"/>
      <c r="F121" s="253"/>
      <c r="G121" s="253"/>
      <c r="H121" s="253"/>
      <c r="I121" s="253"/>
      <c r="J121" s="253"/>
      <c r="K121" s="253"/>
      <c r="L121" s="127"/>
      <c r="M121" s="253"/>
      <c r="N121" s="253"/>
      <c r="O121" s="253"/>
      <c r="P121" s="253"/>
      <c r="Q121" s="253"/>
      <c r="R121" s="255"/>
      <c r="S121" s="253"/>
      <c r="T121" s="253"/>
      <c r="U121" s="253"/>
    </row>
    <row r="122" spans="1:21">
      <c r="A122" s="253"/>
      <c r="B122" s="253"/>
      <c r="C122" s="253"/>
      <c r="D122" s="255"/>
      <c r="E122" s="256"/>
      <c r="F122" s="253"/>
      <c r="G122" s="253"/>
      <c r="H122" s="253"/>
      <c r="I122" s="253"/>
      <c r="J122" s="253"/>
      <c r="K122" s="253"/>
      <c r="L122" s="127"/>
      <c r="M122" s="253"/>
      <c r="N122" s="253"/>
      <c r="O122" s="253"/>
      <c r="P122" s="253"/>
      <c r="Q122" s="253"/>
      <c r="R122" s="255"/>
      <c r="S122" s="253"/>
      <c r="T122" s="253"/>
      <c r="U122" s="253"/>
    </row>
    <row r="123" spans="1:21">
      <c r="A123" s="253"/>
      <c r="B123" s="253"/>
      <c r="C123" s="253"/>
      <c r="D123" s="255"/>
      <c r="E123" s="256"/>
      <c r="F123" s="253"/>
      <c r="G123" s="253"/>
      <c r="H123" s="253"/>
      <c r="I123" s="253"/>
      <c r="J123" s="253"/>
      <c r="K123" s="253"/>
      <c r="L123" s="127"/>
      <c r="M123" s="253"/>
      <c r="N123" s="253"/>
      <c r="O123" s="253"/>
      <c r="P123" s="253"/>
      <c r="Q123" s="253"/>
      <c r="R123" s="255"/>
      <c r="S123" s="253"/>
      <c r="T123" s="253"/>
      <c r="U123" s="253"/>
    </row>
    <row r="124" spans="1:21">
      <c r="A124" s="253"/>
      <c r="B124" s="253"/>
      <c r="C124" s="253"/>
      <c r="D124" s="255"/>
      <c r="E124" s="256"/>
      <c r="F124" s="253"/>
      <c r="G124" s="253"/>
      <c r="H124" s="253"/>
      <c r="I124" s="253"/>
      <c r="J124" s="253"/>
      <c r="K124" s="253"/>
      <c r="L124" s="127"/>
      <c r="M124" s="253"/>
      <c r="N124" s="253"/>
      <c r="O124" s="253"/>
      <c r="P124" s="253"/>
      <c r="Q124" s="253"/>
      <c r="R124" s="255"/>
      <c r="S124" s="253"/>
      <c r="T124" s="253"/>
      <c r="U124" s="253"/>
    </row>
    <row r="125" spans="1:21">
      <c r="A125" s="253"/>
      <c r="B125" s="253"/>
      <c r="C125" s="253"/>
      <c r="D125" s="255"/>
      <c r="E125" s="256"/>
      <c r="F125" s="253"/>
      <c r="G125" s="253"/>
      <c r="H125" s="253"/>
      <c r="I125" s="253"/>
      <c r="J125" s="253"/>
      <c r="K125" s="253"/>
      <c r="L125" s="127"/>
      <c r="M125" s="253"/>
      <c r="N125" s="253"/>
      <c r="O125" s="253"/>
      <c r="P125" s="253"/>
      <c r="Q125" s="253"/>
      <c r="R125" s="255"/>
      <c r="S125" s="253"/>
      <c r="T125" s="253"/>
      <c r="U125" s="253"/>
    </row>
    <row r="126" spans="1:21">
      <c r="A126" s="253"/>
      <c r="B126" s="253"/>
      <c r="C126" s="253"/>
      <c r="D126" s="255"/>
      <c r="E126" s="256"/>
      <c r="F126" s="253"/>
      <c r="G126" s="253"/>
      <c r="H126" s="253"/>
      <c r="I126" s="253"/>
      <c r="J126" s="253"/>
      <c r="K126" s="253"/>
      <c r="L126" s="127"/>
      <c r="M126" s="253"/>
      <c r="N126" s="253"/>
      <c r="O126" s="253"/>
      <c r="P126" s="253"/>
      <c r="Q126" s="253"/>
      <c r="R126" s="255"/>
      <c r="S126" s="253"/>
      <c r="T126" s="253"/>
      <c r="U126" s="253"/>
    </row>
    <row r="127" spans="1:21">
      <c r="A127" s="253"/>
      <c r="B127" s="253"/>
      <c r="C127" s="253"/>
      <c r="D127" s="255"/>
      <c r="E127" s="256"/>
      <c r="F127" s="253"/>
      <c r="G127" s="253"/>
      <c r="H127" s="253"/>
      <c r="I127" s="253"/>
      <c r="J127" s="253"/>
      <c r="K127" s="253"/>
      <c r="L127" s="127"/>
      <c r="M127" s="253"/>
      <c r="N127" s="253"/>
      <c r="O127" s="253"/>
      <c r="P127" s="253"/>
      <c r="Q127" s="253"/>
      <c r="R127" s="255"/>
      <c r="S127" s="253"/>
      <c r="T127" s="253"/>
      <c r="U127" s="253"/>
    </row>
    <row r="128" spans="1:21">
      <c r="A128" s="253"/>
      <c r="B128" s="253"/>
      <c r="C128" s="253"/>
      <c r="D128" s="255"/>
      <c r="E128" s="256"/>
      <c r="F128" s="253"/>
      <c r="G128" s="253"/>
      <c r="H128" s="253"/>
      <c r="I128" s="253"/>
      <c r="J128" s="253"/>
      <c r="K128" s="253"/>
      <c r="L128" s="127"/>
      <c r="M128" s="253"/>
      <c r="N128" s="253"/>
      <c r="O128" s="253"/>
      <c r="P128" s="253"/>
      <c r="Q128" s="253"/>
      <c r="R128" s="255"/>
      <c r="S128" s="253"/>
      <c r="T128" s="253"/>
      <c r="U128" s="253"/>
    </row>
    <row r="129" spans="1:21">
      <c r="A129" s="253"/>
      <c r="B129" s="253"/>
      <c r="C129" s="253"/>
      <c r="D129" s="255"/>
      <c r="E129" s="256"/>
      <c r="F129" s="253"/>
      <c r="G129" s="253"/>
      <c r="H129" s="253"/>
      <c r="I129" s="253"/>
      <c r="J129" s="253"/>
      <c r="K129" s="253"/>
      <c r="L129" s="127"/>
      <c r="M129" s="253"/>
      <c r="N129" s="253"/>
      <c r="O129" s="253"/>
      <c r="P129" s="253"/>
      <c r="Q129" s="253"/>
      <c r="R129" s="255"/>
      <c r="S129" s="253"/>
      <c r="T129" s="253"/>
      <c r="U129" s="253"/>
    </row>
    <row r="130" spans="1:21">
      <c r="A130" s="253"/>
      <c r="B130" s="253"/>
      <c r="C130" s="253"/>
      <c r="D130" s="255"/>
      <c r="E130" s="256"/>
      <c r="F130" s="253"/>
      <c r="G130" s="253"/>
      <c r="H130" s="253"/>
      <c r="I130" s="253"/>
      <c r="J130" s="253"/>
      <c r="K130" s="253"/>
      <c r="L130" s="127"/>
      <c r="M130" s="253"/>
      <c r="N130" s="253"/>
      <c r="O130" s="253"/>
      <c r="P130" s="253"/>
      <c r="Q130" s="253"/>
      <c r="R130" s="255"/>
      <c r="S130" s="253"/>
      <c r="T130" s="253"/>
      <c r="U130" s="253"/>
    </row>
    <row r="131" spans="1:21">
      <c r="A131" s="253"/>
      <c r="B131" s="253"/>
      <c r="C131" s="253"/>
      <c r="D131" s="255"/>
      <c r="E131" s="256"/>
      <c r="F131" s="253"/>
      <c r="G131" s="253"/>
      <c r="H131" s="253"/>
      <c r="I131" s="253"/>
      <c r="J131" s="253"/>
      <c r="K131" s="253"/>
      <c r="L131" s="127"/>
      <c r="M131" s="253"/>
      <c r="N131" s="253"/>
      <c r="O131" s="253"/>
      <c r="P131" s="253"/>
      <c r="Q131" s="253"/>
      <c r="R131" s="255"/>
      <c r="S131" s="253"/>
      <c r="T131" s="253"/>
      <c r="U131" s="253"/>
    </row>
    <row r="132" spans="1:21">
      <c r="A132" s="253"/>
      <c r="B132" s="253"/>
      <c r="C132" s="253"/>
      <c r="D132" s="255"/>
      <c r="E132" s="256"/>
      <c r="F132" s="253"/>
      <c r="G132" s="253"/>
      <c r="H132" s="253"/>
      <c r="I132" s="253"/>
      <c r="J132" s="253"/>
      <c r="K132" s="253"/>
      <c r="L132" s="127"/>
      <c r="M132" s="253"/>
      <c r="N132" s="253"/>
      <c r="O132" s="253"/>
      <c r="P132" s="253"/>
      <c r="Q132" s="253"/>
      <c r="R132" s="255"/>
      <c r="S132" s="253"/>
      <c r="T132" s="253"/>
      <c r="U132" s="253"/>
    </row>
    <row r="133" spans="1:21">
      <c r="A133" s="253"/>
      <c r="B133" s="253"/>
      <c r="C133" s="253"/>
      <c r="D133" s="255"/>
      <c r="E133" s="256"/>
      <c r="F133" s="253"/>
      <c r="G133" s="253"/>
      <c r="H133" s="253"/>
      <c r="I133" s="253"/>
      <c r="J133" s="253"/>
      <c r="K133" s="253"/>
      <c r="L133" s="127"/>
      <c r="M133" s="253"/>
      <c r="N133" s="253"/>
      <c r="O133" s="253"/>
      <c r="P133" s="253"/>
      <c r="Q133" s="253"/>
      <c r="R133" s="255"/>
      <c r="S133" s="253"/>
      <c r="T133" s="253"/>
      <c r="U133" s="253"/>
    </row>
    <row r="134" spans="1:21">
      <c r="A134" s="253"/>
      <c r="B134" s="253"/>
      <c r="C134" s="253"/>
      <c r="D134" s="255"/>
      <c r="E134" s="256"/>
      <c r="F134" s="253"/>
      <c r="G134" s="253"/>
      <c r="H134" s="253"/>
      <c r="I134" s="253"/>
      <c r="J134" s="253"/>
      <c r="K134" s="253"/>
      <c r="L134" s="127"/>
      <c r="M134" s="253"/>
      <c r="N134" s="253"/>
      <c r="O134" s="253"/>
      <c r="P134" s="253"/>
      <c r="Q134" s="253"/>
      <c r="R134" s="255"/>
      <c r="S134" s="253"/>
      <c r="T134" s="253"/>
      <c r="U134" s="253"/>
    </row>
    <row r="135" spans="1:21">
      <c r="A135" s="253"/>
      <c r="B135" s="253"/>
      <c r="C135" s="253"/>
      <c r="D135" s="255"/>
      <c r="E135" s="256"/>
      <c r="F135" s="253"/>
      <c r="G135" s="253"/>
      <c r="H135" s="253"/>
      <c r="I135" s="253"/>
      <c r="J135" s="253"/>
      <c r="K135" s="253"/>
      <c r="L135" s="127"/>
      <c r="M135" s="253"/>
      <c r="N135" s="253"/>
      <c r="O135" s="253"/>
      <c r="P135" s="253"/>
      <c r="Q135" s="253"/>
      <c r="R135" s="255"/>
      <c r="S135" s="253"/>
      <c r="T135" s="253"/>
      <c r="U135" s="253"/>
    </row>
    <row r="136" spans="1:21">
      <c r="A136" s="253"/>
      <c r="B136" s="253"/>
      <c r="C136" s="253"/>
      <c r="D136" s="255"/>
      <c r="E136" s="256"/>
      <c r="F136" s="253"/>
      <c r="G136" s="253"/>
      <c r="H136" s="253"/>
      <c r="I136" s="253"/>
      <c r="J136" s="253"/>
      <c r="K136" s="253"/>
      <c r="L136" s="127"/>
      <c r="M136" s="253"/>
      <c r="N136" s="253"/>
      <c r="O136" s="253"/>
      <c r="P136" s="253"/>
      <c r="Q136" s="253"/>
      <c r="R136" s="255"/>
      <c r="S136" s="253"/>
      <c r="T136" s="253"/>
      <c r="U136" s="253"/>
    </row>
    <row r="137" spans="1:21">
      <c r="A137" s="253"/>
      <c r="B137" s="253"/>
      <c r="C137" s="253"/>
      <c r="D137" s="255"/>
      <c r="E137" s="256"/>
      <c r="F137" s="253"/>
      <c r="G137" s="253"/>
      <c r="H137" s="253"/>
      <c r="I137" s="253"/>
      <c r="J137" s="253"/>
      <c r="K137" s="253"/>
      <c r="L137" s="127"/>
      <c r="M137" s="253"/>
      <c r="N137" s="253"/>
      <c r="O137" s="253"/>
      <c r="P137" s="253"/>
      <c r="Q137" s="253"/>
      <c r="R137" s="255"/>
      <c r="S137" s="253"/>
      <c r="T137" s="253"/>
      <c r="U137" s="253"/>
    </row>
    <row r="138" spans="1:21">
      <c r="A138" s="253"/>
      <c r="B138" s="253"/>
      <c r="C138" s="253"/>
      <c r="D138" s="255"/>
      <c r="E138" s="256"/>
      <c r="F138" s="253"/>
      <c r="G138" s="253"/>
      <c r="H138" s="253"/>
      <c r="I138" s="253"/>
      <c r="J138" s="253"/>
      <c r="K138" s="253"/>
      <c r="L138" s="127"/>
      <c r="M138" s="253"/>
      <c r="N138" s="253"/>
      <c r="O138" s="253"/>
      <c r="P138" s="253"/>
      <c r="Q138" s="253"/>
      <c r="R138" s="255"/>
      <c r="S138" s="253"/>
      <c r="T138" s="253"/>
      <c r="U138" s="253"/>
    </row>
    <row r="139" spans="1:21">
      <c r="A139" s="253"/>
      <c r="B139" s="253"/>
      <c r="C139" s="253"/>
      <c r="D139" s="255"/>
      <c r="E139" s="256"/>
      <c r="F139" s="253"/>
      <c r="G139" s="253"/>
      <c r="H139" s="253"/>
      <c r="I139" s="253"/>
      <c r="J139" s="253"/>
      <c r="K139" s="253"/>
      <c r="L139" s="127"/>
      <c r="M139" s="253"/>
      <c r="N139" s="253"/>
      <c r="O139" s="253"/>
      <c r="P139" s="253"/>
      <c r="Q139" s="253"/>
      <c r="R139" s="255"/>
      <c r="S139" s="253"/>
      <c r="T139" s="253"/>
      <c r="U139" s="253"/>
    </row>
    <row r="140" spans="1:21">
      <c r="A140" s="253"/>
      <c r="B140" s="253"/>
      <c r="C140" s="253"/>
      <c r="D140" s="255"/>
      <c r="E140" s="256"/>
      <c r="F140" s="253"/>
      <c r="G140" s="253"/>
      <c r="H140" s="253"/>
      <c r="I140" s="253"/>
      <c r="J140" s="253"/>
      <c r="K140" s="253"/>
      <c r="L140" s="127"/>
      <c r="M140" s="253"/>
      <c r="N140" s="253"/>
      <c r="O140" s="253"/>
      <c r="P140" s="253"/>
      <c r="Q140" s="253"/>
      <c r="R140" s="255"/>
      <c r="S140" s="253"/>
      <c r="T140" s="253"/>
      <c r="U140" s="253"/>
    </row>
    <row r="141" spans="1:21">
      <c r="A141" s="253"/>
      <c r="B141" s="253"/>
      <c r="C141" s="253"/>
      <c r="D141" s="255"/>
      <c r="E141" s="256"/>
      <c r="F141" s="253"/>
      <c r="G141" s="253"/>
      <c r="H141" s="253"/>
      <c r="I141" s="253"/>
      <c r="J141" s="253"/>
      <c r="K141" s="253"/>
      <c r="L141" s="127"/>
      <c r="M141" s="253"/>
      <c r="N141" s="253"/>
      <c r="O141" s="253"/>
      <c r="P141" s="253"/>
      <c r="Q141" s="253"/>
      <c r="R141" s="255"/>
      <c r="S141" s="253"/>
      <c r="T141" s="253"/>
      <c r="U141" s="253"/>
    </row>
    <row r="142" spans="1:21">
      <c r="A142" s="253"/>
      <c r="B142" s="253"/>
      <c r="C142" s="253"/>
      <c r="D142" s="255"/>
      <c r="E142" s="256"/>
      <c r="F142" s="253"/>
      <c r="G142" s="253"/>
      <c r="H142" s="253"/>
      <c r="I142" s="253"/>
      <c r="J142" s="253"/>
      <c r="K142" s="253"/>
      <c r="L142" s="127"/>
      <c r="M142" s="253"/>
      <c r="N142" s="253"/>
      <c r="O142" s="253"/>
      <c r="P142" s="253"/>
      <c r="Q142" s="253"/>
      <c r="R142" s="255"/>
      <c r="S142" s="253"/>
      <c r="T142" s="253"/>
      <c r="U142" s="253"/>
    </row>
    <row r="143" spans="1:21">
      <c r="A143" s="253"/>
      <c r="B143" s="253"/>
      <c r="C143" s="253"/>
      <c r="D143" s="255"/>
      <c r="E143" s="256"/>
      <c r="F143" s="253"/>
      <c r="G143" s="253"/>
      <c r="H143" s="253"/>
      <c r="I143" s="253"/>
      <c r="J143" s="253"/>
      <c r="K143" s="253"/>
      <c r="L143" s="127"/>
      <c r="M143" s="253"/>
      <c r="N143" s="253"/>
      <c r="O143" s="253"/>
      <c r="P143" s="253"/>
      <c r="Q143" s="253"/>
      <c r="R143" s="255"/>
      <c r="S143" s="253"/>
      <c r="T143" s="253"/>
      <c r="U143" s="253"/>
    </row>
    <row r="144" spans="1:21">
      <c r="A144" s="253"/>
      <c r="B144" s="253"/>
      <c r="C144" s="253"/>
      <c r="D144" s="255"/>
      <c r="E144" s="256"/>
      <c r="F144" s="253"/>
      <c r="G144" s="253"/>
      <c r="H144" s="253"/>
      <c r="I144" s="253"/>
      <c r="J144" s="253"/>
      <c r="K144" s="253"/>
      <c r="L144" s="127"/>
      <c r="M144" s="253"/>
      <c r="N144" s="253"/>
      <c r="O144" s="253"/>
      <c r="P144" s="253"/>
      <c r="Q144" s="253"/>
      <c r="R144" s="255"/>
      <c r="S144" s="253"/>
      <c r="T144" s="253"/>
      <c r="U144" s="253"/>
    </row>
    <row r="145" spans="1:21">
      <c r="A145" s="253"/>
      <c r="B145" s="253"/>
      <c r="C145" s="253"/>
      <c r="D145" s="255"/>
      <c r="E145" s="256"/>
      <c r="F145" s="253"/>
      <c r="G145" s="253"/>
      <c r="H145" s="253"/>
      <c r="I145" s="253"/>
      <c r="J145" s="253"/>
      <c r="K145" s="253"/>
      <c r="L145" s="127"/>
      <c r="M145" s="253"/>
      <c r="N145" s="253"/>
      <c r="O145" s="253"/>
      <c r="P145" s="253"/>
      <c r="Q145" s="253"/>
      <c r="R145" s="255"/>
      <c r="S145" s="253"/>
      <c r="T145" s="253"/>
      <c r="U145" s="253"/>
    </row>
    <row r="146" spans="1:21">
      <c r="A146" s="253"/>
      <c r="B146" s="253"/>
      <c r="C146" s="253"/>
      <c r="D146" s="255"/>
      <c r="E146" s="256"/>
      <c r="F146" s="253"/>
      <c r="G146" s="253"/>
      <c r="H146" s="253"/>
      <c r="I146" s="253"/>
      <c r="J146" s="253"/>
      <c r="K146" s="253"/>
      <c r="L146" s="127"/>
      <c r="M146" s="253"/>
      <c r="N146" s="253"/>
      <c r="O146" s="253"/>
      <c r="P146" s="253"/>
      <c r="Q146" s="253"/>
      <c r="R146" s="255"/>
      <c r="S146" s="253"/>
      <c r="T146" s="253"/>
      <c r="U146" s="253"/>
    </row>
    <row r="147" spans="1:21">
      <c r="A147" s="253"/>
      <c r="B147" s="253"/>
      <c r="C147" s="253"/>
      <c r="D147" s="255"/>
      <c r="E147" s="256"/>
      <c r="F147" s="253"/>
      <c r="G147" s="253"/>
      <c r="H147" s="253"/>
      <c r="I147" s="253"/>
      <c r="J147" s="253"/>
      <c r="K147" s="253"/>
      <c r="L147" s="127"/>
      <c r="M147" s="253"/>
      <c r="N147" s="253"/>
      <c r="O147" s="253"/>
      <c r="P147" s="253"/>
      <c r="Q147" s="253"/>
      <c r="R147" s="255"/>
      <c r="S147" s="253"/>
      <c r="T147" s="253"/>
      <c r="U147" s="253"/>
    </row>
    <row r="148" spans="1:21">
      <c r="A148" s="253"/>
      <c r="B148" s="253"/>
      <c r="C148" s="253"/>
      <c r="D148" s="255"/>
      <c r="E148" s="256"/>
      <c r="F148" s="253"/>
      <c r="G148" s="253"/>
      <c r="H148" s="253"/>
      <c r="I148" s="253"/>
      <c r="J148" s="253"/>
      <c r="K148" s="253"/>
      <c r="L148" s="127"/>
      <c r="M148" s="253"/>
      <c r="N148" s="253"/>
      <c r="O148" s="253"/>
      <c r="P148" s="253"/>
      <c r="Q148" s="253"/>
      <c r="R148" s="255"/>
      <c r="S148" s="253"/>
      <c r="T148" s="253"/>
      <c r="U148" s="253"/>
    </row>
    <row r="149" spans="1:21">
      <c r="A149" s="253"/>
      <c r="B149" s="253"/>
      <c r="C149" s="253"/>
      <c r="D149" s="255"/>
      <c r="E149" s="256"/>
      <c r="F149" s="253"/>
      <c r="G149" s="253"/>
      <c r="H149" s="253"/>
      <c r="I149" s="253"/>
      <c r="J149" s="253"/>
      <c r="K149" s="253"/>
      <c r="L149" s="127"/>
      <c r="M149" s="253"/>
      <c r="N149" s="253"/>
      <c r="O149" s="253"/>
      <c r="P149" s="253"/>
      <c r="Q149" s="253"/>
      <c r="R149" s="255"/>
      <c r="S149" s="253"/>
      <c r="T149" s="253"/>
      <c r="U149" s="253"/>
    </row>
    <row r="150" spans="1:21">
      <c r="A150" s="253"/>
      <c r="B150" s="253"/>
      <c r="C150" s="253"/>
      <c r="D150" s="255"/>
      <c r="E150" s="256"/>
      <c r="F150" s="253"/>
      <c r="G150" s="253"/>
      <c r="H150" s="253"/>
      <c r="I150" s="253"/>
      <c r="J150" s="253"/>
      <c r="K150" s="253"/>
      <c r="L150" s="127"/>
      <c r="M150" s="253"/>
      <c r="N150" s="253"/>
      <c r="O150" s="253"/>
      <c r="P150" s="253"/>
      <c r="Q150" s="253"/>
      <c r="R150" s="255"/>
      <c r="S150" s="253"/>
      <c r="T150" s="253"/>
      <c r="U150" s="253"/>
    </row>
    <row r="151" spans="1:21">
      <c r="A151" s="253"/>
      <c r="B151" s="253"/>
      <c r="C151" s="253"/>
      <c r="D151" s="255"/>
      <c r="E151" s="256"/>
      <c r="F151" s="253"/>
      <c r="G151" s="253"/>
      <c r="H151" s="253"/>
      <c r="I151" s="253"/>
      <c r="J151" s="253"/>
      <c r="K151" s="253"/>
      <c r="L151" s="127"/>
      <c r="M151" s="253"/>
      <c r="N151" s="253"/>
      <c r="O151" s="253"/>
      <c r="P151" s="253"/>
      <c r="Q151" s="253"/>
      <c r="R151" s="255"/>
      <c r="S151" s="253"/>
      <c r="T151" s="253"/>
      <c r="U151" s="253"/>
    </row>
    <row r="152" spans="1:21">
      <c r="A152" s="253"/>
      <c r="B152" s="253"/>
      <c r="C152" s="253"/>
      <c r="D152" s="255"/>
      <c r="E152" s="256"/>
      <c r="F152" s="253"/>
      <c r="G152" s="253"/>
      <c r="H152" s="253"/>
      <c r="I152" s="253"/>
      <c r="J152" s="253"/>
      <c r="K152" s="253"/>
      <c r="L152" s="127"/>
      <c r="M152" s="253"/>
      <c r="N152" s="253"/>
      <c r="O152" s="253"/>
      <c r="P152" s="253"/>
      <c r="Q152" s="253"/>
      <c r="R152" s="255"/>
      <c r="S152" s="253"/>
      <c r="T152" s="253"/>
      <c r="U152" s="253"/>
    </row>
    <row r="153" spans="1:21">
      <c r="A153" s="253"/>
      <c r="B153" s="253"/>
      <c r="C153" s="253"/>
      <c r="D153" s="255"/>
      <c r="E153" s="256"/>
      <c r="F153" s="253"/>
      <c r="G153" s="253"/>
      <c r="H153" s="253"/>
      <c r="I153" s="253"/>
      <c r="J153" s="253"/>
      <c r="K153" s="253"/>
      <c r="L153" s="127"/>
      <c r="M153" s="253"/>
      <c r="N153" s="253"/>
      <c r="O153" s="253"/>
      <c r="P153" s="253"/>
      <c r="Q153" s="253"/>
      <c r="R153" s="255"/>
      <c r="S153" s="253"/>
      <c r="T153" s="253"/>
      <c r="U153" s="253"/>
    </row>
    <row r="154" spans="1:21">
      <c r="A154" s="253"/>
      <c r="B154" s="253"/>
      <c r="C154" s="253"/>
      <c r="D154" s="255"/>
      <c r="E154" s="256"/>
      <c r="F154" s="253"/>
      <c r="G154" s="253"/>
      <c r="H154" s="253"/>
      <c r="I154" s="253"/>
      <c r="J154" s="253"/>
      <c r="K154" s="253"/>
      <c r="L154" s="127"/>
      <c r="M154" s="253"/>
      <c r="N154" s="253"/>
      <c r="O154" s="253"/>
      <c r="P154" s="253"/>
      <c r="Q154" s="253"/>
      <c r="R154" s="255"/>
      <c r="S154" s="253"/>
      <c r="T154" s="253"/>
      <c r="U154" s="253"/>
    </row>
    <row r="155" spans="1:21">
      <c r="A155" s="253"/>
      <c r="B155" s="253"/>
      <c r="C155" s="253"/>
      <c r="D155" s="255"/>
      <c r="E155" s="256"/>
      <c r="F155" s="253"/>
      <c r="G155" s="253"/>
      <c r="H155" s="253"/>
      <c r="I155" s="253"/>
      <c r="J155" s="253"/>
      <c r="K155" s="253"/>
      <c r="L155" s="127"/>
      <c r="M155" s="253"/>
      <c r="N155" s="253"/>
      <c r="O155" s="253"/>
      <c r="P155" s="253"/>
      <c r="Q155" s="253"/>
      <c r="R155" s="255"/>
      <c r="S155" s="253"/>
      <c r="T155" s="253"/>
      <c r="U155" s="253"/>
    </row>
    <row r="156" spans="1:21">
      <c r="A156" s="253"/>
      <c r="B156" s="253"/>
      <c r="C156" s="253"/>
      <c r="D156" s="255"/>
      <c r="E156" s="256"/>
      <c r="F156" s="253"/>
      <c r="G156" s="253"/>
      <c r="H156" s="253"/>
      <c r="I156" s="253"/>
      <c r="J156" s="253"/>
      <c r="K156" s="253"/>
      <c r="L156" s="127"/>
      <c r="M156" s="253"/>
      <c r="N156" s="253"/>
      <c r="O156" s="253"/>
      <c r="P156" s="253"/>
      <c r="Q156" s="253"/>
      <c r="R156" s="255"/>
      <c r="S156" s="253"/>
      <c r="T156" s="253"/>
      <c r="U156" s="253"/>
    </row>
    <row r="157" spans="1:21">
      <c r="A157" s="253"/>
      <c r="B157" s="253"/>
      <c r="C157" s="253"/>
      <c r="D157" s="255"/>
      <c r="E157" s="256"/>
      <c r="F157" s="253"/>
      <c r="G157" s="253"/>
      <c r="H157" s="253"/>
      <c r="I157" s="253"/>
      <c r="J157" s="253"/>
      <c r="K157" s="253"/>
      <c r="L157" s="127"/>
      <c r="M157" s="253"/>
      <c r="N157" s="253"/>
      <c r="O157" s="253"/>
      <c r="P157" s="253"/>
      <c r="Q157" s="253"/>
      <c r="R157" s="255"/>
      <c r="S157" s="253"/>
      <c r="T157" s="253"/>
      <c r="U157" s="253"/>
    </row>
    <row r="158" spans="1:21">
      <c r="A158" s="253"/>
      <c r="B158" s="253"/>
      <c r="C158" s="253"/>
      <c r="D158" s="255"/>
      <c r="E158" s="256"/>
      <c r="F158" s="253"/>
      <c r="G158" s="253"/>
      <c r="H158" s="253"/>
      <c r="I158" s="253"/>
      <c r="J158" s="253"/>
      <c r="K158" s="253"/>
      <c r="L158" s="127"/>
      <c r="M158" s="253"/>
      <c r="N158" s="253"/>
      <c r="O158" s="253"/>
      <c r="P158" s="253"/>
      <c r="Q158" s="253"/>
      <c r="R158" s="255"/>
      <c r="S158" s="253"/>
      <c r="T158" s="253"/>
      <c r="U158" s="253"/>
    </row>
    <row r="159" spans="1:21">
      <c r="A159" s="253"/>
      <c r="B159" s="253"/>
      <c r="C159" s="253"/>
      <c r="D159" s="255"/>
      <c r="E159" s="256"/>
      <c r="F159" s="253"/>
      <c r="G159" s="253"/>
      <c r="H159" s="253"/>
      <c r="I159" s="253"/>
      <c r="J159" s="253"/>
      <c r="K159" s="253"/>
      <c r="L159" s="127"/>
      <c r="M159" s="253"/>
      <c r="N159" s="253"/>
      <c r="O159" s="253"/>
      <c r="P159" s="253"/>
      <c r="Q159" s="253"/>
      <c r="R159" s="255"/>
      <c r="S159" s="253"/>
      <c r="T159" s="253"/>
      <c r="U159" s="253"/>
    </row>
    <row r="160" spans="1:21">
      <c r="A160" s="253"/>
      <c r="B160" s="253"/>
      <c r="C160" s="253"/>
      <c r="D160" s="255"/>
      <c r="E160" s="256"/>
      <c r="F160" s="253"/>
      <c r="G160" s="253"/>
      <c r="H160" s="253"/>
      <c r="I160" s="253"/>
      <c r="J160" s="253"/>
      <c r="K160" s="253"/>
      <c r="L160" s="127"/>
      <c r="M160" s="253"/>
      <c r="N160" s="253"/>
      <c r="O160" s="253"/>
      <c r="P160" s="253"/>
      <c r="Q160" s="253"/>
      <c r="R160" s="255"/>
      <c r="S160" s="253"/>
      <c r="T160" s="253"/>
      <c r="U160" s="253"/>
    </row>
    <row r="161" spans="1:21">
      <c r="A161" s="253"/>
      <c r="B161" s="253"/>
      <c r="C161" s="253"/>
      <c r="D161" s="255"/>
      <c r="E161" s="256"/>
      <c r="F161" s="253"/>
      <c r="G161" s="253"/>
      <c r="H161" s="253"/>
      <c r="I161" s="253"/>
      <c r="J161" s="253"/>
      <c r="K161" s="253"/>
      <c r="L161" s="127"/>
      <c r="M161" s="253"/>
      <c r="N161" s="253"/>
      <c r="O161" s="253"/>
      <c r="P161" s="253"/>
      <c r="Q161" s="253"/>
      <c r="R161" s="255"/>
      <c r="S161" s="253"/>
      <c r="T161" s="253"/>
      <c r="U161" s="253"/>
    </row>
    <row r="162" spans="1:21">
      <c r="A162" s="253"/>
      <c r="B162" s="253"/>
      <c r="C162" s="253"/>
      <c r="D162" s="255"/>
      <c r="E162" s="256"/>
      <c r="F162" s="253"/>
      <c r="G162" s="253"/>
      <c r="H162" s="253"/>
      <c r="I162" s="253"/>
      <c r="J162" s="253"/>
      <c r="K162" s="253"/>
      <c r="L162" s="127"/>
      <c r="M162" s="253"/>
      <c r="N162" s="253"/>
      <c r="O162" s="253"/>
      <c r="P162" s="253"/>
      <c r="Q162" s="253"/>
      <c r="R162" s="255"/>
      <c r="S162" s="253"/>
      <c r="T162" s="253"/>
      <c r="U162" s="253"/>
    </row>
    <row r="163" spans="1:21">
      <c r="A163" s="253"/>
      <c r="B163" s="253"/>
      <c r="C163" s="253"/>
      <c r="D163" s="255"/>
      <c r="E163" s="256"/>
      <c r="F163" s="253"/>
      <c r="G163" s="253"/>
      <c r="H163" s="253"/>
      <c r="I163" s="253"/>
      <c r="J163" s="253"/>
      <c r="K163" s="253"/>
      <c r="L163" s="127"/>
      <c r="M163" s="253"/>
      <c r="N163" s="253"/>
      <c r="O163" s="253"/>
      <c r="P163" s="253"/>
      <c r="Q163" s="253"/>
      <c r="R163" s="255"/>
      <c r="S163" s="253"/>
      <c r="T163" s="253"/>
      <c r="U163" s="253"/>
    </row>
    <row r="164" spans="1:21">
      <c r="A164" s="253"/>
      <c r="B164" s="253"/>
      <c r="C164" s="253"/>
      <c r="D164" s="255"/>
      <c r="E164" s="256"/>
      <c r="F164" s="253"/>
      <c r="G164" s="253"/>
      <c r="H164" s="253"/>
      <c r="I164" s="253"/>
      <c r="J164" s="253"/>
      <c r="K164" s="253"/>
      <c r="L164" s="127"/>
      <c r="M164" s="253"/>
      <c r="N164" s="253"/>
      <c r="O164" s="253"/>
      <c r="P164" s="253"/>
      <c r="Q164" s="253"/>
      <c r="R164" s="255"/>
      <c r="S164" s="253"/>
      <c r="T164" s="253"/>
      <c r="U164" s="253"/>
    </row>
    <row r="165" spans="1:21">
      <c r="A165" s="253"/>
      <c r="B165" s="253"/>
      <c r="C165" s="253"/>
      <c r="D165" s="255"/>
      <c r="E165" s="256"/>
      <c r="F165" s="253"/>
      <c r="G165" s="253"/>
      <c r="H165" s="253"/>
      <c r="I165" s="253"/>
      <c r="J165" s="253"/>
      <c r="K165" s="253"/>
      <c r="L165" s="127"/>
      <c r="M165" s="253"/>
      <c r="N165" s="253"/>
      <c r="O165" s="253"/>
      <c r="P165" s="253"/>
      <c r="Q165" s="253"/>
      <c r="R165" s="255"/>
      <c r="S165" s="253"/>
      <c r="T165" s="253"/>
      <c r="U165" s="253"/>
    </row>
    <row r="166" spans="1:21">
      <c r="A166" s="253"/>
      <c r="B166" s="253"/>
      <c r="C166" s="253"/>
      <c r="D166" s="255"/>
      <c r="E166" s="256"/>
      <c r="F166" s="253"/>
      <c r="G166" s="253"/>
      <c r="H166" s="253"/>
      <c r="I166" s="253"/>
      <c r="J166" s="253"/>
      <c r="K166" s="253"/>
      <c r="L166" s="127"/>
      <c r="M166" s="253"/>
      <c r="N166" s="253"/>
      <c r="O166" s="253"/>
      <c r="P166" s="253"/>
      <c r="Q166" s="253"/>
      <c r="R166" s="255"/>
      <c r="S166" s="253"/>
      <c r="T166" s="253"/>
      <c r="U166" s="253"/>
    </row>
    <row r="167" spans="1:21">
      <c r="A167" s="253"/>
      <c r="B167" s="253"/>
      <c r="C167" s="253"/>
      <c r="D167" s="255"/>
      <c r="E167" s="256"/>
      <c r="F167" s="253"/>
      <c r="G167" s="253"/>
      <c r="H167" s="253"/>
      <c r="I167" s="253"/>
      <c r="J167" s="253"/>
      <c r="K167" s="253"/>
      <c r="L167" s="127"/>
      <c r="M167" s="253"/>
      <c r="N167" s="253"/>
      <c r="O167" s="253"/>
      <c r="P167" s="253"/>
      <c r="Q167" s="253"/>
      <c r="R167" s="255"/>
      <c r="S167" s="253"/>
      <c r="T167" s="253"/>
      <c r="U167" s="253"/>
    </row>
    <row r="168" spans="1:21">
      <c r="A168" s="253"/>
      <c r="B168" s="253"/>
      <c r="C168" s="253"/>
      <c r="D168" s="255"/>
      <c r="E168" s="256"/>
      <c r="F168" s="253"/>
      <c r="G168" s="253"/>
      <c r="H168" s="253"/>
      <c r="I168" s="253"/>
      <c r="J168" s="253"/>
      <c r="K168" s="253"/>
      <c r="L168" s="127"/>
      <c r="M168" s="253"/>
      <c r="N168" s="253"/>
      <c r="O168" s="253"/>
      <c r="P168" s="253"/>
      <c r="Q168" s="253"/>
      <c r="R168" s="255"/>
      <c r="S168" s="253"/>
      <c r="T168" s="253"/>
      <c r="U168" s="253"/>
    </row>
    <row r="169" spans="1:21">
      <c r="A169" s="253"/>
      <c r="B169" s="253"/>
      <c r="C169" s="253"/>
      <c r="D169" s="255"/>
      <c r="E169" s="256"/>
      <c r="F169" s="253"/>
      <c r="G169" s="253"/>
      <c r="H169" s="253"/>
      <c r="I169" s="253"/>
      <c r="J169" s="253"/>
      <c r="K169" s="253"/>
      <c r="L169" s="127"/>
      <c r="M169" s="253"/>
      <c r="N169" s="253"/>
      <c r="O169" s="253"/>
      <c r="P169" s="253"/>
      <c r="Q169" s="253"/>
      <c r="R169" s="255"/>
      <c r="S169" s="253"/>
      <c r="T169" s="253"/>
      <c r="U169" s="253"/>
    </row>
    <row r="170" spans="1:21">
      <c r="A170" s="253"/>
      <c r="B170" s="253"/>
      <c r="C170" s="253"/>
      <c r="D170" s="255"/>
      <c r="E170" s="256"/>
      <c r="F170" s="253"/>
      <c r="G170" s="253"/>
      <c r="H170" s="253"/>
      <c r="I170" s="253"/>
      <c r="J170" s="253"/>
      <c r="K170" s="253"/>
      <c r="L170" s="127"/>
      <c r="M170" s="253"/>
      <c r="N170" s="253"/>
      <c r="O170" s="253"/>
      <c r="P170" s="253"/>
      <c r="Q170" s="253"/>
      <c r="R170" s="255"/>
      <c r="S170" s="253"/>
      <c r="T170" s="253"/>
      <c r="U170" s="253"/>
    </row>
    <row r="171" spans="1:21">
      <c r="A171" s="253"/>
      <c r="B171" s="253"/>
      <c r="C171" s="253"/>
      <c r="D171" s="255"/>
      <c r="E171" s="256"/>
      <c r="F171" s="253"/>
      <c r="G171" s="253"/>
      <c r="H171" s="253"/>
      <c r="I171" s="253"/>
      <c r="J171" s="253"/>
      <c r="K171" s="253"/>
      <c r="L171" s="127"/>
      <c r="M171" s="253"/>
      <c r="N171" s="253"/>
      <c r="O171" s="253"/>
      <c r="P171" s="253"/>
      <c r="Q171" s="253"/>
      <c r="R171" s="255"/>
      <c r="S171" s="253"/>
      <c r="T171" s="253"/>
      <c r="U171" s="253"/>
    </row>
    <row r="172" spans="1:21">
      <c r="A172" s="253"/>
      <c r="B172" s="253"/>
      <c r="C172" s="253"/>
      <c r="D172" s="255"/>
      <c r="E172" s="256"/>
      <c r="F172" s="253"/>
      <c r="G172" s="253"/>
      <c r="H172" s="253"/>
      <c r="I172" s="253"/>
      <c r="J172" s="253"/>
      <c r="K172" s="253"/>
      <c r="L172" s="127"/>
      <c r="M172" s="253"/>
      <c r="N172" s="253"/>
      <c r="O172" s="253"/>
      <c r="P172" s="253"/>
      <c r="Q172" s="253"/>
      <c r="R172" s="255"/>
      <c r="S172" s="253"/>
      <c r="T172" s="253"/>
      <c r="U172" s="253"/>
    </row>
    <row r="173" spans="1:21">
      <c r="A173" s="253"/>
      <c r="B173" s="253"/>
      <c r="C173" s="253"/>
      <c r="D173" s="255"/>
      <c r="E173" s="256"/>
      <c r="F173" s="253"/>
      <c r="G173" s="253"/>
      <c r="H173" s="253"/>
      <c r="I173" s="253"/>
      <c r="J173" s="253"/>
      <c r="K173" s="253"/>
      <c r="L173" s="127"/>
      <c r="M173" s="253"/>
      <c r="N173" s="253"/>
      <c r="O173" s="253"/>
      <c r="P173" s="253"/>
      <c r="Q173" s="253"/>
      <c r="R173" s="255"/>
      <c r="S173" s="253"/>
      <c r="T173" s="253"/>
      <c r="U173" s="253"/>
    </row>
    <row r="174" spans="1:21">
      <c r="A174" s="253"/>
      <c r="B174" s="253"/>
      <c r="C174" s="253"/>
      <c r="D174" s="255"/>
      <c r="E174" s="256"/>
      <c r="F174" s="253"/>
      <c r="G174" s="253"/>
      <c r="H174" s="253"/>
      <c r="I174" s="253"/>
      <c r="J174" s="253"/>
      <c r="K174" s="253"/>
      <c r="L174" s="127"/>
      <c r="M174" s="253"/>
      <c r="N174" s="253"/>
      <c r="O174" s="253"/>
      <c r="P174" s="253"/>
      <c r="Q174" s="253"/>
      <c r="R174" s="255"/>
      <c r="S174" s="253"/>
      <c r="T174" s="253"/>
      <c r="U174" s="253"/>
    </row>
    <row r="175" spans="1:21">
      <c r="A175" s="253"/>
      <c r="B175" s="253"/>
      <c r="C175" s="253"/>
      <c r="D175" s="255"/>
      <c r="E175" s="256"/>
      <c r="F175" s="253"/>
      <c r="G175" s="253"/>
      <c r="H175" s="253"/>
      <c r="I175" s="253"/>
      <c r="J175" s="253"/>
      <c r="K175" s="253"/>
      <c r="L175" s="127"/>
      <c r="M175" s="253"/>
      <c r="N175" s="253"/>
      <c r="O175" s="253"/>
      <c r="P175" s="253"/>
      <c r="Q175" s="253"/>
      <c r="R175" s="255"/>
      <c r="S175" s="253"/>
      <c r="T175" s="253"/>
      <c r="U175" s="253"/>
    </row>
    <row r="176" spans="1:21">
      <c r="A176" s="253"/>
      <c r="B176" s="253"/>
      <c r="C176" s="253"/>
      <c r="D176" s="255"/>
      <c r="E176" s="256"/>
      <c r="F176" s="253"/>
      <c r="G176" s="253"/>
      <c r="H176" s="253"/>
      <c r="I176" s="253"/>
      <c r="J176" s="253"/>
      <c r="K176" s="253"/>
      <c r="L176" s="127"/>
      <c r="M176" s="253"/>
      <c r="N176" s="253"/>
      <c r="O176" s="253"/>
      <c r="P176" s="253"/>
      <c r="Q176" s="253"/>
      <c r="R176" s="255"/>
      <c r="S176" s="253"/>
      <c r="T176" s="253"/>
      <c r="U176" s="253"/>
    </row>
    <row r="177" spans="1:21">
      <c r="A177" s="253"/>
      <c r="B177" s="253"/>
      <c r="C177" s="253"/>
      <c r="D177" s="255"/>
      <c r="E177" s="256"/>
      <c r="F177" s="253"/>
      <c r="G177" s="253"/>
      <c r="H177" s="253"/>
      <c r="I177" s="253"/>
      <c r="J177" s="253"/>
      <c r="K177" s="253"/>
      <c r="L177" s="127"/>
      <c r="M177" s="253"/>
      <c r="N177" s="253"/>
      <c r="O177" s="253"/>
      <c r="P177" s="253"/>
      <c r="Q177" s="253"/>
      <c r="R177" s="255"/>
      <c r="S177" s="253"/>
      <c r="T177" s="253"/>
      <c r="U177" s="253"/>
    </row>
    <row r="178" spans="1:21">
      <c r="A178" s="253"/>
      <c r="B178" s="253"/>
      <c r="C178" s="253"/>
      <c r="D178" s="255"/>
      <c r="E178" s="256"/>
      <c r="F178" s="253"/>
      <c r="G178" s="253"/>
      <c r="H178" s="253"/>
      <c r="I178" s="253"/>
      <c r="J178" s="253"/>
      <c r="K178" s="253"/>
      <c r="L178" s="127"/>
      <c r="M178" s="253"/>
      <c r="N178" s="253"/>
      <c r="O178" s="253"/>
      <c r="P178" s="253"/>
      <c r="Q178" s="253"/>
      <c r="R178" s="255"/>
      <c r="S178" s="253"/>
      <c r="T178" s="253"/>
      <c r="U178" s="253"/>
    </row>
    <row r="179" spans="1:21">
      <c r="A179" s="253"/>
      <c r="B179" s="253"/>
      <c r="C179" s="253"/>
      <c r="D179" s="255"/>
      <c r="E179" s="256"/>
      <c r="F179" s="253"/>
      <c r="G179" s="253"/>
      <c r="H179" s="253"/>
      <c r="I179" s="253"/>
      <c r="J179" s="253"/>
      <c r="K179" s="253"/>
      <c r="L179" s="127"/>
      <c r="M179" s="253"/>
      <c r="N179" s="253"/>
      <c r="O179" s="253"/>
      <c r="P179" s="253"/>
      <c r="Q179" s="253"/>
      <c r="R179" s="255"/>
      <c r="S179" s="253"/>
      <c r="T179" s="253"/>
      <c r="U179" s="253"/>
    </row>
    <row r="180" spans="1:21">
      <c r="A180" s="253"/>
      <c r="B180" s="253"/>
      <c r="C180" s="253"/>
      <c r="D180" s="255"/>
      <c r="E180" s="256"/>
      <c r="F180" s="253"/>
      <c r="G180" s="253"/>
      <c r="H180" s="253"/>
      <c r="I180" s="253"/>
      <c r="J180" s="253"/>
      <c r="K180" s="253"/>
      <c r="L180" s="127"/>
      <c r="M180" s="253"/>
      <c r="N180" s="253"/>
      <c r="O180" s="253"/>
      <c r="P180" s="253"/>
      <c r="Q180" s="253"/>
      <c r="R180" s="255"/>
      <c r="S180" s="253"/>
      <c r="T180" s="253"/>
      <c r="U180" s="253"/>
    </row>
    <row r="181" spans="1:21">
      <c r="A181" s="253"/>
      <c r="B181" s="253"/>
      <c r="C181" s="253"/>
      <c r="D181" s="255"/>
      <c r="E181" s="256"/>
      <c r="F181" s="253"/>
      <c r="G181" s="253"/>
      <c r="H181" s="253"/>
      <c r="I181" s="253"/>
      <c r="J181" s="253"/>
      <c r="K181" s="253"/>
      <c r="L181" s="127"/>
      <c r="M181" s="253"/>
      <c r="N181" s="253"/>
      <c r="O181" s="253"/>
      <c r="P181" s="253"/>
      <c r="Q181" s="253"/>
      <c r="R181" s="255"/>
      <c r="S181" s="253"/>
      <c r="T181" s="253"/>
      <c r="U181" s="253"/>
    </row>
    <row r="182" spans="1:21">
      <c r="A182" s="253"/>
      <c r="B182" s="253"/>
      <c r="C182" s="253"/>
      <c r="D182" s="255"/>
      <c r="E182" s="256"/>
      <c r="F182" s="253"/>
      <c r="G182" s="253"/>
      <c r="H182" s="253"/>
      <c r="I182" s="253"/>
      <c r="J182" s="253"/>
      <c r="K182" s="253"/>
      <c r="L182" s="127"/>
      <c r="M182" s="253"/>
      <c r="N182" s="253"/>
      <c r="O182" s="253"/>
      <c r="P182" s="253"/>
      <c r="Q182" s="253"/>
      <c r="R182" s="255"/>
      <c r="S182" s="253"/>
      <c r="T182" s="253"/>
      <c r="U182" s="253"/>
    </row>
    <row r="183" spans="1:21">
      <c r="A183" s="253"/>
      <c r="B183" s="253"/>
      <c r="C183" s="253"/>
      <c r="D183" s="255"/>
      <c r="E183" s="256"/>
      <c r="F183" s="253"/>
      <c r="G183" s="253"/>
      <c r="H183" s="253"/>
      <c r="I183" s="253"/>
      <c r="J183" s="253"/>
      <c r="K183" s="253"/>
      <c r="L183" s="127"/>
      <c r="M183" s="253"/>
      <c r="N183" s="253"/>
      <c r="O183" s="253"/>
      <c r="P183" s="253"/>
      <c r="Q183" s="253"/>
      <c r="R183" s="255"/>
      <c r="S183" s="253"/>
      <c r="T183" s="253"/>
      <c r="U183" s="253"/>
    </row>
    <row r="184" spans="1:21">
      <c r="A184" s="253"/>
      <c r="B184" s="253"/>
      <c r="C184" s="253"/>
      <c r="D184" s="255"/>
      <c r="E184" s="256"/>
      <c r="F184" s="253"/>
      <c r="G184" s="253"/>
      <c r="H184" s="253"/>
      <c r="I184" s="253"/>
      <c r="J184" s="253"/>
      <c r="K184" s="253"/>
      <c r="L184" s="127"/>
      <c r="M184" s="253"/>
      <c r="N184" s="253"/>
      <c r="O184" s="253"/>
      <c r="P184" s="253"/>
      <c r="Q184" s="253"/>
      <c r="R184" s="255"/>
      <c r="S184" s="253"/>
      <c r="T184" s="253"/>
      <c r="U184" s="253"/>
    </row>
    <row r="185" spans="1:21">
      <c r="A185" s="253"/>
      <c r="B185" s="253"/>
      <c r="C185" s="253"/>
      <c r="D185" s="255"/>
      <c r="E185" s="256"/>
      <c r="F185" s="253"/>
      <c r="G185" s="253"/>
      <c r="H185" s="253"/>
      <c r="I185" s="253"/>
      <c r="J185" s="253"/>
      <c r="K185" s="253"/>
      <c r="L185" s="127"/>
      <c r="M185" s="253"/>
      <c r="N185" s="253"/>
      <c r="O185" s="253"/>
      <c r="P185" s="253"/>
      <c r="Q185" s="253"/>
      <c r="R185" s="255"/>
      <c r="S185" s="253"/>
      <c r="T185" s="253"/>
      <c r="U185" s="253"/>
    </row>
    <row r="186" spans="1:21">
      <c r="A186" s="253"/>
      <c r="B186" s="253"/>
      <c r="C186" s="253"/>
      <c r="D186" s="255"/>
      <c r="E186" s="256"/>
      <c r="F186" s="253"/>
      <c r="G186" s="253"/>
      <c r="H186" s="253"/>
      <c r="I186" s="253"/>
      <c r="J186" s="253"/>
      <c r="K186" s="253"/>
      <c r="L186" s="127"/>
      <c r="M186" s="253"/>
      <c r="N186" s="253"/>
      <c r="O186" s="253"/>
      <c r="P186" s="253"/>
      <c r="Q186" s="253"/>
      <c r="R186" s="255"/>
      <c r="S186" s="253"/>
      <c r="T186" s="253"/>
      <c r="U186" s="253"/>
    </row>
    <row r="187" spans="1:21">
      <c r="A187" s="253"/>
      <c r="B187" s="253"/>
      <c r="C187" s="253"/>
      <c r="D187" s="255"/>
      <c r="E187" s="256"/>
      <c r="F187" s="253"/>
      <c r="G187" s="253"/>
      <c r="H187" s="253"/>
      <c r="I187" s="253"/>
      <c r="J187" s="253"/>
      <c r="K187" s="253"/>
      <c r="L187" s="127"/>
      <c r="M187" s="253"/>
      <c r="N187" s="253"/>
      <c r="O187" s="253"/>
      <c r="P187" s="253"/>
      <c r="Q187" s="253"/>
      <c r="R187" s="255"/>
      <c r="S187" s="253"/>
      <c r="T187" s="253"/>
      <c r="U187" s="253"/>
    </row>
    <row r="188" spans="1:21">
      <c r="A188" s="253"/>
      <c r="B188" s="253"/>
      <c r="C188" s="253"/>
      <c r="D188" s="255"/>
      <c r="E188" s="256"/>
      <c r="F188" s="253"/>
      <c r="G188" s="253"/>
      <c r="H188" s="253"/>
      <c r="I188" s="253"/>
      <c r="J188" s="253"/>
      <c r="K188" s="253"/>
      <c r="L188" s="127"/>
      <c r="M188" s="253"/>
      <c r="N188" s="253"/>
      <c r="O188" s="253"/>
      <c r="P188" s="253"/>
      <c r="Q188" s="253"/>
      <c r="R188" s="255"/>
      <c r="S188" s="253"/>
      <c r="T188" s="253"/>
      <c r="U188" s="253"/>
    </row>
    <row r="189" spans="1:21">
      <c r="A189" s="253"/>
      <c r="B189" s="253"/>
      <c r="C189" s="253"/>
      <c r="D189" s="255"/>
      <c r="E189" s="256"/>
      <c r="F189" s="253"/>
      <c r="G189" s="253"/>
      <c r="H189" s="253"/>
      <c r="I189" s="253"/>
      <c r="J189" s="253"/>
      <c r="K189" s="253"/>
      <c r="L189" s="127"/>
      <c r="M189" s="253"/>
      <c r="N189" s="253"/>
      <c r="O189" s="253"/>
      <c r="P189" s="253"/>
      <c r="Q189" s="253"/>
      <c r="R189" s="255"/>
      <c r="S189" s="253"/>
      <c r="T189" s="253"/>
      <c r="U189" s="253"/>
    </row>
    <row r="190" spans="1:21">
      <c r="A190" s="253"/>
      <c r="B190" s="253"/>
      <c r="C190" s="253"/>
      <c r="D190" s="255"/>
      <c r="E190" s="256"/>
      <c r="F190" s="253"/>
      <c r="G190" s="253"/>
      <c r="H190" s="253"/>
      <c r="I190" s="253"/>
      <c r="J190" s="253"/>
      <c r="K190" s="253"/>
      <c r="L190" s="127"/>
      <c r="M190" s="253"/>
      <c r="N190" s="253"/>
      <c r="O190" s="253"/>
      <c r="P190" s="253"/>
      <c r="Q190" s="253"/>
      <c r="R190" s="255"/>
      <c r="S190" s="253"/>
      <c r="T190" s="253"/>
      <c r="U190" s="253"/>
    </row>
    <row r="191" spans="1:21">
      <c r="A191" s="253"/>
      <c r="B191" s="253"/>
      <c r="C191" s="253"/>
      <c r="D191" s="255"/>
      <c r="E191" s="256"/>
      <c r="F191" s="253"/>
      <c r="G191" s="253"/>
      <c r="H191" s="253"/>
      <c r="I191" s="253"/>
      <c r="J191" s="253"/>
      <c r="K191" s="253"/>
      <c r="L191" s="127"/>
      <c r="M191" s="253"/>
      <c r="N191" s="253"/>
      <c r="O191" s="253"/>
      <c r="P191" s="253"/>
      <c r="Q191" s="253"/>
      <c r="R191" s="255"/>
      <c r="S191" s="253"/>
      <c r="T191" s="253"/>
      <c r="U191" s="253"/>
    </row>
    <row r="192" spans="1:21">
      <c r="A192" s="253"/>
      <c r="B192" s="253"/>
      <c r="C192" s="253"/>
      <c r="D192" s="255"/>
      <c r="E192" s="256"/>
      <c r="F192" s="253"/>
      <c r="G192" s="253"/>
      <c r="H192" s="253"/>
      <c r="I192" s="253"/>
      <c r="J192" s="253"/>
      <c r="K192" s="253"/>
      <c r="L192" s="127"/>
      <c r="M192" s="253"/>
      <c r="N192" s="253"/>
      <c r="O192" s="253"/>
      <c r="P192" s="253"/>
      <c r="Q192" s="253"/>
      <c r="R192" s="255"/>
      <c r="S192" s="253"/>
      <c r="T192" s="253"/>
      <c r="U192" s="253"/>
    </row>
    <row r="193" spans="1:21">
      <c r="A193" s="253"/>
      <c r="B193" s="253"/>
      <c r="C193" s="253"/>
      <c r="D193" s="255"/>
      <c r="E193" s="256"/>
      <c r="F193" s="253"/>
      <c r="G193" s="253"/>
      <c r="H193" s="253"/>
      <c r="I193" s="253"/>
      <c r="J193" s="253"/>
      <c r="K193" s="253"/>
      <c r="L193" s="127"/>
      <c r="M193" s="253"/>
      <c r="N193" s="253"/>
      <c r="O193" s="253"/>
      <c r="P193" s="253"/>
      <c r="Q193" s="253"/>
      <c r="R193" s="255"/>
      <c r="S193" s="253"/>
      <c r="T193" s="253"/>
      <c r="U193" s="253"/>
    </row>
    <row r="194" spans="1:21">
      <c r="A194" s="253"/>
      <c r="B194" s="253"/>
      <c r="C194" s="253"/>
      <c r="D194" s="255"/>
      <c r="E194" s="256"/>
      <c r="F194" s="253"/>
      <c r="G194" s="253"/>
      <c r="H194" s="253"/>
      <c r="I194" s="253"/>
      <c r="J194" s="253"/>
      <c r="K194" s="253"/>
      <c r="L194" s="127"/>
      <c r="M194" s="253"/>
      <c r="N194" s="253"/>
      <c r="O194" s="253"/>
      <c r="P194" s="253"/>
      <c r="Q194" s="253"/>
      <c r="R194" s="255"/>
      <c r="S194" s="253"/>
      <c r="T194" s="253"/>
      <c r="U194" s="253"/>
    </row>
    <row r="195" spans="1:21">
      <c r="A195" s="253"/>
      <c r="B195" s="253"/>
      <c r="C195" s="253"/>
      <c r="D195" s="255"/>
      <c r="E195" s="256"/>
      <c r="F195" s="253"/>
      <c r="G195" s="253"/>
      <c r="H195" s="253"/>
      <c r="I195" s="253"/>
      <c r="J195" s="253"/>
      <c r="K195" s="253"/>
      <c r="L195" s="127"/>
      <c r="M195" s="253"/>
      <c r="N195" s="253"/>
      <c r="O195" s="253"/>
      <c r="P195" s="253"/>
      <c r="Q195" s="253"/>
      <c r="R195" s="255"/>
      <c r="S195" s="253"/>
      <c r="T195" s="253"/>
      <c r="U195" s="253"/>
    </row>
    <row r="196" spans="1:21">
      <c r="A196" s="253"/>
      <c r="B196" s="253"/>
      <c r="C196" s="253"/>
      <c r="D196" s="255"/>
      <c r="E196" s="256"/>
      <c r="F196" s="253"/>
      <c r="G196" s="253"/>
      <c r="H196" s="253"/>
      <c r="I196" s="253"/>
      <c r="J196" s="253"/>
      <c r="K196" s="253"/>
      <c r="L196" s="127"/>
      <c r="M196" s="253"/>
      <c r="N196" s="253"/>
      <c r="O196" s="253"/>
      <c r="P196" s="253"/>
      <c r="Q196" s="253"/>
      <c r="R196" s="255"/>
      <c r="S196" s="253"/>
      <c r="T196" s="253"/>
      <c r="U196" s="253"/>
    </row>
    <row r="197" spans="1:21">
      <c r="A197" s="253"/>
      <c r="B197" s="253"/>
      <c r="C197" s="253"/>
      <c r="D197" s="255"/>
      <c r="E197" s="256"/>
      <c r="F197" s="253"/>
      <c r="G197" s="253"/>
      <c r="H197" s="253"/>
      <c r="I197" s="253"/>
      <c r="J197" s="253"/>
      <c r="K197" s="253"/>
      <c r="L197" s="127"/>
      <c r="M197" s="253"/>
      <c r="N197" s="253"/>
      <c r="O197" s="253"/>
      <c r="P197" s="253"/>
      <c r="Q197" s="253"/>
      <c r="R197" s="255"/>
      <c r="S197" s="253"/>
      <c r="T197" s="253"/>
      <c r="U197" s="253"/>
    </row>
    <row r="198" spans="1:21">
      <c r="A198" s="253"/>
      <c r="B198" s="253"/>
      <c r="C198" s="253"/>
      <c r="D198" s="255"/>
      <c r="E198" s="256"/>
      <c r="F198" s="253"/>
      <c r="G198" s="253"/>
      <c r="H198" s="253"/>
      <c r="I198" s="253"/>
      <c r="J198" s="253"/>
      <c r="K198" s="253"/>
      <c r="L198" s="127"/>
      <c r="M198" s="253"/>
      <c r="N198" s="253"/>
      <c r="O198" s="253"/>
      <c r="P198" s="253"/>
      <c r="Q198" s="253"/>
      <c r="R198" s="255"/>
      <c r="S198" s="253"/>
      <c r="T198" s="253"/>
      <c r="U198" s="253"/>
    </row>
    <row r="199" spans="1:21">
      <c r="A199" s="253"/>
      <c r="B199" s="253"/>
      <c r="C199" s="253"/>
      <c r="D199" s="255"/>
      <c r="E199" s="256"/>
      <c r="F199" s="253"/>
      <c r="G199" s="253"/>
      <c r="H199" s="253"/>
      <c r="I199" s="253"/>
      <c r="J199" s="253"/>
      <c r="K199" s="253"/>
      <c r="L199" s="127"/>
      <c r="M199" s="253"/>
      <c r="N199" s="253"/>
      <c r="O199" s="253"/>
      <c r="P199" s="253"/>
      <c r="Q199" s="253"/>
      <c r="R199" s="255"/>
      <c r="S199" s="253"/>
      <c r="T199" s="253"/>
      <c r="U199" s="253"/>
    </row>
    <row r="200" spans="1:21">
      <c r="A200" s="253"/>
      <c r="B200" s="253"/>
      <c r="C200" s="253"/>
      <c r="D200" s="255"/>
      <c r="E200" s="256"/>
      <c r="F200" s="253"/>
      <c r="G200" s="253"/>
      <c r="H200" s="253"/>
      <c r="I200" s="253"/>
      <c r="J200" s="253"/>
      <c r="K200" s="253"/>
      <c r="L200" s="127"/>
      <c r="M200" s="253"/>
      <c r="N200" s="253"/>
      <c r="O200" s="253"/>
      <c r="P200" s="253"/>
      <c r="Q200" s="253"/>
      <c r="R200" s="255"/>
      <c r="S200" s="253"/>
      <c r="T200" s="253"/>
      <c r="U200" s="253"/>
    </row>
    <row r="201" spans="1:21">
      <c r="A201" s="253"/>
      <c r="B201" s="253"/>
      <c r="C201" s="253"/>
      <c r="D201" s="255"/>
      <c r="E201" s="256"/>
      <c r="F201" s="253"/>
      <c r="G201" s="253"/>
      <c r="H201" s="253"/>
      <c r="I201" s="253"/>
      <c r="J201" s="253"/>
      <c r="K201" s="253"/>
      <c r="L201" s="127"/>
      <c r="M201" s="253"/>
      <c r="N201" s="253"/>
      <c r="O201" s="253"/>
      <c r="P201" s="253"/>
      <c r="Q201" s="253"/>
      <c r="R201" s="255"/>
      <c r="S201" s="253"/>
      <c r="T201" s="253"/>
      <c r="U201" s="253"/>
    </row>
    <row r="202" spans="1:21">
      <c r="A202" s="142"/>
      <c r="B202" s="142"/>
      <c r="C202" s="142"/>
      <c r="D202" s="143"/>
      <c r="E202" s="144"/>
      <c r="F202" s="142"/>
      <c r="G202" s="142"/>
      <c r="H202" s="142"/>
      <c r="I202" s="142"/>
      <c r="J202" s="142"/>
      <c r="K202" s="142"/>
      <c r="L202" s="127"/>
      <c r="M202" s="142"/>
      <c r="N202" s="142"/>
      <c r="O202" s="142"/>
      <c r="P202" s="142"/>
      <c r="Q202" s="142"/>
      <c r="R202" s="143"/>
      <c r="S202" s="142"/>
      <c r="T202" s="142"/>
      <c r="U202" s="142"/>
    </row>
    <row r="203" spans="1:21">
      <c r="A203" s="142"/>
      <c r="B203" s="142"/>
      <c r="C203" s="142"/>
      <c r="D203" s="143"/>
      <c r="E203" s="144"/>
      <c r="F203" s="142"/>
      <c r="G203" s="142"/>
      <c r="H203" s="142"/>
      <c r="I203" s="142"/>
      <c r="J203" s="142"/>
      <c r="K203" s="142"/>
      <c r="L203" s="127"/>
      <c r="M203" s="142"/>
      <c r="N203" s="142"/>
      <c r="O203" s="142"/>
      <c r="P203" s="142"/>
      <c r="Q203" s="142"/>
      <c r="R203" s="143"/>
      <c r="S203" s="142"/>
      <c r="T203" s="142"/>
      <c r="U203" s="142"/>
    </row>
  </sheetData>
  <mergeCells count="3">
    <mergeCell ref="A3:C3"/>
    <mergeCell ref="A11:D11"/>
    <mergeCell ref="F3:H3"/>
  </mergeCells>
  <phoneticPr fontId="2"/>
  <conditionalFormatting sqref="T30">
    <cfRule type="expression" dxfId="3" priority="1">
      <formula>$T30="対象"</formula>
    </cfRule>
    <cfRule type="expression" dxfId="2" priority="2">
      <formula>$S30="確認"</formula>
    </cfRule>
  </conditionalFormatting>
  <conditionalFormatting sqref="A28:U203">
    <cfRule type="expression" dxfId="1" priority="3">
      <formula>$T28="対象"</formula>
    </cfRule>
    <cfRule type="expression" dxfId="0" priority="4">
      <formula>$S28="確認"</formula>
    </cfRule>
  </conditionalFormatting>
  <dataValidations count="1">
    <dataValidation type="list" allowBlank="1" showInputMessage="1" showErrorMessage="1" sqref="F12" xr:uid="{705B8BDE-662E-492A-902B-D0D869CBEF98}">
      <formula1>"実行,なし"</formula1>
    </dataValidation>
  </dataValidations>
  <pageMargins left="0.75" right="0.75" top="1" bottom="1" header="0.5" footer="0.5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3DAED405-9C9F-41CF-9198-158607D0446D}">
          <x14:formula1>
            <xm:f>設定!$A$19:$A$20</xm:f>
          </x14:formula1>
          <xm:sqref>H20:H25</xm:sqref>
        </x14:dataValidation>
        <x14:dataValidation type="list" allowBlank="1" showInputMessage="1" showErrorMessage="1" xr:uid="{47870559-287D-49DD-B424-B917F9E2F41D}">
          <x14:formula1>
            <xm:f>設定!$A$26:$A$28</xm:f>
          </x14:formula1>
          <xm:sqref>I20:I25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B9501"/>
  </sheetPr>
  <dimension ref="A1:P343"/>
  <sheetViews>
    <sheetView workbookViewId="0">
      <pane ySplit="5" topLeftCell="A6" activePane="bottomLeft" state="frozen"/>
      <selection pane="bottomLeft" activeCell="D24" sqref="D24"/>
    </sheetView>
  </sheetViews>
  <sheetFormatPr defaultColWidth="9" defaultRowHeight="18.75"/>
  <cols>
    <col min="1" max="1" width="14.375" style="1" customWidth="1"/>
    <col min="2" max="2" width="11.375" style="1" bestFit="1" customWidth="1"/>
    <col min="3" max="3" width="9" style="1"/>
    <col min="4" max="4" width="9" style="7"/>
    <col min="5" max="5" width="13.625" style="1" customWidth="1"/>
    <col min="6" max="6" width="13.25" style="1" customWidth="1"/>
    <col min="7" max="7" width="10.875" style="1" customWidth="1"/>
    <col min="8" max="8" width="15.75" style="1" customWidth="1"/>
    <col min="9" max="9" width="15.5" style="1" bestFit="1" customWidth="1"/>
    <col min="10" max="10" width="16.75" style="1" bestFit="1" customWidth="1"/>
    <col min="11" max="12" width="9" style="1"/>
    <col min="13" max="13" width="35.625" style="7" customWidth="1"/>
    <col min="14" max="14" width="11.25" style="1" bestFit="1" customWidth="1"/>
    <col min="15" max="15" width="13.125" style="1" customWidth="1"/>
    <col min="16" max="16" width="14.75" style="1" customWidth="1"/>
    <col min="17" max="16384" width="9" style="1"/>
  </cols>
  <sheetData>
    <row r="1" spans="1:16" ht="35.25" customHeight="1">
      <c r="A1" s="8"/>
    </row>
    <row r="3" spans="1:16">
      <c r="A3" s="4" t="s">
        <v>8</v>
      </c>
    </row>
    <row r="5" spans="1:16" ht="36" customHeight="1">
      <c r="A5" s="19" t="s">
        <v>72</v>
      </c>
      <c r="B5" s="19" t="s">
        <v>71</v>
      </c>
      <c r="C5" s="19" t="s">
        <v>50</v>
      </c>
      <c r="D5" s="161" t="s">
        <v>51</v>
      </c>
      <c r="E5" s="19" t="s">
        <v>55</v>
      </c>
      <c r="F5" s="19" t="s">
        <v>3</v>
      </c>
      <c r="G5" s="19" t="s">
        <v>52</v>
      </c>
      <c r="H5" s="19" t="s">
        <v>2145</v>
      </c>
      <c r="I5" s="19" t="s">
        <v>2146</v>
      </c>
      <c r="J5" s="20" t="s">
        <v>60</v>
      </c>
      <c r="K5" s="19" t="s">
        <v>5</v>
      </c>
      <c r="L5" s="19" t="s">
        <v>6</v>
      </c>
      <c r="M5" s="161" t="s">
        <v>2147</v>
      </c>
      <c r="N5" s="19" t="s">
        <v>73</v>
      </c>
      <c r="O5" s="19" t="s">
        <v>2148</v>
      </c>
      <c r="P5" s="19" t="s">
        <v>2149</v>
      </c>
    </row>
    <row r="6" spans="1:16">
      <c r="A6" s="56">
        <v>46083</v>
      </c>
      <c r="B6" s="56">
        <v>46081</v>
      </c>
      <c r="C6" s="1">
        <v>60011</v>
      </c>
      <c r="D6" s="7" t="s">
        <v>33</v>
      </c>
      <c r="E6" s="1" t="s">
        <v>2542</v>
      </c>
      <c r="F6" s="1" t="s">
        <v>2541</v>
      </c>
      <c r="G6" s="1" t="s">
        <v>38</v>
      </c>
      <c r="H6" s="1" t="s">
        <v>2493</v>
      </c>
      <c r="I6" s="1">
        <v>108222129</v>
      </c>
      <c r="J6" s="1">
        <v>646</v>
      </c>
      <c r="K6" s="1">
        <v>197.34</v>
      </c>
      <c r="L6" s="1">
        <v>127481.64000000001</v>
      </c>
      <c r="M6" s="7" t="s">
        <v>874</v>
      </c>
      <c r="N6" s="1" t="s">
        <v>2222</v>
      </c>
      <c r="O6" s="1">
        <v>9121</v>
      </c>
    </row>
    <row r="7" spans="1:16">
      <c r="A7" s="56">
        <v>46083</v>
      </c>
      <c r="B7" s="56">
        <v>46081</v>
      </c>
      <c r="C7" s="1">
        <v>60011</v>
      </c>
      <c r="D7" s="7" t="s">
        <v>33</v>
      </c>
      <c r="E7" s="1" t="s">
        <v>2542</v>
      </c>
      <c r="F7" s="1" t="s">
        <v>2541</v>
      </c>
      <c r="G7" s="1" t="s">
        <v>38</v>
      </c>
      <c r="H7" s="1" t="s">
        <v>2535</v>
      </c>
      <c r="I7" s="1" t="s">
        <v>890</v>
      </c>
      <c r="J7" s="1">
        <v>1110</v>
      </c>
      <c r="K7" s="1">
        <v>297.85000000000002</v>
      </c>
      <c r="L7" s="1">
        <v>330613.5</v>
      </c>
      <c r="M7" s="7" t="s">
        <v>890</v>
      </c>
      <c r="N7" s="1" t="s">
        <v>2222</v>
      </c>
      <c r="O7" s="1">
        <v>9121</v>
      </c>
    </row>
    <row r="8" spans="1:16">
      <c r="A8" s="56">
        <v>46083</v>
      </c>
      <c r="B8" s="56">
        <v>46081</v>
      </c>
      <c r="C8" s="1">
        <v>60011</v>
      </c>
      <c r="D8" s="7" t="s">
        <v>33</v>
      </c>
      <c r="E8" s="1" t="s">
        <v>2542</v>
      </c>
      <c r="F8" s="1" t="s">
        <v>2541</v>
      </c>
      <c r="G8" s="1" t="s">
        <v>38</v>
      </c>
      <c r="H8" s="1" t="s">
        <v>2495</v>
      </c>
      <c r="I8" s="1" t="s">
        <v>892</v>
      </c>
      <c r="J8" s="1">
        <v>500</v>
      </c>
      <c r="K8" s="1">
        <v>326.20999999999998</v>
      </c>
      <c r="L8" s="1">
        <v>163105</v>
      </c>
      <c r="M8" s="7" t="s">
        <v>892</v>
      </c>
      <c r="N8" s="1" t="s">
        <v>2222</v>
      </c>
      <c r="O8" s="1">
        <v>9121</v>
      </c>
    </row>
    <row r="9" spans="1:16">
      <c r="A9" s="56">
        <v>46083</v>
      </c>
      <c r="B9" s="56">
        <v>46081</v>
      </c>
      <c r="C9" s="1">
        <v>60011</v>
      </c>
      <c r="D9" s="7" t="s">
        <v>33</v>
      </c>
      <c r="E9" s="1" t="s">
        <v>2542</v>
      </c>
      <c r="F9" s="1" t="s">
        <v>2541</v>
      </c>
      <c r="G9" s="1" t="s">
        <v>38</v>
      </c>
      <c r="H9" s="1" t="s">
        <v>2543</v>
      </c>
      <c r="I9" s="1" t="s">
        <v>887</v>
      </c>
      <c r="J9" s="1">
        <v>500</v>
      </c>
      <c r="K9" s="1">
        <v>349.77</v>
      </c>
      <c r="L9" s="1">
        <v>174885</v>
      </c>
      <c r="M9" s="7" t="s">
        <v>887</v>
      </c>
      <c r="N9" s="1" t="s">
        <v>2222</v>
      </c>
      <c r="O9" s="1">
        <v>9121</v>
      </c>
    </row>
    <row r="10" spans="1:16">
      <c r="A10" s="56">
        <v>46083</v>
      </c>
      <c r="B10" s="56">
        <v>46081</v>
      </c>
      <c r="C10" s="1">
        <v>60010</v>
      </c>
      <c r="D10" s="7" t="s">
        <v>33</v>
      </c>
      <c r="E10" s="1" t="s">
        <v>2542</v>
      </c>
      <c r="F10" s="1" t="s">
        <v>2541</v>
      </c>
      <c r="G10" s="1" t="s">
        <v>38</v>
      </c>
      <c r="H10" s="1" t="s">
        <v>2544</v>
      </c>
      <c r="I10" s="1" t="s">
        <v>452</v>
      </c>
      <c r="J10" s="1">
        <v>408</v>
      </c>
      <c r="K10" s="1">
        <v>202.77</v>
      </c>
      <c r="L10" s="1">
        <v>82730.16</v>
      </c>
      <c r="M10" s="7" t="s">
        <v>452</v>
      </c>
      <c r="N10" s="1" t="s">
        <v>2222</v>
      </c>
      <c r="O10" s="1">
        <v>8033</v>
      </c>
    </row>
    <row r="11" spans="1:16">
      <c r="A11" s="56">
        <v>46083</v>
      </c>
      <c r="B11" s="56">
        <v>46081</v>
      </c>
      <c r="C11" s="1">
        <v>60011</v>
      </c>
      <c r="D11" s="7" t="s">
        <v>33</v>
      </c>
      <c r="E11" s="1" t="s">
        <v>2546</v>
      </c>
      <c r="F11" s="1" t="s">
        <v>2545</v>
      </c>
      <c r="G11" s="1" t="s">
        <v>38</v>
      </c>
      <c r="H11" s="1" t="s">
        <v>2493</v>
      </c>
      <c r="I11" s="1">
        <v>108222129</v>
      </c>
      <c r="J11" s="1">
        <v>1898</v>
      </c>
      <c r="K11" s="1">
        <v>197.34</v>
      </c>
      <c r="L11" s="1">
        <v>374551.32</v>
      </c>
      <c r="M11" s="7" t="s">
        <v>874</v>
      </c>
      <c r="N11" s="1" t="s">
        <v>2222</v>
      </c>
      <c r="O11" s="1">
        <v>9121</v>
      </c>
    </row>
    <row r="12" spans="1:16">
      <c r="A12" s="56">
        <v>46083</v>
      </c>
      <c r="B12" s="56">
        <v>46081</v>
      </c>
      <c r="C12" s="1">
        <v>60011</v>
      </c>
      <c r="D12" s="7" t="s">
        <v>33</v>
      </c>
      <c r="E12" s="1" t="s">
        <v>2546</v>
      </c>
      <c r="F12" s="1" t="s">
        <v>2545</v>
      </c>
      <c r="G12" s="1" t="s">
        <v>38</v>
      </c>
      <c r="H12" s="1" t="s">
        <v>2547</v>
      </c>
      <c r="I12" s="1" t="s">
        <v>886</v>
      </c>
      <c r="J12" s="1">
        <v>1000</v>
      </c>
      <c r="K12" s="1">
        <v>337.43</v>
      </c>
      <c r="L12" s="1">
        <v>337430.00000000006</v>
      </c>
      <c r="M12" s="7" t="s">
        <v>886</v>
      </c>
      <c r="N12" s="1" t="s">
        <v>2222</v>
      </c>
      <c r="O12" s="1">
        <v>9121</v>
      </c>
    </row>
    <row r="13" spans="1:16">
      <c r="A13" s="56">
        <v>46083</v>
      </c>
      <c r="B13" s="56">
        <v>46081</v>
      </c>
      <c r="C13" s="1">
        <v>60010</v>
      </c>
      <c r="D13" s="7" t="s">
        <v>33</v>
      </c>
      <c r="E13" s="1" t="s">
        <v>2546</v>
      </c>
      <c r="F13" s="1" t="s">
        <v>2545</v>
      </c>
      <c r="G13" s="1" t="s">
        <v>38</v>
      </c>
      <c r="H13" s="1" t="s">
        <v>2549</v>
      </c>
      <c r="I13" s="1" t="s">
        <v>2548</v>
      </c>
      <c r="J13" s="1">
        <v>10</v>
      </c>
      <c r="K13" s="1">
        <v>18</v>
      </c>
      <c r="L13" s="1">
        <v>180</v>
      </c>
      <c r="M13" s="7" t="s">
        <v>2548</v>
      </c>
      <c r="N13" s="1" t="s">
        <v>2222</v>
      </c>
      <c r="O13" s="1">
        <v>8033</v>
      </c>
    </row>
    <row r="14" spans="1:16">
      <c r="A14" s="56">
        <v>46083</v>
      </c>
      <c r="B14" s="56">
        <v>46081</v>
      </c>
      <c r="C14" s="1">
        <v>60010</v>
      </c>
      <c r="D14" s="7" t="s">
        <v>33</v>
      </c>
      <c r="E14" s="1" t="s">
        <v>2546</v>
      </c>
      <c r="F14" s="1" t="s">
        <v>2545</v>
      </c>
      <c r="G14" s="1" t="s">
        <v>38</v>
      </c>
      <c r="H14" s="1" t="s">
        <v>2551</v>
      </c>
      <c r="I14" s="1" t="s">
        <v>2550</v>
      </c>
      <c r="J14" s="1">
        <v>20</v>
      </c>
      <c r="K14" s="1">
        <v>17.850000000000001</v>
      </c>
      <c r="L14" s="1">
        <v>357</v>
      </c>
      <c r="M14" s="7" t="s">
        <v>2550</v>
      </c>
      <c r="N14" s="1" t="s">
        <v>2222</v>
      </c>
      <c r="O14" s="1">
        <v>8033</v>
      </c>
    </row>
    <row r="15" spans="1:16">
      <c r="A15" s="56">
        <v>46083</v>
      </c>
      <c r="B15" s="56">
        <v>46081</v>
      </c>
      <c r="C15" s="1">
        <v>60010</v>
      </c>
      <c r="D15" s="7" t="s">
        <v>33</v>
      </c>
      <c r="E15" s="1" t="s">
        <v>2546</v>
      </c>
      <c r="F15" s="1" t="s">
        <v>2545</v>
      </c>
      <c r="G15" s="1" t="s">
        <v>38</v>
      </c>
      <c r="H15" s="1" t="s">
        <v>2553</v>
      </c>
      <c r="I15" s="1" t="s">
        <v>2552</v>
      </c>
      <c r="J15" s="1">
        <v>10</v>
      </c>
      <c r="K15" s="1">
        <v>15</v>
      </c>
      <c r="L15" s="1">
        <v>150</v>
      </c>
      <c r="M15" s="7" t="s">
        <v>2552</v>
      </c>
      <c r="N15" s="1" t="s">
        <v>2222</v>
      </c>
      <c r="O15" s="1">
        <v>8033</v>
      </c>
    </row>
    <row r="16" spans="1:16">
      <c r="A16" s="56">
        <v>46083</v>
      </c>
      <c r="B16" s="56">
        <v>46081</v>
      </c>
      <c r="C16" s="1">
        <v>60010</v>
      </c>
      <c r="D16" s="7" t="s">
        <v>33</v>
      </c>
      <c r="E16" s="1" t="s">
        <v>2546</v>
      </c>
      <c r="F16" s="1" t="s">
        <v>2545</v>
      </c>
      <c r="G16" s="1" t="s">
        <v>38</v>
      </c>
      <c r="H16" s="1" t="s">
        <v>2555</v>
      </c>
      <c r="I16" s="1" t="s">
        <v>2554</v>
      </c>
      <c r="J16" s="1">
        <v>15</v>
      </c>
      <c r="K16" s="1">
        <v>0.2</v>
      </c>
      <c r="L16" s="1">
        <v>3</v>
      </c>
      <c r="M16" s="7" t="s">
        <v>2554</v>
      </c>
      <c r="N16" s="1" t="s">
        <v>2222</v>
      </c>
      <c r="O16" s="1">
        <v>8033</v>
      </c>
    </row>
    <row r="17" spans="1:15">
      <c r="A17" s="56">
        <v>46083</v>
      </c>
      <c r="B17" s="56">
        <v>46081</v>
      </c>
      <c r="C17" s="1">
        <v>60010</v>
      </c>
      <c r="D17" s="7" t="s">
        <v>33</v>
      </c>
      <c r="E17" s="1" t="s">
        <v>2546</v>
      </c>
      <c r="F17" s="1" t="s">
        <v>2545</v>
      </c>
      <c r="G17" s="1" t="s">
        <v>38</v>
      </c>
      <c r="H17" s="1" t="s">
        <v>2557</v>
      </c>
      <c r="I17" s="1" t="s">
        <v>2556</v>
      </c>
      <c r="J17" s="1">
        <v>5</v>
      </c>
      <c r="K17" s="1">
        <v>5.88</v>
      </c>
      <c r="L17" s="1">
        <v>29.4</v>
      </c>
      <c r="M17" s="7" t="s">
        <v>2556</v>
      </c>
      <c r="N17" s="1" t="s">
        <v>2222</v>
      </c>
      <c r="O17" s="1">
        <v>8033</v>
      </c>
    </row>
    <row r="18" spans="1:15">
      <c r="A18" s="56">
        <v>46083</v>
      </c>
      <c r="B18" s="56">
        <v>46081</v>
      </c>
      <c r="C18" s="1">
        <v>60010</v>
      </c>
      <c r="D18" s="7" t="s">
        <v>33</v>
      </c>
      <c r="E18" s="1" t="s">
        <v>2546</v>
      </c>
      <c r="F18" s="1" t="s">
        <v>2545</v>
      </c>
      <c r="G18" s="1" t="s">
        <v>38</v>
      </c>
      <c r="H18" s="1" t="s">
        <v>2447</v>
      </c>
      <c r="I18" s="1" t="s">
        <v>2446</v>
      </c>
      <c r="J18" s="1">
        <v>10</v>
      </c>
      <c r="K18" s="1">
        <v>2.52</v>
      </c>
      <c r="L18" s="1">
        <v>25.2</v>
      </c>
      <c r="M18" s="7" t="s">
        <v>2446</v>
      </c>
      <c r="N18" s="1" t="s">
        <v>2222</v>
      </c>
      <c r="O18" s="1">
        <v>8033</v>
      </c>
    </row>
    <row r="19" spans="1:15">
      <c r="A19" s="56">
        <v>46083</v>
      </c>
      <c r="B19" s="56">
        <v>46081</v>
      </c>
      <c r="C19" s="1">
        <v>60010</v>
      </c>
      <c r="D19" s="7" t="s">
        <v>33</v>
      </c>
      <c r="E19" s="1" t="s">
        <v>2546</v>
      </c>
      <c r="F19" s="1" t="s">
        <v>2545</v>
      </c>
      <c r="G19" s="1" t="s">
        <v>38</v>
      </c>
      <c r="H19" s="1" t="s">
        <v>2559</v>
      </c>
      <c r="I19" s="1" t="s">
        <v>2558</v>
      </c>
      <c r="J19" s="1">
        <v>10</v>
      </c>
      <c r="K19" s="1">
        <v>4.38</v>
      </c>
      <c r="L19" s="1">
        <v>43.8</v>
      </c>
      <c r="M19" s="7" t="s">
        <v>2558</v>
      </c>
      <c r="N19" s="1" t="s">
        <v>2222</v>
      </c>
      <c r="O19" s="1">
        <v>8033</v>
      </c>
    </row>
    <row r="20" spans="1:15">
      <c r="A20" s="56">
        <v>46087</v>
      </c>
      <c r="B20" s="56">
        <v>46085</v>
      </c>
      <c r="C20" s="1">
        <v>60011</v>
      </c>
      <c r="D20" s="7" t="s">
        <v>33</v>
      </c>
      <c r="E20" s="1" t="s">
        <v>2561</v>
      </c>
      <c r="F20" s="1" t="s">
        <v>2560</v>
      </c>
      <c r="G20" s="1" t="s">
        <v>38</v>
      </c>
      <c r="H20" s="1" t="s">
        <v>2493</v>
      </c>
      <c r="I20" s="1">
        <v>108222129</v>
      </c>
      <c r="J20" s="1">
        <v>1568</v>
      </c>
      <c r="K20" s="1">
        <v>197.34</v>
      </c>
      <c r="L20" s="1">
        <v>309429.12</v>
      </c>
      <c r="M20" s="7" t="s">
        <v>874</v>
      </c>
      <c r="N20" s="1" t="s">
        <v>2222</v>
      </c>
      <c r="O20" s="1">
        <v>9121</v>
      </c>
    </row>
    <row r="21" spans="1:15">
      <c r="A21" s="56">
        <v>46087</v>
      </c>
      <c r="B21" s="56">
        <v>46085</v>
      </c>
      <c r="C21" s="1">
        <v>60011</v>
      </c>
      <c r="D21" s="7" t="s">
        <v>33</v>
      </c>
      <c r="E21" s="1" t="s">
        <v>2561</v>
      </c>
      <c r="F21" s="1" t="s">
        <v>2560</v>
      </c>
      <c r="G21" s="1" t="s">
        <v>38</v>
      </c>
      <c r="H21" s="1" t="s">
        <v>2494</v>
      </c>
      <c r="I21" s="1">
        <v>108230131</v>
      </c>
      <c r="J21" s="1">
        <v>98</v>
      </c>
      <c r="K21" s="1">
        <v>202.33</v>
      </c>
      <c r="L21" s="1">
        <v>19828.34</v>
      </c>
      <c r="M21" s="7" t="s">
        <v>875</v>
      </c>
      <c r="N21" s="1" t="s">
        <v>2222</v>
      </c>
      <c r="O21" s="1">
        <v>9121</v>
      </c>
    </row>
    <row r="22" spans="1:15">
      <c r="A22" s="56">
        <v>46087</v>
      </c>
      <c r="B22" s="56">
        <v>46085</v>
      </c>
      <c r="C22" s="1">
        <v>60011</v>
      </c>
      <c r="D22" s="7" t="s">
        <v>33</v>
      </c>
      <c r="E22" s="1" t="s">
        <v>2561</v>
      </c>
      <c r="F22" s="1" t="s">
        <v>2560</v>
      </c>
      <c r="G22" s="1" t="s">
        <v>38</v>
      </c>
      <c r="H22" s="1" t="s">
        <v>2520</v>
      </c>
      <c r="I22" s="1">
        <v>108240131</v>
      </c>
      <c r="J22" s="1">
        <v>1000</v>
      </c>
      <c r="K22" s="1">
        <v>211.54</v>
      </c>
      <c r="L22" s="1">
        <v>211540.00000000003</v>
      </c>
      <c r="M22" s="7" t="s">
        <v>876</v>
      </c>
      <c r="N22" s="1" t="s">
        <v>2222</v>
      </c>
      <c r="O22" s="1">
        <v>9121</v>
      </c>
    </row>
    <row r="23" spans="1:15">
      <c r="A23" s="56">
        <v>46087</v>
      </c>
      <c r="B23" s="56">
        <v>46086</v>
      </c>
      <c r="C23" s="1">
        <v>60011</v>
      </c>
      <c r="D23" s="7" t="s">
        <v>33</v>
      </c>
      <c r="E23" s="1" t="s">
        <v>2563</v>
      </c>
      <c r="F23" s="1" t="s">
        <v>2562</v>
      </c>
      <c r="G23" s="1" t="s">
        <v>38</v>
      </c>
      <c r="H23" s="1" t="s">
        <v>2493</v>
      </c>
      <c r="I23" s="1">
        <v>108222129</v>
      </c>
      <c r="J23" s="1">
        <v>378</v>
      </c>
      <c r="K23" s="1">
        <v>197.34</v>
      </c>
      <c r="L23" s="1">
        <v>74594.52</v>
      </c>
      <c r="M23" s="7" t="s">
        <v>874</v>
      </c>
      <c r="N23" s="1" t="s">
        <v>2222</v>
      </c>
      <c r="O23" s="1">
        <v>9121</v>
      </c>
    </row>
    <row r="24" spans="1:15">
      <c r="A24" s="56">
        <v>46087</v>
      </c>
      <c r="B24" s="56">
        <v>46086</v>
      </c>
      <c r="C24" s="1">
        <v>60011</v>
      </c>
      <c r="D24" s="7" t="s">
        <v>33</v>
      </c>
      <c r="E24" s="1" t="s">
        <v>2563</v>
      </c>
      <c r="F24" s="1" t="s">
        <v>2562</v>
      </c>
      <c r="G24" s="1" t="s">
        <v>38</v>
      </c>
      <c r="H24" s="1" t="s">
        <v>2494</v>
      </c>
      <c r="I24" s="1">
        <v>108230131</v>
      </c>
      <c r="J24" s="1">
        <v>736</v>
      </c>
      <c r="K24" s="1">
        <v>202.33</v>
      </c>
      <c r="L24" s="1">
        <v>148914.88</v>
      </c>
      <c r="M24" s="7" t="s">
        <v>875</v>
      </c>
      <c r="N24" s="1" t="s">
        <v>2222</v>
      </c>
      <c r="O24" s="1">
        <v>9121</v>
      </c>
    </row>
    <row r="25" spans="1:15">
      <c r="A25" s="56">
        <v>46087</v>
      </c>
      <c r="B25" s="56">
        <v>46086</v>
      </c>
      <c r="C25" s="1">
        <v>60011</v>
      </c>
      <c r="D25" s="7" t="s">
        <v>33</v>
      </c>
      <c r="E25" s="1" t="s">
        <v>2563</v>
      </c>
      <c r="F25" s="1" t="s">
        <v>2562</v>
      </c>
      <c r="G25" s="1" t="s">
        <v>38</v>
      </c>
      <c r="H25" s="1" t="s">
        <v>2520</v>
      </c>
      <c r="I25" s="1">
        <v>108240131</v>
      </c>
      <c r="J25" s="1">
        <v>788</v>
      </c>
      <c r="K25" s="1">
        <v>211.54</v>
      </c>
      <c r="L25" s="1">
        <v>166693.51999999999</v>
      </c>
      <c r="M25" s="7" t="s">
        <v>876</v>
      </c>
      <c r="N25" s="1" t="s">
        <v>2222</v>
      </c>
      <c r="O25" s="1">
        <v>9121</v>
      </c>
    </row>
    <row r="26" spans="1:15">
      <c r="A26" s="56">
        <v>46087</v>
      </c>
      <c r="B26" s="56">
        <v>46086</v>
      </c>
      <c r="C26" s="1">
        <v>60011</v>
      </c>
      <c r="D26" s="7" t="s">
        <v>33</v>
      </c>
      <c r="E26" s="1" t="s">
        <v>2563</v>
      </c>
      <c r="F26" s="1" t="s">
        <v>2562</v>
      </c>
      <c r="G26" s="1" t="s">
        <v>38</v>
      </c>
      <c r="H26" s="1" t="s">
        <v>960</v>
      </c>
      <c r="I26" s="1" t="s">
        <v>902</v>
      </c>
      <c r="J26" s="1">
        <v>518</v>
      </c>
      <c r="K26" s="1">
        <v>469.15</v>
      </c>
      <c r="L26" s="1">
        <v>243019.7</v>
      </c>
      <c r="M26" s="7" t="s">
        <v>902</v>
      </c>
      <c r="N26" s="1" t="s">
        <v>2222</v>
      </c>
      <c r="O26" s="1">
        <v>9121</v>
      </c>
    </row>
    <row r="27" spans="1:15">
      <c r="A27" s="56">
        <v>46087</v>
      </c>
      <c r="B27" s="56">
        <v>46086</v>
      </c>
      <c r="C27" s="1">
        <v>60010</v>
      </c>
      <c r="D27" s="7" t="s">
        <v>33</v>
      </c>
      <c r="E27" s="1" t="s">
        <v>2563</v>
      </c>
      <c r="F27" s="1" t="s">
        <v>2562</v>
      </c>
      <c r="G27" s="1" t="s">
        <v>38</v>
      </c>
      <c r="H27" s="1" t="s">
        <v>2564</v>
      </c>
      <c r="I27" s="1" t="s">
        <v>1209</v>
      </c>
      <c r="J27" s="1">
        <v>150</v>
      </c>
      <c r="K27" s="1">
        <v>0.54</v>
      </c>
      <c r="L27" s="1">
        <v>81</v>
      </c>
      <c r="M27" s="7" t="s">
        <v>1209</v>
      </c>
      <c r="N27" s="1" t="s">
        <v>2222</v>
      </c>
      <c r="O27" s="1">
        <v>8033</v>
      </c>
    </row>
    <row r="28" spans="1:15">
      <c r="A28" s="56">
        <v>46087</v>
      </c>
      <c r="B28" s="56">
        <v>46086</v>
      </c>
      <c r="C28" s="1">
        <v>60010</v>
      </c>
      <c r="D28" s="7" t="s">
        <v>33</v>
      </c>
      <c r="E28" s="1" t="s">
        <v>2563</v>
      </c>
      <c r="F28" s="1" t="s">
        <v>2562</v>
      </c>
      <c r="G28" s="1" t="s">
        <v>38</v>
      </c>
      <c r="H28" s="1" t="s">
        <v>2566</v>
      </c>
      <c r="I28" s="1" t="s">
        <v>2565</v>
      </c>
      <c r="J28" s="1">
        <v>15</v>
      </c>
      <c r="K28" s="1">
        <v>6.05</v>
      </c>
      <c r="L28" s="1">
        <v>90.75</v>
      </c>
      <c r="M28" s="7" t="s">
        <v>2565</v>
      </c>
      <c r="N28" s="1" t="s">
        <v>2222</v>
      </c>
      <c r="O28" s="1">
        <v>8033</v>
      </c>
    </row>
    <row r="29" spans="1:15">
      <c r="A29" s="56">
        <v>46087</v>
      </c>
      <c r="B29" s="56">
        <v>46086</v>
      </c>
      <c r="C29" s="1">
        <v>60010</v>
      </c>
      <c r="D29" s="7" t="s">
        <v>33</v>
      </c>
      <c r="E29" s="1" t="s">
        <v>2563</v>
      </c>
      <c r="F29" s="1" t="s">
        <v>2562</v>
      </c>
      <c r="G29" s="1" t="s">
        <v>38</v>
      </c>
      <c r="H29" s="1" t="s">
        <v>2568</v>
      </c>
      <c r="I29" s="1" t="s">
        <v>2567</v>
      </c>
      <c r="J29" s="1">
        <v>20</v>
      </c>
      <c r="K29" s="1">
        <v>2.8</v>
      </c>
      <c r="L29" s="1">
        <v>56</v>
      </c>
      <c r="M29" s="7" t="s">
        <v>2567</v>
      </c>
      <c r="N29" s="1" t="s">
        <v>2222</v>
      </c>
      <c r="O29" s="1">
        <v>8033</v>
      </c>
    </row>
    <row r="30" spans="1:15">
      <c r="A30" s="56">
        <v>46087</v>
      </c>
      <c r="B30" s="56">
        <v>46086</v>
      </c>
      <c r="C30" s="1">
        <v>60010</v>
      </c>
      <c r="D30" s="7" t="s">
        <v>33</v>
      </c>
      <c r="E30" s="1" t="s">
        <v>2563</v>
      </c>
      <c r="F30" s="1" t="s">
        <v>2562</v>
      </c>
      <c r="G30" s="1" t="s">
        <v>38</v>
      </c>
      <c r="H30" s="1" t="s">
        <v>2570</v>
      </c>
      <c r="I30" s="1" t="s">
        <v>2569</v>
      </c>
      <c r="J30" s="1">
        <v>20</v>
      </c>
      <c r="K30" s="1">
        <v>2.8</v>
      </c>
      <c r="L30" s="1">
        <v>56</v>
      </c>
      <c r="M30" s="7" t="s">
        <v>2569</v>
      </c>
      <c r="N30" s="1" t="s">
        <v>2222</v>
      </c>
      <c r="O30" s="1">
        <v>8033</v>
      </c>
    </row>
    <row r="31" spans="1:15">
      <c r="A31" s="56">
        <v>46087</v>
      </c>
      <c r="B31" s="56">
        <v>46086</v>
      </c>
      <c r="C31" s="1">
        <v>60010</v>
      </c>
      <c r="D31" s="7" t="s">
        <v>33</v>
      </c>
      <c r="E31" s="1" t="s">
        <v>2563</v>
      </c>
      <c r="F31" s="1" t="s">
        <v>2562</v>
      </c>
      <c r="G31" s="1" t="s">
        <v>38</v>
      </c>
      <c r="H31" s="1" t="s">
        <v>2540</v>
      </c>
      <c r="I31" s="1" t="s">
        <v>2539</v>
      </c>
      <c r="J31" s="1">
        <v>18</v>
      </c>
      <c r="K31" s="1">
        <v>70</v>
      </c>
      <c r="L31" s="1">
        <v>1260</v>
      </c>
      <c r="M31" s="7" t="s">
        <v>2539</v>
      </c>
      <c r="N31" s="1" t="s">
        <v>2222</v>
      </c>
      <c r="O31" s="1">
        <v>8033</v>
      </c>
    </row>
    <row r="32" spans="1:15">
      <c r="A32" s="56">
        <v>46087</v>
      </c>
      <c r="B32" s="56">
        <v>46086</v>
      </c>
      <c r="C32" s="1">
        <v>60010</v>
      </c>
      <c r="D32" s="7" t="s">
        <v>33</v>
      </c>
      <c r="E32" s="1" t="s">
        <v>2563</v>
      </c>
      <c r="F32" s="1" t="s">
        <v>2562</v>
      </c>
      <c r="G32" s="1" t="s">
        <v>38</v>
      </c>
      <c r="H32" s="1" t="s">
        <v>2572</v>
      </c>
      <c r="I32" s="1" t="s">
        <v>2571</v>
      </c>
      <c r="J32" s="1">
        <v>15</v>
      </c>
      <c r="K32" s="1">
        <v>73</v>
      </c>
      <c r="L32" s="1">
        <v>1095</v>
      </c>
      <c r="M32" s="7" t="s">
        <v>2571</v>
      </c>
      <c r="N32" s="1" t="s">
        <v>2222</v>
      </c>
      <c r="O32" s="1">
        <v>8033</v>
      </c>
    </row>
    <row r="33" spans="1:15">
      <c r="A33" s="56">
        <v>46087</v>
      </c>
      <c r="B33" s="56">
        <v>46086</v>
      </c>
      <c r="C33" s="1">
        <v>60010</v>
      </c>
      <c r="D33" s="7" t="s">
        <v>33</v>
      </c>
      <c r="E33" s="1" t="s">
        <v>2563</v>
      </c>
      <c r="F33" s="1" t="s">
        <v>2562</v>
      </c>
      <c r="G33" s="1" t="s">
        <v>38</v>
      </c>
      <c r="H33" s="1" t="s">
        <v>2574</v>
      </c>
      <c r="I33" s="1" t="s">
        <v>2573</v>
      </c>
      <c r="J33" s="1">
        <v>15</v>
      </c>
      <c r="K33" s="1">
        <v>76</v>
      </c>
      <c r="L33" s="1">
        <v>1140</v>
      </c>
      <c r="M33" s="7" t="s">
        <v>2573</v>
      </c>
      <c r="N33" s="1" t="s">
        <v>2222</v>
      </c>
      <c r="O33" s="1">
        <v>8033</v>
      </c>
    </row>
    <row r="34" spans="1:15">
      <c r="A34" s="56">
        <v>46087</v>
      </c>
      <c r="B34" s="56">
        <v>46086</v>
      </c>
      <c r="C34" s="1">
        <v>60010</v>
      </c>
      <c r="D34" s="7" t="s">
        <v>33</v>
      </c>
      <c r="E34" s="1" t="s">
        <v>2563</v>
      </c>
      <c r="F34" s="1" t="s">
        <v>2562</v>
      </c>
      <c r="G34" s="1" t="s">
        <v>38</v>
      </c>
      <c r="H34" s="1" t="s">
        <v>2576</v>
      </c>
      <c r="I34" s="1" t="s">
        <v>2575</v>
      </c>
      <c r="J34" s="1">
        <v>5</v>
      </c>
      <c r="K34" s="1">
        <v>5.38</v>
      </c>
      <c r="L34" s="1">
        <v>26.9</v>
      </c>
      <c r="M34" s="7" t="s">
        <v>2575</v>
      </c>
      <c r="N34" s="1" t="s">
        <v>2222</v>
      </c>
      <c r="O34" s="1">
        <v>8033</v>
      </c>
    </row>
    <row r="35" spans="1:15">
      <c r="A35" s="56">
        <v>46087</v>
      </c>
      <c r="B35" s="56">
        <v>46086</v>
      </c>
      <c r="C35" s="1">
        <v>60010</v>
      </c>
      <c r="D35" s="7" t="s">
        <v>33</v>
      </c>
      <c r="E35" s="1" t="s">
        <v>2563</v>
      </c>
      <c r="F35" s="1" t="s">
        <v>2562</v>
      </c>
      <c r="G35" s="1" t="s">
        <v>38</v>
      </c>
      <c r="H35" s="1" t="s">
        <v>2578</v>
      </c>
      <c r="I35" s="1" t="s">
        <v>2577</v>
      </c>
      <c r="J35" s="1">
        <v>8</v>
      </c>
      <c r="K35" s="1">
        <v>3.98</v>
      </c>
      <c r="L35" s="1">
        <v>31.84</v>
      </c>
      <c r="M35" s="7" t="s">
        <v>2577</v>
      </c>
      <c r="N35" s="1" t="s">
        <v>2222</v>
      </c>
      <c r="O35" s="1">
        <v>8033</v>
      </c>
    </row>
    <row r="36" spans="1:15">
      <c r="A36" s="56">
        <v>46087</v>
      </c>
      <c r="B36" s="56">
        <v>46086</v>
      </c>
      <c r="C36" s="1">
        <v>60011</v>
      </c>
      <c r="D36" s="7" t="s">
        <v>35</v>
      </c>
      <c r="E36" s="1" t="s">
        <v>2580</v>
      </c>
      <c r="F36" s="1" t="s">
        <v>2579</v>
      </c>
      <c r="G36" s="1" t="s">
        <v>38</v>
      </c>
      <c r="H36" s="1" t="s">
        <v>2581</v>
      </c>
      <c r="I36" s="1">
        <v>110222545</v>
      </c>
      <c r="J36" s="1">
        <v>708</v>
      </c>
      <c r="K36" s="1">
        <v>151.51</v>
      </c>
      <c r="L36" s="1">
        <v>107269.08</v>
      </c>
      <c r="M36" s="7" t="s">
        <v>2154</v>
      </c>
      <c r="N36" s="1" t="s">
        <v>2222</v>
      </c>
      <c r="O36" s="1">
        <v>9121</v>
      </c>
    </row>
    <row r="37" spans="1:15">
      <c r="A37" s="56">
        <v>46087</v>
      </c>
      <c r="B37" s="56">
        <v>46086</v>
      </c>
      <c r="C37" s="1">
        <v>60011</v>
      </c>
      <c r="D37" s="7" t="s">
        <v>35</v>
      </c>
      <c r="E37" s="1" t="s">
        <v>2580</v>
      </c>
      <c r="F37" s="1" t="s">
        <v>2579</v>
      </c>
      <c r="G37" s="1" t="s">
        <v>38</v>
      </c>
      <c r="H37" s="1" t="s">
        <v>2518</v>
      </c>
      <c r="I37" s="1" t="s">
        <v>2171</v>
      </c>
      <c r="J37" s="1">
        <v>1956</v>
      </c>
      <c r="K37" s="1">
        <v>157.02000000000001</v>
      </c>
      <c r="L37" s="1">
        <v>307131.12</v>
      </c>
      <c r="M37" s="7" t="s">
        <v>2171</v>
      </c>
      <c r="N37" s="1" t="s">
        <v>2222</v>
      </c>
      <c r="O37" s="1">
        <v>9121</v>
      </c>
    </row>
    <row r="38" spans="1:15">
      <c r="A38" s="56">
        <v>46087</v>
      </c>
      <c r="B38" s="56">
        <v>46086</v>
      </c>
      <c r="C38" s="1">
        <v>60011</v>
      </c>
      <c r="D38" s="7" t="s">
        <v>35</v>
      </c>
      <c r="E38" s="1" t="s">
        <v>2580</v>
      </c>
      <c r="F38" s="1" t="s">
        <v>2579</v>
      </c>
      <c r="G38" s="1" t="s">
        <v>38</v>
      </c>
      <c r="H38" s="1" t="s">
        <v>2432</v>
      </c>
      <c r="I38" s="1" t="s">
        <v>2157</v>
      </c>
      <c r="J38" s="1">
        <v>360</v>
      </c>
      <c r="K38" s="1">
        <v>129.66999999999999</v>
      </c>
      <c r="L38" s="1">
        <v>46681.2</v>
      </c>
      <c r="M38" s="7" t="s">
        <v>2157</v>
      </c>
      <c r="N38" s="1" t="s">
        <v>2222</v>
      </c>
      <c r="O38" s="1">
        <v>9121</v>
      </c>
    </row>
    <row r="39" spans="1:15">
      <c r="A39" s="56">
        <v>46090</v>
      </c>
      <c r="B39" s="56">
        <v>46087</v>
      </c>
      <c r="C39" s="1">
        <v>60010</v>
      </c>
      <c r="D39" s="7" t="s">
        <v>36</v>
      </c>
      <c r="E39" s="1" t="s">
        <v>2583</v>
      </c>
      <c r="F39" s="1" t="s">
        <v>2582</v>
      </c>
      <c r="G39" s="1" t="s">
        <v>39</v>
      </c>
      <c r="H39" s="1" t="s">
        <v>2530</v>
      </c>
      <c r="I39" s="1" t="s">
        <v>2529</v>
      </c>
      <c r="J39" s="1">
        <v>280</v>
      </c>
      <c r="K39" s="1">
        <v>50.54</v>
      </c>
      <c r="L39" s="1">
        <v>14151.2</v>
      </c>
      <c r="M39" s="7" t="s">
        <v>2529</v>
      </c>
      <c r="N39" s="1" t="s">
        <v>2222</v>
      </c>
      <c r="O39" s="1">
        <v>8033</v>
      </c>
    </row>
    <row r="40" spans="1:15">
      <c r="A40" s="56">
        <v>46090</v>
      </c>
      <c r="B40" s="56">
        <v>46087</v>
      </c>
      <c r="C40" s="1">
        <v>60010</v>
      </c>
      <c r="D40" s="7" t="s">
        <v>36</v>
      </c>
      <c r="E40" s="1" t="s">
        <v>2583</v>
      </c>
      <c r="F40" s="1" t="s">
        <v>2582</v>
      </c>
      <c r="G40" s="1" t="s">
        <v>39</v>
      </c>
      <c r="H40" s="1" t="s">
        <v>2524</v>
      </c>
      <c r="I40" s="1" t="s">
        <v>2523</v>
      </c>
      <c r="J40" s="1">
        <v>240</v>
      </c>
      <c r="K40" s="1">
        <v>295.20999999999998</v>
      </c>
      <c r="L40" s="1">
        <v>70850.399999999994</v>
      </c>
      <c r="M40" s="7" t="s">
        <v>2523</v>
      </c>
      <c r="N40" s="1" t="s">
        <v>2222</v>
      </c>
      <c r="O40" s="1">
        <v>8033</v>
      </c>
    </row>
    <row r="41" spans="1:15">
      <c r="A41" s="56">
        <v>46090</v>
      </c>
      <c r="B41" s="56">
        <v>46087</v>
      </c>
      <c r="C41" s="1">
        <v>60010</v>
      </c>
      <c r="D41" s="7" t="s">
        <v>36</v>
      </c>
      <c r="E41" s="1" t="s">
        <v>2583</v>
      </c>
      <c r="F41" s="1" t="s">
        <v>2582</v>
      </c>
      <c r="G41" s="1" t="s">
        <v>39</v>
      </c>
      <c r="H41" s="1" t="s">
        <v>2526</v>
      </c>
      <c r="I41" s="1" t="s">
        <v>2525</v>
      </c>
      <c r="J41" s="1">
        <v>400</v>
      </c>
      <c r="K41" s="1">
        <v>301.77</v>
      </c>
      <c r="L41" s="1">
        <v>120708</v>
      </c>
      <c r="M41" s="7" t="s">
        <v>2525</v>
      </c>
      <c r="N41" s="1" t="s">
        <v>2222</v>
      </c>
      <c r="O41" s="1">
        <v>8033</v>
      </c>
    </row>
    <row r="42" spans="1:15">
      <c r="A42" s="56">
        <v>46090</v>
      </c>
      <c r="B42" s="56">
        <v>46087</v>
      </c>
      <c r="C42" s="1">
        <v>60010</v>
      </c>
      <c r="D42" s="7" t="s">
        <v>36</v>
      </c>
      <c r="E42" s="1" t="s">
        <v>2583</v>
      </c>
      <c r="F42" s="1" t="s">
        <v>2582</v>
      </c>
      <c r="G42" s="1" t="s">
        <v>39</v>
      </c>
      <c r="H42" s="1" t="s">
        <v>2528</v>
      </c>
      <c r="I42" s="1" t="s">
        <v>2527</v>
      </c>
      <c r="J42" s="1">
        <v>300</v>
      </c>
      <c r="K42" s="1">
        <v>314.69</v>
      </c>
      <c r="L42" s="1">
        <v>94407</v>
      </c>
      <c r="M42" s="7" t="s">
        <v>2527</v>
      </c>
      <c r="N42" s="1" t="s">
        <v>2222</v>
      </c>
      <c r="O42" s="1">
        <v>8033</v>
      </c>
    </row>
    <row r="43" spans="1:15">
      <c r="A43" s="56">
        <v>46090</v>
      </c>
      <c r="B43" s="56">
        <v>46087</v>
      </c>
      <c r="C43" s="1">
        <v>60010</v>
      </c>
      <c r="D43" s="7" t="s">
        <v>36</v>
      </c>
      <c r="E43" s="1" t="s">
        <v>2583</v>
      </c>
      <c r="F43" s="1" t="s">
        <v>2582</v>
      </c>
      <c r="G43" s="1" t="s">
        <v>39</v>
      </c>
      <c r="H43" s="1" t="s">
        <v>2522</v>
      </c>
      <c r="I43" s="1" t="s">
        <v>375</v>
      </c>
      <c r="J43" s="1">
        <v>300</v>
      </c>
      <c r="K43" s="1">
        <v>128.85</v>
      </c>
      <c r="L43" s="1">
        <v>38655</v>
      </c>
      <c r="M43" s="7" t="s">
        <v>375</v>
      </c>
      <c r="N43" s="1" t="s">
        <v>2225</v>
      </c>
      <c r="O43" s="1">
        <v>8033</v>
      </c>
    </row>
    <row r="44" spans="1:15">
      <c r="A44" s="56">
        <v>46090</v>
      </c>
      <c r="B44" s="56">
        <v>46087</v>
      </c>
      <c r="C44" s="1">
        <v>60010</v>
      </c>
      <c r="D44" s="7" t="s">
        <v>36</v>
      </c>
      <c r="E44" s="1" t="s">
        <v>2583</v>
      </c>
      <c r="F44" s="1" t="s">
        <v>2582</v>
      </c>
      <c r="G44" s="1" t="s">
        <v>39</v>
      </c>
      <c r="H44" s="1" t="s">
        <v>2443</v>
      </c>
      <c r="I44" s="1" t="s">
        <v>422</v>
      </c>
      <c r="J44" s="1">
        <v>1620</v>
      </c>
      <c r="K44" s="1">
        <v>146.57</v>
      </c>
      <c r="L44" s="1">
        <v>237443.40000000002</v>
      </c>
      <c r="M44" s="7" t="s">
        <v>422</v>
      </c>
      <c r="N44" s="1" t="s">
        <v>2225</v>
      </c>
      <c r="O44" s="1">
        <v>8033</v>
      </c>
    </row>
    <row r="45" spans="1:15">
      <c r="A45" s="56">
        <v>46090</v>
      </c>
      <c r="B45" s="56">
        <v>46087</v>
      </c>
      <c r="C45" s="1">
        <v>60010</v>
      </c>
      <c r="D45" s="7" t="s">
        <v>36</v>
      </c>
      <c r="E45" s="1" t="s">
        <v>2583</v>
      </c>
      <c r="F45" s="1" t="s">
        <v>2582</v>
      </c>
      <c r="G45" s="1" t="s">
        <v>39</v>
      </c>
      <c r="H45" s="1" t="s">
        <v>2444</v>
      </c>
      <c r="I45" s="1" t="s">
        <v>787</v>
      </c>
      <c r="J45" s="1">
        <v>380</v>
      </c>
      <c r="K45" s="1">
        <v>121.79</v>
      </c>
      <c r="L45" s="1">
        <v>46280.2</v>
      </c>
      <c r="M45" s="7" t="s">
        <v>787</v>
      </c>
      <c r="N45" s="1" t="s">
        <v>2225</v>
      </c>
      <c r="O45" s="1">
        <v>8033</v>
      </c>
    </row>
    <row r="46" spans="1:15">
      <c r="A46" s="56">
        <v>46090</v>
      </c>
      <c r="B46" s="56">
        <v>46087</v>
      </c>
      <c r="C46" s="1">
        <v>60010</v>
      </c>
      <c r="D46" s="7" t="s">
        <v>36</v>
      </c>
      <c r="E46" s="1" t="s">
        <v>2583</v>
      </c>
      <c r="F46" s="1" t="s">
        <v>2582</v>
      </c>
      <c r="G46" s="1" t="s">
        <v>39</v>
      </c>
      <c r="H46" s="1" t="s">
        <v>2445</v>
      </c>
      <c r="I46" s="1" t="s">
        <v>793</v>
      </c>
      <c r="J46" s="1">
        <v>640</v>
      </c>
      <c r="K46" s="1">
        <v>127.44</v>
      </c>
      <c r="L46" s="1">
        <v>81561.600000000006</v>
      </c>
      <c r="M46" s="7" t="s">
        <v>793</v>
      </c>
      <c r="N46" s="1" t="s">
        <v>2225</v>
      </c>
      <c r="O46" s="1">
        <v>8033</v>
      </c>
    </row>
    <row r="47" spans="1:15">
      <c r="A47" s="56">
        <v>46090</v>
      </c>
      <c r="B47" s="56">
        <v>46087</v>
      </c>
      <c r="C47" s="1">
        <v>60010</v>
      </c>
      <c r="D47" s="7" t="s">
        <v>36</v>
      </c>
      <c r="E47" s="1" t="s">
        <v>2583</v>
      </c>
      <c r="F47" s="1" t="s">
        <v>2582</v>
      </c>
      <c r="G47" s="1" t="s">
        <v>39</v>
      </c>
      <c r="H47" s="1" t="s">
        <v>2584</v>
      </c>
      <c r="I47" s="1" t="s">
        <v>853</v>
      </c>
      <c r="J47" s="1">
        <v>2400</v>
      </c>
      <c r="K47" s="1">
        <v>0.91</v>
      </c>
      <c r="L47" s="1">
        <v>2184</v>
      </c>
      <c r="M47" s="7" t="s">
        <v>853</v>
      </c>
      <c r="N47" s="1" t="s">
        <v>2225</v>
      </c>
      <c r="O47" s="1">
        <v>8033</v>
      </c>
    </row>
    <row r="48" spans="1:15">
      <c r="A48" s="56">
        <v>46090</v>
      </c>
      <c r="B48" s="56">
        <v>46087</v>
      </c>
      <c r="C48" s="1">
        <v>60010</v>
      </c>
      <c r="D48" s="7" t="s">
        <v>36</v>
      </c>
      <c r="E48" s="1" t="s">
        <v>2583</v>
      </c>
      <c r="F48" s="1" t="s">
        <v>2582</v>
      </c>
      <c r="G48" s="1" t="s">
        <v>39</v>
      </c>
      <c r="H48" s="1" t="s">
        <v>852</v>
      </c>
      <c r="I48" s="1" t="s">
        <v>850</v>
      </c>
      <c r="J48" s="1">
        <v>2500</v>
      </c>
      <c r="K48" s="1">
        <v>1.62</v>
      </c>
      <c r="L48" s="1">
        <v>4050</v>
      </c>
      <c r="M48" s="7" t="s">
        <v>850</v>
      </c>
      <c r="N48" s="1" t="s">
        <v>2225</v>
      </c>
      <c r="O48" s="1">
        <v>8033</v>
      </c>
    </row>
    <row r="49" spans="1:15">
      <c r="A49" s="56">
        <v>46090</v>
      </c>
      <c r="B49" s="56">
        <v>46087</v>
      </c>
      <c r="C49" s="1">
        <v>60010</v>
      </c>
      <c r="D49" s="7" t="s">
        <v>36</v>
      </c>
      <c r="E49" s="1" t="s">
        <v>2583</v>
      </c>
      <c r="F49" s="1" t="s">
        <v>2582</v>
      </c>
      <c r="G49" s="1" t="s">
        <v>39</v>
      </c>
      <c r="H49" s="1" t="s">
        <v>831</v>
      </c>
      <c r="I49" s="1" t="s">
        <v>829</v>
      </c>
      <c r="J49" s="1">
        <v>960</v>
      </c>
      <c r="K49" s="1">
        <v>7.98</v>
      </c>
      <c r="L49" s="1">
        <v>7660.8</v>
      </c>
      <c r="M49" s="7" t="s">
        <v>829</v>
      </c>
      <c r="N49" s="1" t="s">
        <v>2225</v>
      </c>
      <c r="O49" s="1">
        <v>8033</v>
      </c>
    </row>
    <row r="50" spans="1:15">
      <c r="A50" s="56">
        <v>46090</v>
      </c>
      <c r="B50" s="56">
        <v>46087</v>
      </c>
      <c r="C50" s="1">
        <v>60010</v>
      </c>
      <c r="D50" s="7" t="s">
        <v>36</v>
      </c>
      <c r="E50" s="1" t="s">
        <v>2583</v>
      </c>
      <c r="F50" s="1" t="s">
        <v>2582</v>
      </c>
      <c r="G50" s="1" t="s">
        <v>39</v>
      </c>
      <c r="H50" s="1" t="s">
        <v>846</v>
      </c>
      <c r="I50" s="1" t="s">
        <v>844</v>
      </c>
      <c r="J50" s="1">
        <v>3100</v>
      </c>
      <c r="K50" s="1">
        <v>8.7799999999999994</v>
      </c>
      <c r="L50" s="1">
        <v>27218</v>
      </c>
      <c r="M50" s="7" t="s">
        <v>844</v>
      </c>
      <c r="N50" s="1" t="s">
        <v>2225</v>
      </c>
      <c r="O50" s="1">
        <v>8033</v>
      </c>
    </row>
    <row r="51" spans="1:15">
      <c r="A51" s="56">
        <v>46090</v>
      </c>
      <c r="B51" s="56">
        <v>46087</v>
      </c>
      <c r="C51" s="1">
        <v>60010</v>
      </c>
      <c r="D51" s="7" t="s">
        <v>36</v>
      </c>
      <c r="E51" s="1" t="s">
        <v>2583</v>
      </c>
      <c r="F51" s="1" t="s">
        <v>2582</v>
      </c>
      <c r="G51" s="1" t="s">
        <v>39</v>
      </c>
      <c r="H51" s="1" t="s">
        <v>843</v>
      </c>
      <c r="I51" s="1" t="s">
        <v>841</v>
      </c>
      <c r="J51" s="1">
        <v>1500</v>
      </c>
      <c r="K51" s="1">
        <v>10.4</v>
      </c>
      <c r="L51" s="1">
        <v>15600</v>
      </c>
      <c r="M51" s="7" t="s">
        <v>841</v>
      </c>
      <c r="N51" s="1" t="s">
        <v>2225</v>
      </c>
      <c r="O51" s="1">
        <v>8033</v>
      </c>
    </row>
    <row r="52" spans="1:15">
      <c r="A52" s="56">
        <v>46090</v>
      </c>
      <c r="B52" s="56">
        <v>46087</v>
      </c>
      <c r="C52" s="1">
        <v>60011</v>
      </c>
      <c r="D52" s="7" t="s">
        <v>33</v>
      </c>
      <c r="E52" s="1" t="s">
        <v>2586</v>
      </c>
      <c r="F52" s="1" t="s">
        <v>2585</v>
      </c>
      <c r="G52" s="1" t="s">
        <v>38</v>
      </c>
      <c r="H52" s="1" t="s">
        <v>2494</v>
      </c>
      <c r="I52" s="1">
        <v>108230131</v>
      </c>
      <c r="J52" s="1">
        <v>754</v>
      </c>
      <c r="K52" s="1">
        <v>202.33</v>
      </c>
      <c r="L52" s="1">
        <v>152556.82</v>
      </c>
      <c r="M52" s="7" t="s">
        <v>875</v>
      </c>
      <c r="N52" s="1" t="s">
        <v>2222</v>
      </c>
      <c r="O52" s="1">
        <v>9121</v>
      </c>
    </row>
    <row r="53" spans="1:15">
      <c r="A53" s="56">
        <v>46090</v>
      </c>
      <c r="B53" s="56">
        <v>46087</v>
      </c>
      <c r="C53" s="1">
        <v>60011</v>
      </c>
      <c r="D53" s="7" t="s">
        <v>33</v>
      </c>
      <c r="E53" s="1" t="s">
        <v>2586</v>
      </c>
      <c r="F53" s="1" t="s">
        <v>2585</v>
      </c>
      <c r="G53" s="1" t="s">
        <v>38</v>
      </c>
      <c r="H53" s="1" t="s">
        <v>2520</v>
      </c>
      <c r="I53" s="1">
        <v>108240131</v>
      </c>
      <c r="J53" s="1">
        <v>212</v>
      </c>
      <c r="K53" s="1">
        <v>211.54</v>
      </c>
      <c r="L53" s="1">
        <v>44846.48</v>
      </c>
      <c r="M53" s="7" t="s">
        <v>876</v>
      </c>
      <c r="N53" s="1" t="s">
        <v>2222</v>
      </c>
      <c r="O53" s="1">
        <v>9121</v>
      </c>
    </row>
    <row r="54" spans="1:15">
      <c r="A54" s="56">
        <v>46090</v>
      </c>
      <c r="B54" s="56">
        <v>46087</v>
      </c>
      <c r="C54" s="1">
        <v>60011</v>
      </c>
      <c r="D54" s="7" t="s">
        <v>33</v>
      </c>
      <c r="E54" s="1" t="s">
        <v>2586</v>
      </c>
      <c r="F54" s="1" t="s">
        <v>2585</v>
      </c>
      <c r="G54" s="1" t="s">
        <v>38</v>
      </c>
      <c r="H54" s="1" t="s">
        <v>960</v>
      </c>
      <c r="I54" s="1" t="s">
        <v>902</v>
      </c>
      <c r="J54" s="1">
        <v>482</v>
      </c>
      <c r="K54" s="1">
        <v>469.15</v>
      </c>
      <c r="L54" s="1">
        <v>226130.3</v>
      </c>
      <c r="M54" s="7" t="s">
        <v>902</v>
      </c>
      <c r="N54" s="1" t="s">
        <v>2222</v>
      </c>
      <c r="O54" s="1">
        <v>9121</v>
      </c>
    </row>
    <row r="55" spans="1:15">
      <c r="A55" s="56">
        <v>46090</v>
      </c>
      <c r="B55" s="56">
        <v>46087</v>
      </c>
      <c r="C55" s="1">
        <v>60011</v>
      </c>
      <c r="D55" s="7" t="s">
        <v>33</v>
      </c>
      <c r="E55" s="1" t="s">
        <v>2586</v>
      </c>
      <c r="F55" s="1" t="s">
        <v>2585</v>
      </c>
      <c r="G55" s="1" t="s">
        <v>38</v>
      </c>
      <c r="H55" s="1" t="s">
        <v>2519</v>
      </c>
      <c r="I55" s="1" t="s">
        <v>882</v>
      </c>
      <c r="J55" s="1">
        <v>760</v>
      </c>
      <c r="K55" s="1">
        <v>430.39</v>
      </c>
      <c r="L55" s="1">
        <v>327096.40000000002</v>
      </c>
      <c r="M55" s="7" t="s">
        <v>882</v>
      </c>
      <c r="N55" s="1" t="s">
        <v>2222</v>
      </c>
      <c r="O55" s="1">
        <v>9121</v>
      </c>
    </row>
    <row r="56" spans="1:15">
      <c r="A56" s="56">
        <v>46090</v>
      </c>
      <c r="B56" s="56">
        <v>46087</v>
      </c>
      <c r="C56" s="1">
        <v>60010</v>
      </c>
      <c r="D56" s="7" t="s">
        <v>33</v>
      </c>
      <c r="E56" s="1" t="s">
        <v>2586</v>
      </c>
      <c r="F56" s="1" t="s">
        <v>2585</v>
      </c>
      <c r="G56" s="1" t="s">
        <v>38</v>
      </c>
      <c r="H56" s="1" t="s">
        <v>2540</v>
      </c>
      <c r="I56" s="1" t="s">
        <v>2539</v>
      </c>
      <c r="J56" s="1">
        <v>2</v>
      </c>
      <c r="K56" s="1">
        <v>70</v>
      </c>
      <c r="L56" s="1">
        <v>140</v>
      </c>
      <c r="M56" s="7" t="s">
        <v>2539</v>
      </c>
      <c r="N56" s="1" t="s">
        <v>2222</v>
      </c>
      <c r="O56" s="1">
        <v>8033</v>
      </c>
    </row>
    <row r="57" spans="1:15">
      <c r="A57" s="56">
        <v>46092</v>
      </c>
      <c r="B57" s="56">
        <v>46091</v>
      </c>
      <c r="C57" s="1">
        <v>60010</v>
      </c>
      <c r="D57" s="7" t="s">
        <v>36</v>
      </c>
      <c r="E57" s="1" t="s">
        <v>2588</v>
      </c>
      <c r="F57" s="1" t="s">
        <v>2587</v>
      </c>
      <c r="G57" s="1" t="s">
        <v>39</v>
      </c>
      <c r="H57" s="1" t="s">
        <v>2589</v>
      </c>
      <c r="I57" s="1" t="s">
        <v>590</v>
      </c>
      <c r="J57" s="1">
        <v>420</v>
      </c>
      <c r="K57" s="1">
        <v>75.66</v>
      </c>
      <c r="L57" s="1">
        <v>31777.200000000001</v>
      </c>
      <c r="M57" s="7" t="s">
        <v>590</v>
      </c>
      <c r="N57" s="1" t="s">
        <v>2225</v>
      </c>
      <c r="O57" s="1">
        <v>8033</v>
      </c>
    </row>
    <row r="58" spans="1:15">
      <c r="A58" s="56">
        <v>46092</v>
      </c>
      <c r="B58" s="56">
        <v>46091</v>
      </c>
      <c r="C58" s="1">
        <v>60010</v>
      </c>
      <c r="D58" s="7" t="s">
        <v>36</v>
      </c>
      <c r="E58" s="1" t="s">
        <v>2588</v>
      </c>
      <c r="F58" s="1" t="s">
        <v>2587</v>
      </c>
      <c r="G58" s="1" t="s">
        <v>39</v>
      </c>
      <c r="H58" s="1" t="s">
        <v>2590</v>
      </c>
      <c r="I58" s="1" t="s">
        <v>593</v>
      </c>
      <c r="J58" s="1">
        <v>1660</v>
      </c>
      <c r="K58" s="1">
        <v>60.63</v>
      </c>
      <c r="L58" s="1">
        <v>100645.8</v>
      </c>
      <c r="M58" s="7" t="s">
        <v>593</v>
      </c>
      <c r="N58" s="1" t="s">
        <v>2225</v>
      </c>
      <c r="O58" s="1">
        <v>8033</v>
      </c>
    </row>
    <row r="59" spans="1:15">
      <c r="A59" s="56">
        <v>46092</v>
      </c>
      <c r="B59" s="56">
        <v>46091</v>
      </c>
      <c r="C59" s="1">
        <v>60010</v>
      </c>
      <c r="D59" s="7" t="s">
        <v>36</v>
      </c>
      <c r="E59" s="1" t="s">
        <v>2588</v>
      </c>
      <c r="F59" s="1" t="s">
        <v>2587</v>
      </c>
      <c r="G59" s="1" t="s">
        <v>39</v>
      </c>
      <c r="H59" s="1" t="s">
        <v>2592</v>
      </c>
      <c r="I59" s="1" t="s">
        <v>2591</v>
      </c>
      <c r="J59" s="1">
        <v>1044</v>
      </c>
      <c r="K59" s="1">
        <v>58.46</v>
      </c>
      <c r="L59" s="1">
        <v>61032.24</v>
      </c>
      <c r="M59" s="7" t="s">
        <v>2591</v>
      </c>
      <c r="N59" s="1" t="s">
        <v>2222</v>
      </c>
      <c r="O59" s="1">
        <v>8033</v>
      </c>
    </row>
    <row r="60" spans="1:15">
      <c r="A60" s="56">
        <v>46092</v>
      </c>
      <c r="B60" s="56">
        <v>46091</v>
      </c>
      <c r="C60" s="1">
        <v>60010</v>
      </c>
      <c r="D60" s="7" t="s">
        <v>36</v>
      </c>
      <c r="E60" s="1" t="s">
        <v>2588</v>
      </c>
      <c r="F60" s="1" t="s">
        <v>2587</v>
      </c>
      <c r="G60" s="1" t="s">
        <v>39</v>
      </c>
      <c r="H60" s="1" t="s">
        <v>2594</v>
      </c>
      <c r="I60" s="1" t="s">
        <v>2593</v>
      </c>
      <c r="J60" s="1">
        <v>240</v>
      </c>
      <c r="K60" s="1">
        <v>37.450000000000003</v>
      </c>
      <c r="L60" s="1">
        <v>8988</v>
      </c>
      <c r="M60" s="7" t="s">
        <v>2593</v>
      </c>
      <c r="N60" s="1" t="s">
        <v>2222</v>
      </c>
      <c r="O60" s="1">
        <v>8033</v>
      </c>
    </row>
    <row r="61" spans="1:15">
      <c r="A61" s="56">
        <v>46092</v>
      </c>
      <c r="B61" s="56">
        <v>46091</v>
      </c>
      <c r="C61" s="1">
        <v>60010</v>
      </c>
      <c r="D61" s="7" t="s">
        <v>36</v>
      </c>
      <c r="E61" s="1" t="s">
        <v>2588</v>
      </c>
      <c r="F61" s="1" t="s">
        <v>2587</v>
      </c>
      <c r="G61" s="1" t="s">
        <v>39</v>
      </c>
      <c r="H61" s="1" t="s">
        <v>840</v>
      </c>
      <c r="I61" s="1" t="s">
        <v>838</v>
      </c>
      <c r="J61" s="1">
        <v>1800</v>
      </c>
      <c r="K61" s="1">
        <v>1.7</v>
      </c>
      <c r="L61" s="1">
        <v>3060</v>
      </c>
      <c r="M61" s="7" t="s">
        <v>838</v>
      </c>
      <c r="N61" s="1" t="s">
        <v>2225</v>
      </c>
      <c r="O61" s="1">
        <v>8033</v>
      </c>
    </row>
    <row r="62" spans="1:15">
      <c r="A62" s="56">
        <v>46092</v>
      </c>
      <c r="B62" s="56">
        <v>46091</v>
      </c>
      <c r="C62" s="1">
        <v>60010</v>
      </c>
      <c r="D62" s="7" t="s">
        <v>36</v>
      </c>
      <c r="E62" s="1" t="s">
        <v>2588</v>
      </c>
      <c r="F62" s="1" t="s">
        <v>2587</v>
      </c>
      <c r="G62" s="1" t="s">
        <v>39</v>
      </c>
      <c r="H62" s="1" t="s">
        <v>2595</v>
      </c>
      <c r="I62" s="1" t="s">
        <v>832</v>
      </c>
      <c r="J62" s="1">
        <v>500</v>
      </c>
      <c r="K62" s="1">
        <v>1.65</v>
      </c>
      <c r="L62" s="1">
        <v>825</v>
      </c>
      <c r="M62" s="7" t="s">
        <v>832</v>
      </c>
      <c r="N62" s="1" t="s">
        <v>2225</v>
      </c>
      <c r="O62" s="1">
        <v>8033</v>
      </c>
    </row>
    <row r="63" spans="1:15">
      <c r="A63" s="56">
        <v>46092</v>
      </c>
      <c r="B63" s="56">
        <v>46091</v>
      </c>
      <c r="C63" s="1">
        <v>60010</v>
      </c>
      <c r="D63" s="7" t="s">
        <v>36</v>
      </c>
      <c r="E63" s="1" t="s">
        <v>2588</v>
      </c>
      <c r="F63" s="1" t="s">
        <v>2587</v>
      </c>
      <c r="G63" s="1" t="s">
        <v>39</v>
      </c>
      <c r="H63" s="1" t="s">
        <v>2584</v>
      </c>
      <c r="I63" s="1" t="s">
        <v>853</v>
      </c>
      <c r="J63" s="1">
        <v>3000</v>
      </c>
      <c r="K63" s="1">
        <v>0.91</v>
      </c>
      <c r="L63" s="1">
        <v>2730</v>
      </c>
      <c r="M63" s="7" t="s">
        <v>853</v>
      </c>
      <c r="N63" s="1" t="s">
        <v>2225</v>
      </c>
      <c r="O63" s="1">
        <v>8033</v>
      </c>
    </row>
    <row r="64" spans="1:15">
      <c r="A64" s="56">
        <v>46092</v>
      </c>
      <c r="B64" s="56">
        <v>46091</v>
      </c>
      <c r="C64" s="1">
        <v>60010</v>
      </c>
      <c r="D64" s="7" t="s">
        <v>36</v>
      </c>
      <c r="E64" s="1" t="s">
        <v>2588</v>
      </c>
      <c r="F64" s="1" t="s">
        <v>2587</v>
      </c>
      <c r="G64" s="1" t="s">
        <v>39</v>
      </c>
      <c r="H64" s="1" t="s">
        <v>846</v>
      </c>
      <c r="I64" s="1" t="s">
        <v>844</v>
      </c>
      <c r="J64" s="1">
        <v>1600</v>
      </c>
      <c r="K64" s="1">
        <v>8.7799999999999994</v>
      </c>
      <c r="L64" s="1">
        <v>14048</v>
      </c>
      <c r="M64" s="7" t="s">
        <v>844</v>
      </c>
      <c r="N64" s="1" t="s">
        <v>2225</v>
      </c>
      <c r="O64" s="1">
        <v>8033</v>
      </c>
    </row>
    <row r="65" spans="1:15">
      <c r="A65" s="56">
        <v>46093</v>
      </c>
      <c r="B65" s="56">
        <v>46092</v>
      </c>
      <c r="C65" s="1">
        <v>60011</v>
      </c>
      <c r="D65" s="7" t="s">
        <v>33</v>
      </c>
      <c r="E65" s="1" t="s">
        <v>2597</v>
      </c>
      <c r="F65" s="1" t="s">
        <v>2596</v>
      </c>
      <c r="G65" s="1" t="s">
        <v>38</v>
      </c>
      <c r="H65" s="1" t="s">
        <v>2493</v>
      </c>
      <c r="I65" s="1">
        <v>108222129</v>
      </c>
      <c r="J65" s="1">
        <v>1220</v>
      </c>
      <c r="K65" s="1">
        <v>197.34</v>
      </c>
      <c r="L65" s="1">
        <v>240754.8</v>
      </c>
      <c r="M65" s="7" t="s">
        <v>874</v>
      </c>
      <c r="N65" s="1" t="s">
        <v>2222</v>
      </c>
      <c r="O65" s="1">
        <v>9121</v>
      </c>
    </row>
    <row r="66" spans="1:15">
      <c r="A66" s="56">
        <v>46093</v>
      </c>
      <c r="B66" s="56">
        <v>46092</v>
      </c>
      <c r="C66" s="1">
        <v>60011</v>
      </c>
      <c r="D66" s="7" t="s">
        <v>33</v>
      </c>
      <c r="E66" s="1" t="s">
        <v>2597</v>
      </c>
      <c r="F66" s="1" t="s">
        <v>2596</v>
      </c>
      <c r="G66" s="1" t="s">
        <v>38</v>
      </c>
      <c r="H66" s="1" t="s">
        <v>2598</v>
      </c>
      <c r="I66" s="1">
        <v>108222201</v>
      </c>
      <c r="J66" s="1">
        <v>1000</v>
      </c>
      <c r="K66" s="1">
        <v>291.19</v>
      </c>
      <c r="L66" s="1">
        <v>291190</v>
      </c>
      <c r="M66" s="7" t="s">
        <v>881</v>
      </c>
      <c r="N66" s="1" t="s">
        <v>2222</v>
      </c>
      <c r="O66" s="1">
        <v>9121</v>
      </c>
    </row>
    <row r="67" spans="1:15">
      <c r="A67" s="56">
        <v>46093</v>
      </c>
      <c r="B67" s="56">
        <v>46092</v>
      </c>
      <c r="C67" s="1">
        <v>60011</v>
      </c>
      <c r="D67" s="7" t="s">
        <v>33</v>
      </c>
      <c r="E67" s="1" t="s">
        <v>2597</v>
      </c>
      <c r="F67" s="1" t="s">
        <v>2596</v>
      </c>
      <c r="G67" s="1" t="s">
        <v>38</v>
      </c>
      <c r="H67" s="1" t="s">
        <v>2599</v>
      </c>
      <c r="I67" s="1" t="s">
        <v>891</v>
      </c>
      <c r="J67" s="1">
        <v>550</v>
      </c>
      <c r="K67" s="1">
        <v>309.63</v>
      </c>
      <c r="L67" s="1">
        <v>170296.5</v>
      </c>
      <c r="M67" s="7" t="s">
        <v>891</v>
      </c>
      <c r="N67" s="1" t="s">
        <v>2222</v>
      </c>
      <c r="O67" s="1">
        <v>9121</v>
      </c>
    </row>
    <row r="68" spans="1:15">
      <c r="A68" s="56">
        <v>46094</v>
      </c>
      <c r="B68" s="56">
        <v>46093</v>
      </c>
      <c r="C68" s="1">
        <v>60011</v>
      </c>
      <c r="D68" s="7" t="s">
        <v>35</v>
      </c>
      <c r="E68" s="1" t="s">
        <v>2601</v>
      </c>
      <c r="F68" s="1" t="s">
        <v>2600</v>
      </c>
      <c r="G68" s="1" t="s">
        <v>38</v>
      </c>
      <c r="H68" s="1" t="s">
        <v>2581</v>
      </c>
      <c r="I68" s="1">
        <v>110222545</v>
      </c>
      <c r="J68" s="1">
        <v>492</v>
      </c>
      <c r="K68" s="1">
        <v>151.51</v>
      </c>
      <c r="L68" s="1">
        <v>74542.92</v>
      </c>
      <c r="M68" s="7" t="s">
        <v>2154</v>
      </c>
      <c r="N68" s="1" t="s">
        <v>2222</v>
      </c>
      <c r="O68" s="1">
        <v>9121</v>
      </c>
    </row>
    <row r="69" spans="1:15">
      <c r="A69" s="56">
        <v>46094</v>
      </c>
      <c r="B69" s="56">
        <v>46093</v>
      </c>
      <c r="C69" s="1">
        <v>60011</v>
      </c>
      <c r="D69" s="7" t="s">
        <v>35</v>
      </c>
      <c r="E69" s="1" t="s">
        <v>2601</v>
      </c>
      <c r="F69" s="1" t="s">
        <v>2600</v>
      </c>
      <c r="G69" s="1" t="s">
        <v>38</v>
      </c>
      <c r="H69" s="1" t="s">
        <v>2602</v>
      </c>
      <c r="I69" s="1">
        <v>110240549</v>
      </c>
      <c r="J69" s="1">
        <v>600</v>
      </c>
      <c r="K69" s="1">
        <v>156.26</v>
      </c>
      <c r="L69" s="1">
        <v>93756</v>
      </c>
      <c r="M69" s="7" t="s">
        <v>2156</v>
      </c>
      <c r="N69" s="1" t="s">
        <v>2222</v>
      </c>
      <c r="O69" s="1">
        <v>9121</v>
      </c>
    </row>
    <row r="70" spans="1:15">
      <c r="A70" s="56">
        <v>46094</v>
      </c>
      <c r="B70" s="56">
        <v>46093</v>
      </c>
      <c r="C70" s="1">
        <v>60011</v>
      </c>
      <c r="D70" s="7" t="s">
        <v>35</v>
      </c>
      <c r="E70" s="1" t="s">
        <v>2601</v>
      </c>
      <c r="F70" s="1" t="s">
        <v>2600</v>
      </c>
      <c r="G70" s="1" t="s">
        <v>38</v>
      </c>
      <c r="H70" s="1" t="s">
        <v>2518</v>
      </c>
      <c r="I70" s="1" t="s">
        <v>2171</v>
      </c>
      <c r="J70" s="1">
        <v>72</v>
      </c>
      <c r="K70" s="1">
        <v>157.02000000000001</v>
      </c>
      <c r="L70" s="1">
        <v>11305.44</v>
      </c>
      <c r="M70" s="7" t="s">
        <v>2171</v>
      </c>
      <c r="N70" s="1" t="s">
        <v>2222</v>
      </c>
      <c r="O70" s="1">
        <v>9121</v>
      </c>
    </row>
    <row r="71" spans="1:15">
      <c r="A71" s="56">
        <v>46094</v>
      </c>
      <c r="B71" s="56">
        <v>46093</v>
      </c>
      <c r="C71" s="1">
        <v>60011</v>
      </c>
      <c r="D71" s="7" t="s">
        <v>35</v>
      </c>
      <c r="E71" s="1" t="s">
        <v>2601</v>
      </c>
      <c r="F71" s="1" t="s">
        <v>2600</v>
      </c>
      <c r="G71" s="1" t="s">
        <v>38</v>
      </c>
      <c r="H71" s="1" t="s">
        <v>2603</v>
      </c>
      <c r="I71" s="1" t="s">
        <v>2173</v>
      </c>
      <c r="J71" s="1">
        <v>120</v>
      </c>
      <c r="K71" s="1">
        <v>166.61</v>
      </c>
      <c r="L71" s="1">
        <v>19993.2</v>
      </c>
      <c r="M71" s="7" t="s">
        <v>2173</v>
      </c>
      <c r="N71" s="1" t="s">
        <v>2222</v>
      </c>
      <c r="O71" s="1">
        <v>9121</v>
      </c>
    </row>
    <row r="72" spans="1:15">
      <c r="A72" s="56">
        <v>46094</v>
      </c>
      <c r="B72" s="56">
        <v>46091</v>
      </c>
      <c r="C72" s="1">
        <v>60011</v>
      </c>
      <c r="D72" s="7" t="s">
        <v>33</v>
      </c>
      <c r="E72" s="1" t="s">
        <v>2605</v>
      </c>
      <c r="F72" s="1" t="s">
        <v>2604</v>
      </c>
      <c r="G72" s="1" t="s">
        <v>38</v>
      </c>
      <c r="H72" s="1" t="s">
        <v>2493</v>
      </c>
      <c r="I72" s="1">
        <v>108222129</v>
      </c>
      <c r="J72" s="1">
        <v>962</v>
      </c>
      <c r="K72" s="1">
        <v>197.34</v>
      </c>
      <c r="L72" s="1">
        <v>189841.08</v>
      </c>
      <c r="M72" s="7" t="s">
        <v>874</v>
      </c>
      <c r="N72" s="1" t="s">
        <v>2222</v>
      </c>
      <c r="O72" s="1">
        <v>9121</v>
      </c>
    </row>
    <row r="73" spans="1:15">
      <c r="A73" s="56">
        <v>46094</v>
      </c>
      <c r="B73" s="56">
        <v>46091</v>
      </c>
      <c r="C73" s="1">
        <v>60011</v>
      </c>
      <c r="D73" s="7" t="s">
        <v>33</v>
      </c>
      <c r="E73" s="1" t="s">
        <v>2605</v>
      </c>
      <c r="F73" s="1" t="s">
        <v>2604</v>
      </c>
      <c r="G73" s="1" t="s">
        <v>38</v>
      </c>
      <c r="H73" s="1" t="s">
        <v>2494</v>
      </c>
      <c r="I73" s="1">
        <v>108230131</v>
      </c>
      <c r="J73" s="1">
        <v>1012</v>
      </c>
      <c r="K73" s="1">
        <v>202.33</v>
      </c>
      <c r="L73" s="1">
        <v>204757.96000000002</v>
      </c>
      <c r="M73" s="7" t="s">
        <v>875</v>
      </c>
      <c r="N73" s="1" t="s">
        <v>2222</v>
      </c>
      <c r="O73" s="1">
        <v>9121</v>
      </c>
    </row>
    <row r="74" spans="1:15">
      <c r="A74" s="56">
        <v>46094</v>
      </c>
      <c r="B74" s="56">
        <v>46091</v>
      </c>
      <c r="C74" s="1">
        <v>60011</v>
      </c>
      <c r="D74" s="7" t="s">
        <v>33</v>
      </c>
      <c r="E74" s="1" t="s">
        <v>2605</v>
      </c>
      <c r="F74" s="1" t="s">
        <v>2604</v>
      </c>
      <c r="G74" s="1" t="s">
        <v>38</v>
      </c>
      <c r="H74" s="1" t="s">
        <v>2519</v>
      </c>
      <c r="I74" s="1" t="s">
        <v>882</v>
      </c>
      <c r="J74" s="1">
        <v>240</v>
      </c>
      <c r="K74" s="1">
        <v>430.39</v>
      </c>
      <c r="L74" s="1">
        <v>103293.6</v>
      </c>
      <c r="M74" s="7" t="s">
        <v>882</v>
      </c>
      <c r="N74" s="1" t="s">
        <v>2222</v>
      </c>
      <c r="O74" s="1">
        <v>9121</v>
      </c>
    </row>
    <row r="75" spans="1:15">
      <c r="A75" s="56">
        <v>46094</v>
      </c>
      <c r="B75" s="56">
        <v>46091</v>
      </c>
      <c r="C75" s="1">
        <v>60011</v>
      </c>
      <c r="D75" s="7" t="s">
        <v>33</v>
      </c>
      <c r="E75" s="1" t="s">
        <v>2605</v>
      </c>
      <c r="F75" s="1" t="s">
        <v>2604</v>
      </c>
      <c r="G75" s="1" t="s">
        <v>38</v>
      </c>
      <c r="H75" s="1" t="s">
        <v>2607</v>
      </c>
      <c r="I75" s="1" t="s">
        <v>913</v>
      </c>
      <c r="J75" s="1">
        <v>500</v>
      </c>
      <c r="K75" s="1">
        <v>336.1</v>
      </c>
      <c r="L75" s="1">
        <v>168050</v>
      </c>
      <c r="M75" s="7" t="s">
        <v>913</v>
      </c>
      <c r="N75" s="1" t="s">
        <v>2222</v>
      </c>
      <c r="O75" s="1">
        <v>9121</v>
      </c>
    </row>
    <row r="76" spans="1:15">
      <c r="A76" s="56">
        <v>46094</v>
      </c>
      <c r="B76" s="56">
        <v>46093</v>
      </c>
      <c r="C76" s="1">
        <v>60011</v>
      </c>
      <c r="D76" s="7" t="s">
        <v>33</v>
      </c>
      <c r="E76" s="1" t="s">
        <v>2609</v>
      </c>
      <c r="F76" s="1" t="s">
        <v>2608</v>
      </c>
      <c r="G76" s="1" t="s">
        <v>38</v>
      </c>
      <c r="H76" s="1" t="s">
        <v>2610</v>
      </c>
      <c r="I76" s="1">
        <v>108222128</v>
      </c>
      <c r="J76" s="1">
        <v>800</v>
      </c>
      <c r="K76" s="1">
        <v>198.16</v>
      </c>
      <c r="L76" s="1">
        <v>158528</v>
      </c>
      <c r="M76" s="7" t="s">
        <v>877</v>
      </c>
      <c r="N76" s="1" t="s">
        <v>2222</v>
      </c>
      <c r="O76" s="1">
        <v>9121</v>
      </c>
    </row>
    <row r="77" spans="1:15">
      <c r="A77" s="56">
        <v>46094</v>
      </c>
      <c r="B77" s="56">
        <v>46093</v>
      </c>
      <c r="C77" s="1">
        <v>60011</v>
      </c>
      <c r="D77" s="7" t="s">
        <v>33</v>
      </c>
      <c r="E77" s="1" t="s">
        <v>2609</v>
      </c>
      <c r="F77" s="1" t="s">
        <v>2608</v>
      </c>
      <c r="G77" s="1" t="s">
        <v>38</v>
      </c>
      <c r="H77" s="1" t="s">
        <v>2493</v>
      </c>
      <c r="I77" s="1">
        <v>108222129</v>
      </c>
      <c r="J77" s="1">
        <v>1436</v>
      </c>
      <c r="K77" s="1">
        <v>197.34</v>
      </c>
      <c r="L77" s="1">
        <v>283380.24</v>
      </c>
      <c r="M77" s="7" t="s">
        <v>874</v>
      </c>
      <c r="N77" s="1" t="s">
        <v>2222</v>
      </c>
      <c r="O77" s="1">
        <v>9121</v>
      </c>
    </row>
    <row r="78" spans="1:15">
      <c r="A78" s="56">
        <v>46094</v>
      </c>
      <c r="B78" s="56">
        <v>46093</v>
      </c>
      <c r="C78" s="1">
        <v>60011</v>
      </c>
      <c r="D78" s="7" t="s">
        <v>33</v>
      </c>
      <c r="E78" s="1" t="s">
        <v>2609</v>
      </c>
      <c r="F78" s="1" t="s">
        <v>2608</v>
      </c>
      <c r="G78" s="1" t="s">
        <v>38</v>
      </c>
      <c r="H78" s="1" t="s">
        <v>2598</v>
      </c>
      <c r="I78" s="1">
        <v>108222201</v>
      </c>
      <c r="J78" s="1">
        <v>660</v>
      </c>
      <c r="K78" s="1">
        <v>291.19</v>
      </c>
      <c r="L78" s="1">
        <v>192185.4</v>
      </c>
      <c r="M78" s="7" t="s">
        <v>881</v>
      </c>
      <c r="N78" s="1" t="s">
        <v>2222</v>
      </c>
      <c r="O78" s="1">
        <v>9121</v>
      </c>
    </row>
    <row r="79" spans="1:15">
      <c r="A79" s="56">
        <v>46094</v>
      </c>
      <c r="B79" s="56">
        <v>46093</v>
      </c>
      <c r="C79" s="1">
        <v>60010</v>
      </c>
      <c r="D79" s="7" t="s">
        <v>33</v>
      </c>
      <c r="E79" s="1" t="s">
        <v>2609</v>
      </c>
      <c r="F79" s="1" t="s">
        <v>2608</v>
      </c>
      <c r="G79" s="1" t="s">
        <v>38</v>
      </c>
      <c r="H79" s="1" t="s">
        <v>2612</v>
      </c>
      <c r="I79" s="1" t="s">
        <v>2611</v>
      </c>
      <c r="J79" s="1">
        <v>20</v>
      </c>
      <c r="K79" s="1">
        <v>4.93</v>
      </c>
      <c r="L79" s="1">
        <v>98.6</v>
      </c>
      <c r="M79" s="7" t="s">
        <v>2611</v>
      </c>
      <c r="N79" s="1" t="s">
        <v>2222</v>
      </c>
      <c r="O79" s="1">
        <v>8033</v>
      </c>
    </row>
    <row r="80" spans="1:15">
      <c r="A80" s="56">
        <v>46094</v>
      </c>
      <c r="B80" s="56">
        <v>46093</v>
      </c>
      <c r="C80" s="1">
        <v>60010</v>
      </c>
      <c r="D80" s="7" t="s">
        <v>33</v>
      </c>
      <c r="E80" s="1" t="s">
        <v>2609</v>
      </c>
      <c r="F80" s="1" t="s">
        <v>2608</v>
      </c>
      <c r="G80" s="1" t="s">
        <v>38</v>
      </c>
      <c r="H80" s="1" t="s">
        <v>2614</v>
      </c>
      <c r="I80" s="1" t="s">
        <v>2613</v>
      </c>
      <c r="J80" s="1">
        <v>10</v>
      </c>
      <c r="K80" s="1">
        <v>3</v>
      </c>
      <c r="L80" s="1">
        <v>30</v>
      </c>
      <c r="M80" s="7" t="s">
        <v>2613</v>
      </c>
      <c r="N80" s="1" t="s">
        <v>2222</v>
      </c>
      <c r="O80" s="1">
        <v>8033</v>
      </c>
    </row>
    <row r="81" spans="1:15">
      <c r="A81" s="56">
        <v>46094</v>
      </c>
      <c r="B81" s="56">
        <v>46093</v>
      </c>
      <c r="C81" s="1">
        <v>60010</v>
      </c>
      <c r="D81" s="7" t="s">
        <v>33</v>
      </c>
      <c r="E81" s="1" t="s">
        <v>2609</v>
      </c>
      <c r="F81" s="1" t="s">
        <v>2608</v>
      </c>
      <c r="G81" s="1" t="s">
        <v>38</v>
      </c>
      <c r="H81" s="1" t="s">
        <v>2615</v>
      </c>
      <c r="I81" s="1" t="s">
        <v>1058</v>
      </c>
      <c r="J81" s="1">
        <v>50</v>
      </c>
      <c r="K81" s="1">
        <v>26</v>
      </c>
      <c r="L81" s="1">
        <v>1300</v>
      </c>
      <c r="M81" s="7" t="s">
        <v>1058</v>
      </c>
      <c r="N81" s="1" t="s">
        <v>2222</v>
      </c>
      <c r="O81" s="1">
        <v>8033</v>
      </c>
    </row>
    <row r="82" spans="1:15">
      <c r="A82" s="56">
        <v>46094</v>
      </c>
      <c r="B82" s="56">
        <v>46093</v>
      </c>
      <c r="C82" s="1">
        <v>60010</v>
      </c>
      <c r="D82" s="7" t="s">
        <v>33</v>
      </c>
      <c r="E82" s="1" t="s">
        <v>2609</v>
      </c>
      <c r="F82" s="1" t="s">
        <v>2608</v>
      </c>
      <c r="G82" s="1" t="s">
        <v>38</v>
      </c>
      <c r="H82" s="1" t="s">
        <v>2617</v>
      </c>
      <c r="I82" s="1" t="s">
        <v>2616</v>
      </c>
      <c r="J82" s="1">
        <v>10</v>
      </c>
      <c r="K82" s="1">
        <v>5</v>
      </c>
      <c r="L82" s="1">
        <v>50</v>
      </c>
      <c r="M82" s="7" t="s">
        <v>2616</v>
      </c>
      <c r="N82" s="1" t="s">
        <v>2222</v>
      </c>
      <c r="O82" s="1">
        <v>8033</v>
      </c>
    </row>
    <row r="83" spans="1:15">
      <c r="A83" s="56">
        <v>46094</v>
      </c>
      <c r="B83" s="56">
        <v>46093</v>
      </c>
      <c r="C83" s="1">
        <v>60010</v>
      </c>
      <c r="D83" s="7" t="s">
        <v>33</v>
      </c>
      <c r="E83" s="1" t="s">
        <v>2609</v>
      </c>
      <c r="F83" s="1" t="s">
        <v>2608</v>
      </c>
      <c r="G83" s="1" t="s">
        <v>38</v>
      </c>
      <c r="H83" s="1" t="s">
        <v>2618</v>
      </c>
      <c r="I83" s="1" t="s">
        <v>1139</v>
      </c>
      <c r="J83" s="1">
        <v>300</v>
      </c>
      <c r="K83" s="1">
        <v>2</v>
      </c>
      <c r="L83" s="1">
        <v>600</v>
      </c>
      <c r="M83" s="7" t="s">
        <v>1139</v>
      </c>
      <c r="N83" s="1" t="s">
        <v>2222</v>
      </c>
      <c r="O83" s="1">
        <v>8033</v>
      </c>
    </row>
    <row r="84" spans="1:15">
      <c r="A84" s="56">
        <v>46095</v>
      </c>
      <c r="B84" s="56">
        <v>46081</v>
      </c>
      <c r="C84" s="1">
        <v>60010</v>
      </c>
      <c r="D84" s="7" t="s">
        <v>36</v>
      </c>
      <c r="E84" s="1" t="s">
        <v>2620</v>
      </c>
      <c r="F84" s="1" t="s">
        <v>2619</v>
      </c>
      <c r="G84" s="1" t="s">
        <v>39</v>
      </c>
      <c r="H84" s="1" t="s">
        <v>2528</v>
      </c>
      <c r="I84" s="1" t="s">
        <v>2527</v>
      </c>
      <c r="J84" s="1">
        <v>100</v>
      </c>
      <c r="K84" s="1">
        <v>314.69</v>
      </c>
      <c r="L84" s="1">
        <v>31469</v>
      </c>
      <c r="M84" s="7" t="s">
        <v>2527</v>
      </c>
      <c r="N84" s="1" t="s">
        <v>2222</v>
      </c>
      <c r="O84" s="1">
        <v>8033</v>
      </c>
    </row>
    <row r="85" spans="1:15">
      <c r="A85" s="56">
        <v>46095</v>
      </c>
      <c r="B85" s="56">
        <v>46081</v>
      </c>
      <c r="C85" s="1">
        <v>60010</v>
      </c>
      <c r="D85" s="7" t="s">
        <v>36</v>
      </c>
      <c r="E85" s="1" t="s">
        <v>2620</v>
      </c>
      <c r="F85" s="1" t="s">
        <v>2619</v>
      </c>
      <c r="G85" s="1" t="s">
        <v>39</v>
      </c>
      <c r="H85" s="1" t="s">
        <v>2621</v>
      </c>
      <c r="I85" s="1" t="s">
        <v>437</v>
      </c>
      <c r="J85" s="1">
        <v>108</v>
      </c>
      <c r="K85" s="1">
        <v>200.55</v>
      </c>
      <c r="L85" s="1">
        <v>21659.4</v>
      </c>
      <c r="M85" s="7" t="s">
        <v>437</v>
      </c>
      <c r="N85" s="1" t="s">
        <v>2225</v>
      </c>
      <c r="O85" s="1">
        <v>8033</v>
      </c>
    </row>
    <row r="86" spans="1:15">
      <c r="A86" s="56">
        <v>46095</v>
      </c>
      <c r="B86" s="56">
        <v>46081</v>
      </c>
      <c r="C86" s="1">
        <v>60010</v>
      </c>
      <c r="D86" s="7" t="s">
        <v>36</v>
      </c>
      <c r="E86" s="1" t="s">
        <v>2620</v>
      </c>
      <c r="F86" s="1" t="s">
        <v>2619</v>
      </c>
      <c r="G86" s="1" t="s">
        <v>39</v>
      </c>
      <c r="H86" s="1" t="s">
        <v>2622</v>
      </c>
      <c r="I86" s="1" t="s">
        <v>446</v>
      </c>
      <c r="J86" s="1">
        <v>600</v>
      </c>
      <c r="K86" s="1">
        <v>197.28</v>
      </c>
      <c r="L86" s="1">
        <v>118368</v>
      </c>
      <c r="M86" s="7" t="s">
        <v>446</v>
      </c>
      <c r="N86" s="1" t="s">
        <v>2225</v>
      </c>
      <c r="O86" s="1">
        <v>8033</v>
      </c>
    </row>
    <row r="87" spans="1:15">
      <c r="A87" s="56">
        <v>46095</v>
      </c>
      <c r="B87" s="56">
        <v>46081</v>
      </c>
      <c r="C87" s="1">
        <v>60010</v>
      </c>
      <c r="D87" s="7" t="s">
        <v>36</v>
      </c>
      <c r="E87" s="1" t="s">
        <v>2620</v>
      </c>
      <c r="F87" s="1" t="s">
        <v>2619</v>
      </c>
      <c r="G87" s="1" t="s">
        <v>39</v>
      </c>
      <c r="H87" s="1" t="s">
        <v>2623</v>
      </c>
      <c r="I87" s="1" t="s">
        <v>417</v>
      </c>
      <c r="J87" s="1">
        <v>200</v>
      </c>
      <c r="K87" s="1">
        <v>185.88</v>
      </c>
      <c r="L87" s="1">
        <v>37176</v>
      </c>
      <c r="M87" s="7" t="s">
        <v>417</v>
      </c>
      <c r="N87" s="1" t="s">
        <v>2225</v>
      </c>
      <c r="O87" s="1">
        <v>8033</v>
      </c>
    </row>
    <row r="88" spans="1:15">
      <c r="A88" s="56">
        <v>46095</v>
      </c>
      <c r="B88" s="56">
        <v>46081</v>
      </c>
      <c r="C88" s="1">
        <v>60010</v>
      </c>
      <c r="D88" s="7" t="s">
        <v>36</v>
      </c>
      <c r="E88" s="1" t="s">
        <v>2620</v>
      </c>
      <c r="F88" s="1" t="s">
        <v>2619</v>
      </c>
      <c r="G88" s="1" t="s">
        <v>39</v>
      </c>
      <c r="H88" s="1" t="s">
        <v>2443</v>
      </c>
      <c r="I88" s="1" t="s">
        <v>422</v>
      </c>
      <c r="J88" s="1">
        <v>600</v>
      </c>
      <c r="K88" s="1">
        <v>146.57</v>
      </c>
      <c r="L88" s="1">
        <v>87942</v>
      </c>
      <c r="M88" s="7" t="s">
        <v>422</v>
      </c>
      <c r="N88" s="1" t="s">
        <v>2225</v>
      </c>
      <c r="O88" s="1">
        <v>8033</v>
      </c>
    </row>
    <row r="89" spans="1:15">
      <c r="A89" s="56">
        <v>46095</v>
      </c>
      <c r="B89" s="56">
        <v>46081</v>
      </c>
      <c r="C89" s="1">
        <v>60010</v>
      </c>
      <c r="D89" s="7" t="s">
        <v>36</v>
      </c>
      <c r="E89" s="1" t="s">
        <v>2620</v>
      </c>
      <c r="F89" s="1" t="s">
        <v>2619</v>
      </c>
      <c r="G89" s="1" t="s">
        <v>39</v>
      </c>
      <c r="H89" s="1" t="s">
        <v>2624</v>
      </c>
      <c r="I89" s="1" t="s">
        <v>282</v>
      </c>
      <c r="J89" s="1">
        <v>2100</v>
      </c>
      <c r="K89" s="1">
        <v>116.74</v>
      </c>
      <c r="L89" s="1">
        <v>245154</v>
      </c>
      <c r="M89" s="7" t="s">
        <v>282</v>
      </c>
      <c r="N89" s="1" t="s">
        <v>2225</v>
      </c>
      <c r="O89" s="1">
        <v>8033</v>
      </c>
    </row>
    <row r="90" spans="1:15">
      <c r="A90" s="56">
        <v>46095</v>
      </c>
      <c r="B90" s="56">
        <v>46081</v>
      </c>
      <c r="C90" s="1">
        <v>60010</v>
      </c>
      <c r="D90" s="7" t="s">
        <v>36</v>
      </c>
      <c r="E90" s="1" t="s">
        <v>2620</v>
      </c>
      <c r="F90" s="1" t="s">
        <v>2619</v>
      </c>
      <c r="G90" s="1" t="s">
        <v>39</v>
      </c>
      <c r="H90" s="1" t="s">
        <v>2625</v>
      </c>
      <c r="I90" s="1" t="s">
        <v>292</v>
      </c>
      <c r="J90" s="1">
        <v>600</v>
      </c>
      <c r="K90" s="1">
        <v>119.66</v>
      </c>
      <c r="L90" s="1">
        <v>71796</v>
      </c>
      <c r="M90" s="7" t="s">
        <v>292</v>
      </c>
      <c r="N90" s="1" t="s">
        <v>2225</v>
      </c>
      <c r="O90" s="1">
        <v>8033</v>
      </c>
    </row>
    <row r="91" spans="1:15">
      <c r="A91" s="56">
        <v>46095</v>
      </c>
      <c r="B91" s="56">
        <v>46081</v>
      </c>
      <c r="C91" s="1">
        <v>60010</v>
      </c>
      <c r="D91" s="7" t="s">
        <v>36</v>
      </c>
      <c r="E91" s="1" t="s">
        <v>2620</v>
      </c>
      <c r="F91" s="1" t="s">
        <v>2619</v>
      </c>
      <c r="G91" s="1" t="s">
        <v>39</v>
      </c>
      <c r="H91" s="1" t="s">
        <v>2626</v>
      </c>
      <c r="I91" s="1" t="s">
        <v>378</v>
      </c>
      <c r="J91" s="1">
        <v>300</v>
      </c>
      <c r="K91" s="1">
        <v>122.37</v>
      </c>
      <c r="L91" s="1">
        <v>36711</v>
      </c>
      <c r="M91" s="7" t="s">
        <v>378</v>
      </c>
      <c r="N91" s="1" t="s">
        <v>2225</v>
      </c>
      <c r="O91" s="1">
        <v>8033</v>
      </c>
    </row>
    <row r="92" spans="1:15">
      <c r="A92" s="56">
        <v>46095</v>
      </c>
      <c r="B92" s="56">
        <v>46081</v>
      </c>
      <c r="C92" s="1">
        <v>60010</v>
      </c>
      <c r="D92" s="7" t="s">
        <v>36</v>
      </c>
      <c r="E92" s="1" t="s">
        <v>2620</v>
      </c>
      <c r="F92" s="1" t="s">
        <v>2619</v>
      </c>
      <c r="G92" s="1" t="s">
        <v>39</v>
      </c>
      <c r="H92" s="1" t="s">
        <v>2627</v>
      </c>
      <c r="I92" s="1" t="s">
        <v>381</v>
      </c>
      <c r="J92" s="1">
        <v>600</v>
      </c>
      <c r="K92" s="1">
        <v>122.37</v>
      </c>
      <c r="L92" s="1">
        <v>73422</v>
      </c>
      <c r="M92" s="7" t="s">
        <v>381</v>
      </c>
      <c r="N92" s="1" t="s">
        <v>2225</v>
      </c>
      <c r="O92" s="1">
        <v>8033</v>
      </c>
    </row>
    <row r="93" spans="1:15">
      <c r="A93" s="56">
        <v>46095</v>
      </c>
      <c r="B93" s="56">
        <v>46081</v>
      </c>
      <c r="C93" s="1">
        <v>60010</v>
      </c>
      <c r="D93" s="7" t="s">
        <v>36</v>
      </c>
      <c r="E93" s="1" t="s">
        <v>2620</v>
      </c>
      <c r="F93" s="1" t="s">
        <v>2619</v>
      </c>
      <c r="G93" s="1" t="s">
        <v>39</v>
      </c>
      <c r="H93" s="1" t="s">
        <v>2444</v>
      </c>
      <c r="I93" s="1" t="s">
        <v>787</v>
      </c>
      <c r="J93" s="1">
        <v>900</v>
      </c>
      <c r="K93" s="1">
        <v>121.79</v>
      </c>
      <c r="L93" s="1">
        <v>109611</v>
      </c>
      <c r="M93" s="7" t="s">
        <v>787</v>
      </c>
      <c r="N93" s="1" t="s">
        <v>2225</v>
      </c>
      <c r="O93" s="1">
        <v>8033</v>
      </c>
    </row>
    <row r="94" spans="1:15">
      <c r="A94" s="56">
        <v>46095</v>
      </c>
      <c r="B94" s="56">
        <v>46081</v>
      </c>
      <c r="C94" s="1">
        <v>60010</v>
      </c>
      <c r="D94" s="7" t="s">
        <v>36</v>
      </c>
      <c r="E94" s="1" t="s">
        <v>2620</v>
      </c>
      <c r="F94" s="1" t="s">
        <v>2619</v>
      </c>
      <c r="G94" s="1" t="s">
        <v>39</v>
      </c>
      <c r="H94" s="1" t="s">
        <v>2628</v>
      </c>
      <c r="I94" s="1" t="s">
        <v>384</v>
      </c>
      <c r="J94" s="1">
        <v>30</v>
      </c>
      <c r="K94" s="1">
        <v>122.34</v>
      </c>
      <c r="L94" s="1">
        <v>3670.2</v>
      </c>
      <c r="M94" s="7" t="s">
        <v>384</v>
      </c>
      <c r="N94" s="1" t="s">
        <v>2225</v>
      </c>
      <c r="O94" s="1">
        <v>8033</v>
      </c>
    </row>
    <row r="95" spans="1:15">
      <c r="A95" s="56">
        <v>46095</v>
      </c>
      <c r="B95" s="56">
        <v>46081</v>
      </c>
      <c r="C95" s="1">
        <v>60010</v>
      </c>
      <c r="D95" s="7" t="s">
        <v>36</v>
      </c>
      <c r="E95" s="1" t="s">
        <v>2620</v>
      </c>
      <c r="F95" s="1" t="s">
        <v>2619</v>
      </c>
      <c r="G95" s="1" t="s">
        <v>39</v>
      </c>
      <c r="H95" s="1" t="s">
        <v>2629</v>
      </c>
      <c r="I95" s="1" t="s">
        <v>799</v>
      </c>
      <c r="J95" s="1">
        <v>600</v>
      </c>
      <c r="K95" s="1">
        <v>137.03</v>
      </c>
      <c r="L95" s="1">
        <v>82218</v>
      </c>
      <c r="M95" s="7" t="s">
        <v>799</v>
      </c>
      <c r="N95" s="1" t="s">
        <v>2225</v>
      </c>
      <c r="O95" s="1">
        <v>8033</v>
      </c>
    </row>
    <row r="96" spans="1:15">
      <c r="A96" s="56">
        <v>46095</v>
      </c>
      <c r="B96" s="56">
        <v>46081</v>
      </c>
      <c r="C96" s="1">
        <v>60010</v>
      </c>
      <c r="D96" s="7" t="s">
        <v>36</v>
      </c>
      <c r="E96" s="1" t="s">
        <v>2620</v>
      </c>
      <c r="F96" s="1" t="s">
        <v>2619</v>
      </c>
      <c r="G96" s="1" t="s">
        <v>39</v>
      </c>
      <c r="H96" s="1" t="s">
        <v>2630</v>
      </c>
      <c r="I96" s="1" t="s">
        <v>802</v>
      </c>
      <c r="J96" s="1">
        <v>300</v>
      </c>
      <c r="K96" s="1">
        <v>141.93</v>
      </c>
      <c r="L96" s="1">
        <v>42579</v>
      </c>
      <c r="M96" s="7" t="s">
        <v>802</v>
      </c>
      <c r="N96" s="1" t="s">
        <v>2225</v>
      </c>
      <c r="O96" s="1">
        <v>8033</v>
      </c>
    </row>
    <row r="97" spans="1:15">
      <c r="A97" s="56">
        <v>46095</v>
      </c>
      <c r="B97" s="56">
        <v>46081</v>
      </c>
      <c r="C97" s="1">
        <v>60010</v>
      </c>
      <c r="D97" s="7" t="s">
        <v>36</v>
      </c>
      <c r="E97" s="1" t="s">
        <v>2620</v>
      </c>
      <c r="F97" s="1" t="s">
        <v>2619</v>
      </c>
      <c r="G97" s="1" t="s">
        <v>39</v>
      </c>
      <c r="H97" s="1" t="s">
        <v>840</v>
      </c>
      <c r="I97" s="1" t="s">
        <v>838</v>
      </c>
      <c r="J97" s="1">
        <v>6500</v>
      </c>
      <c r="K97" s="1">
        <v>1.7</v>
      </c>
      <c r="L97" s="1">
        <v>11050</v>
      </c>
      <c r="M97" s="7" t="s">
        <v>838</v>
      </c>
      <c r="N97" s="1" t="s">
        <v>2225</v>
      </c>
      <c r="O97" s="1">
        <v>8033</v>
      </c>
    </row>
    <row r="98" spans="1:15">
      <c r="A98" s="56">
        <v>46095</v>
      </c>
      <c r="B98" s="56">
        <v>46081</v>
      </c>
      <c r="C98" s="1">
        <v>60010</v>
      </c>
      <c r="D98" s="7" t="s">
        <v>36</v>
      </c>
      <c r="E98" s="1" t="s">
        <v>2620</v>
      </c>
      <c r="F98" s="1" t="s">
        <v>2619</v>
      </c>
      <c r="G98" s="1" t="s">
        <v>39</v>
      </c>
      <c r="H98" s="1" t="s">
        <v>2595</v>
      </c>
      <c r="I98" s="1" t="s">
        <v>832</v>
      </c>
      <c r="J98" s="1">
        <v>5000</v>
      </c>
      <c r="K98" s="1">
        <v>1.65</v>
      </c>
      <c r="L98" s="1">
        <v>8250</v>
      </c>
      <c r="M98" s="7" t="s">
        <v>832</v>
      </c>
      <c r="N98" s="1" t="s">
        <v>2225</v>
      </c>
      <c r="O98" s="1">
        <v>8033</v>
      </c>
    </row>
    <row r="99" spans="1:15">
      <c r="A99" s="56">
        <v>46095</v>
      </c>
      <c r="B99" s="56">
        <v>46081</v>
      </c>
      <c r="C99" s="1">
        <v>60010</v>
      </c>
      <c r="D99" s="7" t="s">
        <v>36</v>
      </c>
      <c r="E99" s="1" t="s">
        <v>2620</v>
      </c>
      <c r="F99" s="1" t="s">
        <v>2619</v>
      </c>
      <c r="G99" s="1" t="s">
        <v>39</v>
      </c>
      <c r="H99" s="1" t="s">
        <v>2631</v>
      </c>
      <c r="I99" s="1" t="s">
        <v>862</v>
      </c>
      <c r="J99" s="1">
        <v>5100</v>
      </c>
      <c r="K99" s="1">
        <v>1.6</v>
      </c>
      <c r="L99" s="1">
        <v>8160</v>
      </c>
      <c r="M99" s="7" t="s">
        <v>862</v>
      </c>
      <c r="N99" s="1" t="s">
        <v>2225</v>
      </c>
      <c r="O99" s="1">
        <v>8033</v>
      </c>
    </row>
    <row r="100" spans="1:15">
      <c r="A100" s="56">
        <v>46095</v>
      </c>
      <c r="B100" s="56">
        <v>46081</v>
      </c>
      <c r="C100" s="1">
        <v>60010</v>
      </c>
      <c r="D100" s="7" t="s">
        <v>36</v>
      </c>
      <c r="E100" s="1" t="s">
        <v>2620</v>
      </c>
      <c r="F100" s="1" t="s">
        <v>2619</v>
      </c>
      <c r="G100" s="1" t="s">
        <v>39</v>
      </c>
      <c r="H100" s="1" t="s">
        <v>2632</v>
      </c>
      <c r="I100" s="1" t="s">
        <v>847</v>
      </c>
      <c r="J100" s="1">
        <v>5000</v>
      </c>
      <c r="K100" s="1">
        <v>0.82</v>
      </c>
      <c r="L100" s="1">
        <v>4100</v>
      </c>
      <c r="M100" s="7" t="s">
        <v>847</v>
      </c>
      <c r="N100" s="1" t="s">
        <v>2225</v>
      </c>
      <c r="O100" s="1">
        <v>8033</v>
      </c>
    </row>
    <row r="101" spans="1:15">
      <c r="A101" s="56">
        <v>46095</v>
      </c>
      <c r="B101" s="56">
        <v>46081</v>
      </c>
      <c r="C101" s="1">
        <v>60010</v>
      </c>
      <c r="D101" s="7" t="s">
        <v>36</v>
      </c>
      <c r="E101" s="1" t="s">
        <v>2620</v>
      </c>
      <c r="F101" s="1" t="s">
        <v>2619</v>
      </c>
      <c r="G101" s="1" t="s">
        <v>39</v>
      </c>
      <c r="H101" s="1" t="s">
        <v>2584</v>
      </c>
      <c r="I101" s="1" t="s">
        <v>853</v>
      </c>
      <c r="J101" s="1">
        <v>3000</v>
      </c>
      <c r="K101" s="1">
        <v>0.91</v>
      </c>
      <c r="L101" s="1">
        <v>2730</v>
      </c>
      <c r="M101" s="7" t="s">
        <v>853</v>
      </c>
      <c r="N101" s="1" t="s">
        <v>2225</v>
      </c>
      <c r="O101" s="1">
        <v>8033</v>
      </c>
    </row>
    <row r="102" spans="1:15">
      <c r="A102" s="56">
        <v>46095</v>
      </c>
      <c r="B102" s="56">
        <v>46081</v>
      </c>
      <c r="C102" s="1">
        <v>60010</v>
      </c>
      <c r="D102" s="7" t="s">
        <v>36</v>
      </c>
      <c r="E102" s="1" t="s">
        <v>2620</v>
      </c>
      <c r="F102" s="1" t="s">
        <v>2619</v>
      </c>
      <c r="G102" s="1" t="s">
        <v>39</v>
      </c>
      <c r="H102" s="1" t="s">
        <v>858</v>
      </c>
      <c r="I102" s="1" t="s">
        <v>856</v>
      </c>
      <c r="J102" s="1">
        <v>4600</v>
      </c>
      <c r="K102" s="1">
        <v>1.25</v>
      </c>
      <c r="L102" s="1">
        <v>5750</v>
      </c>
      <c r="M102" s="7" t="s">
        <v>856</v>
      </c>
      <c r="N102" s="1" t="s">
        <v>2225</v>
      </c>
      <c r="O102" s="1">
        <v>8033</v>
      </c>
    </row>
    <row r="103" spans="1:15">
      <c r="A103" s="56">
        <v>46095</v>
      </c>
      <c r="B103" s="56">
        <v>46081</v>
      </c>
      <c r="C103" s="1">
        <v>60010</v>
      </c>
      <c r="D103" s="7" t="s">
        <v>36</v>
      </c>
      <c r="E103" s="1" t="s">
        <v>2620</v>
      </c>
      <c r="F103" s="1" t="s">
        <v>2619</v>
      </c>
      <c r="G103" s="1" t="s">
        <v>39</v>
      </c>
      <c r="H103" s="1" t="s">
        <v>2633</v>
      </c>
      <c r="I103" s="1" t="s">
        <v>778</v>
      </c>
      <c r="J103" s="1">
        <v>8000</v>
      </c>
      <c r="K103" s="1">
        <v>1.19</v>
      </c>
      <c r="L103" s="1">
        <v>9520</v>
      </c>
      <c r="M103" s="7" t="s">
        <v>778</v>
      </c>
      <c r="N103" s="1" t="s">
        <v>2225</v>
      </c>
      <c r="O103" s="1">
        <v>8033</v>
      </c>
    </row>
    <row r="104" spans="1:15">
      <c r="A104" s="56">
        <v>46095</v>
      </c>
      <c r="B104" s="56">
        <v>46081</v>
      </c>
      <c r="C104" s="1">
        <v>60010</v>
      </c>
      <c r="D104" s="7" t="s">
        <v>36</v>
      </c>
      <c r="E104" s="1" t="s">
        <v>2620</v>
      </c>
      <c r="F104" s="1" t="s">
        <v>2619</v>
      </c>
      <c r="G104" s="1" t="s">
        <v>39</v>
      </c>
      <c r="H104" s="1" t="s">
        <v>843</v>
      </c>
      <c r="I104" s="1" t="s">
        <v>841</v>
      </c>
      <c r="J104" s="1">
        <v>2000</v>
      </c>
      <c r="K104" s="1">
        <v>10.4</v>
      </c>
      <c r="L104" s="1">
        <v>20800</v>
      </c>
      <c r="M104" s="7" t="s">
        <v>841</v>
      </c>
      <c r="N104" s="1" t="s">
        <v>2225</v>
      </c>
      <c r="O104" s="1">
        <v>8033</v>
      </c>
    </row>
    <row r="105" spans="1:15">
      <c r="A105" s="56">
        <v>46095</v>
      </c>
      <c r="B105" s="56">
        <v>46093</v>
      </c>
      <c r="C105" s="1">
        <v>60010</v>
      </c>
      <c r="D105" s="7" t="s">
        <v>36</v>
      </c>
      <c r="E105" s="1" t="s">
        <v>2635</v>
      </c>
      <c r="F105" s="1" t="s">
        <v>2634</v>
      </c>
      <c r="G105" s="1" t="s">
        <v>39</v>
      </c>
      <c r="H105" s="1" t="s">
        <v>2637</v>
      </c>
      <c r="I105" s="1" t="s">
        <v>2636</v>
      </c>
      <c r="J105" s="1">
        <v>986</v>
      </c>
      <c r="K105" s="1">
        <v>152.25</v>
      </c>
      <c r="L105" s="1">
        <v>150118.5</v>
      </c>
      <c r="M105" s="7" t="s">
        <v>2636</v>
      </c>
      <c r="N105" s="1" t="s">
        <v>2222</v>
      </c>
      <c r="O105" s="1">
        <v>8033</v>
      </c>
    </row>
    <row r="106" spans="1:15">
      <c r="A106" s="56">
        <v>46095</v>
      </c>
      <c r="B106" s="56">
        <v>46093</v>
      </c>
      <c r="C106" s="1">
        <v>60010</v>
      </c>
      <c r="D106" s="7" t="s">
        <v>36</v>
      </c>
      <c r="E106" s="1" t="s">
        <v>2635</v>
      </c>
      <c r="F106" s="1" t="s">
        <v>2634</v>
      </c>
      <c r="G106" s="1" t="s">
        <v>39</v>
      </c>
      <c r="H106" s="1" t="s">
        <v>2623</v>
      </c>
      <c r="I106" s="1" t="s">
        <v>417</v>
      </c>
      <c r="J106" s="1">
        <v>100</v>
      </c>
      <c r="K106" s="1">
        <v>185.88</v>
      </c>
      <c r="L106" s="1">
        <v>18588</v>
      </c>
      <c r="M106" s="7" t="s">
        <v>417</v>
      </c>
      <c r="N106" s="1" t="s">
        <v>2225</v>
      </c>
      <c r="O106" s="1">
        <v>8033</v>
      </c>
    </row>
    <row r="107" spans="1:15">
      <c r="A107" s="56">
        <v>46095</v>
      </c>
      <c r="B107" s="56">
        <v>46093</v>
      </c>
      <c r="C107" s="1">
        <v>60010</v>
      </c>
      <c r="D107" s="7" t="s">
        <v>36</v>
      </c>
      <c r="E107" s="1" t="s">
        <v>2635</v>
      </c>
      <c r="F107" s="1" t="s">
        <v>2634</v>
      </c>
      <c r="G107" s="1" t="s">
        <v>39</v>
      </c>
      <c r="H107" s="1" t="s">
        <v>2638</v>
      </c>
      <c r="I107" s="1" t="s">
        <v>368</v>
      </c>
      <c r="J107" s="1">
        <v>1500</v>
      </c>
      <c r="K107" s="1">
        <v>127.52</v>
      </c>
      <c r="L107" s="1">
        <v>191280</v>
      </c>
      <c r="M107" s="7" t="s">
        <v>368</v>
      </c>
      <c r="N107" s="1" t="s">
        <v>2225</v>
      </c>
      <c r="O107" s="1">
        <v>8033</v>
      </c>
    </row>
    <row r="108" spans="1:15">
      <c r="A108" s="56">
        <v>46095</v>
      </c>
      <c r="B108" s="56">
        <v>46093</v>
      </c>
      <c r="C108" s="1">
        <v>60010</v>
      </c>
      <c r="D108" s="7" t="s">
        <v>36</v>
      </c>
      <c r="E108" s="1" t="s">
        <v>2635</v>
      </c>
      <c r="F108" s="1" t="s">
        <v>2634</v>
      </c>
      <c r="G108" s="1" t="s">
        <v>39</v>
      </c>
      <c r="H108" s="1" t="s">
        <v>2639</v>
      </c>
      <c r="I108" s="1" t="s">
        <v>811</v>
      </c>
      <c r="J108" s="1">
        <v>1560</v>
      </c>
      <c r="K108" s="1">
        <v>111.42</v>
      </c>
      <c r="L108" s="1">
        <v>173815.19999999998</v>
      </c>
      <c r="M108" s="7" t="s">
        <v>811</v>
      </c>
      <c r="N108" s="1" t="s">
        <v>2225</v>
      </c>
      <c r="O108" s="1">
        <v>8033</v>
      </c>
    </row>
    <row r="109" spans="1:15">
      <c r="A109" s="56">
        <v>46095</v>
      </c>
      <c r="B109" s="56">
        <v>46093</v>
      </c>
      <c r="C109" s="1">
        <v>60010</v>
      </c>
      <c r="D109" s="7" t="s">
        <v>36</v>
      </c>
      <c r="E109" s="1" t="s">
        <v>2635</v>
      </c>
      <c r="F109" s="1" t="s">
        <v>2634</v>
      </c>
      <c r="G109" s="1" t="s">
        <v>39</v>
      </c>
      <c r="H109" s="1" t="s">
        <v>2640</v>
      </c>
      <c r="I109" s="1" t="s">
        <v>818</v>
      </c>
      <c r="J109" s="1">
        <v>190</v>
      </c>
      <c r="K109" s="1">
        <v>110.49</v>
      </c>
      <c r="L109" s="1">
        <v>20993.1</v>
      </c>
      <c r="M109" s="7" t="s">
        <v>818</v>
      </c>
      <c r="N109" s="1" t="s">
        <v>2225</v>
      </c>
      <c r="O109" s="1">
        <v>8033</v>
      </c>
    </row>
    <row r="110" spans="1:15">
      <c r="A110" s="56">
        <v>46095</v>
      </c>
      <c r="B110" s="56">
        <v>46093</v>
      </c>
      <c r="C110" s="1">
        <v>60010</v>
      </c>
      <c r="D110" s="7" t="s">
        <v>36</v>
      </c>
      <c r="E110" s="1" t="s">
        <v>2635</v>
      </c>
      <c r="F110" s="1" t="s">
        <v>2634</v>
      </c>
      <c r="G110" s="1" t="s">
        <v>39</v>
      </c>
      <c r="H110" s="1" t="s">
        <v>2626</v>
      </c>
      <c r="I110" s="1" t="s">
        <v>378</v>
      </c>
      <c r="J110" s="1">
        <v>260</v>
      </c>
      <c r="K110" s="1">
        <v>122.37</v>
      </c>
      <c r="L110" s="1">
        <v>31816.2</v>
      </c>
      <c r="M110" s="7" t="s">
        <v>378</v>
      </c>
      <c r="N110" s="1" t="s">
        <v>2225</v>
      </c>
      <c r="O110" s="1">
        <v>8033</v>
      </c>
    </row>
    <row r="111" spans="1:15">
      <c r="A111" s="56">
        <v>46095</v>
      </c>
      <c r="B111" s="56">
        <v>46093</v>
      </c>
      <c r="C111" s="1">
        <v>60010</v>
      </c>
      <c r="D111" s="7" t="s">
        <v>36</v>
      </c>
      <c r="E111" s="1" t="s">
        <v>2635</v>
      </c>
      <c r="F111" s="1" t="s">
        <v>2634</v>
      </c>
      <c r="G111" s="1" t="s">
        <v>39</v>
      </c>
      <c r="H111" s="1" t="s">
        <v>2444</v>
      </c>
      <c r="I111" s="1" t="s">
        <v>787</v>
      </c>
      <c r="J111" s="1">
        <v>440</v>
      </c>
      <c r="K111" s="1">
        <v>121.79</v>
      </c>
      <c r="L111" s="1">
        <v>53587.6</v>
      </c>
      <c r="M111" s="7" t="s">
        <v>787</v>
      </c>
      <c r="N111" s="1" t="s">
        <v>2225</v>
      </c>
      <c r="O111" s="1">
        <v>8033</v>
      </c>
    </row>
    <row r="112" spans="1:15">
      <c r="A112" s="56">
        <v>46095</v>
      </c>
      <c r="B112" s="56">
        <v>46093</v>
      </c>
      <c r="C112" s="1">
        <v>60010</v>
      </c>
      <c r="D112" s="7" t="s">
        <v>36</v>
      </c>
      <c r="E112" s="1" t="s">
        <v>2635</v>
      </c>
      <c r="F112" s="1" t="s">
        <v>2634</v>
      </c>
      <c r="G112" s="1" t="s">
        <v>39</v>
      </c>
      <c r="H112" s="1" t="s">
        <v>2628</v>
      </c>
      <c r="I112" s="1" t="s">
        <v>384</v>
      </c>
      <c r="J112" s="1">
        <v>480</v>
      </c>
      <c r="K112" s="1">
        <v>122.34</v>
      </c>
      <c r="L112" s="1">
        <v>58723.199999999997</v>
      </c>
      <c r="M112" s="7" t="s">
        <v>384</v>
      </c>
      <c r="N112" s="1" t="s">
        <v>2225</v>
      </c>
      <c r="O112" s="1">
        <v>8033</v>
      </c>
    </row>
    <row r="113" spans="1:15">
      <c r="A113" s="56">
        <v>46095</v>
      </c>
      <c r="B113" s="56">
        <v>46093</v>
      </c>
      <c r="C113" s="1">
        <v>60010</v>
      </c>
      <c r="D113" s="7" t="s">
        <v>36</v>
      </c>
      <c r="E113" s="1" t="s">
        <v>2635</v>
      </c>
      <c r="F113" s="1" t="s">
        <v>2634</v>
      </c>
      <c r="G113" s="1" t="s">
        <v>39</v>
      </c>
      <c r="H113" s="1" t="s">
        <v>2445</v>
      </c>
      <c r="I113" s="1" t="s">
        <v>793</v>
      </c>
      <c r="J113" s="1">
        <v>1560</v>
      </c>
      <c r="K113" s="1">
        <v>127.44</v>
      </c>
      <c r="L113" s="1">
        <v>198806.40000000002</v>
      </c>
      <c r="M113" s="7" t="s">
        <v>793</v>
      </c>
      <c r="N113" s="1" t="s">
        <v>2225</v>
      </c>
      <c r="O113" s="1">
        <v>8033</v>
      </c>
    </row>
    <row r="114" spans="1:15">
      <c r="A114" s="56">
        <v>46095</v>
      </c>
      <c r="B114" s="56">
        <v>46093</v>
      </c>
      <c r="C114" s="1">
        <v>60010</v>
      </c>
      <c r="D114" s="7" t="s">
        <v>36</v>
      </c>
      <c r="E114" s="1" t="s">
        <v>2635</v>
      </c>
      <c r="F114" s="1" t="s">
        <v>2634</v>
      </c>
      <c r="G114" s="1" t="s">
        <v>39</v>
      </c>
      <c r="H114" s="1" t="s">
        <v>2641</v>
      </c>
      <c r="I114" s="1" t="s">
        <v>390</v>
      </c>
      <c r="J114" s="1">
        <v>120</v>
      </c>
      <c r="K114" s="1">
        <v>137.58000000000001</v>
      </c>
      <c r="L114" s="1">
        <v>16509.599999999999</v>
      </c>
      <c r="M114" s="7" t="s">
        <v>390</v>
      </c>
      <c r="N114" s="1" t="s">
        <v>2225</v>
      </c>
      <c r="O114" s="1">
        <v>8033</v>
      </c>
    </row>
    <row r="115" spans="1:15">
      <c r="A115" s="56">
        <v>46095</v>
      </c>
      <c r="B115" s="56">
        <v>46093</v>
      </c>
      <c r="C115" s="1">
        <v>60010</v>
      </c>
      <c r="D115" s="7" t="s">
        <v>36</v>
      </c>
      <c r="E115" s="1" t="s">
        <v>2635</v>
      </c>
      <c r="F115" s="1" t="s">
        <v>2634</v>
      </c>
      <c r="G115" s="1" t="s">
        <v>39</v>
      </c>
      <c r="H115" s="1" t="s">
        <v>2642</v>
      </c>
      <c r="I115" s="1" t="s">
        <v>805</v>
      </c>
      <c r="J115" s="1">
        <v>200</v>
      </c>
      <c r="K115" s="1">
        <v>141.94999999999999</v>
      </c>
      <c r="L115" s="1">
        <v>28390</v>
      </c>
      <c r="M115" s="7" t="s">
        <v>805</v>
      </c>
      <c r="N115" s="1" t="s">
        <v>2225</v>
      </c>
      <c r="O115" s="1">
        <v>8033</v>
      </c>
    </row>
    <row r="116" spans="1:15">
      <c r="A116" s="56">
        <v>46095</v>
      </c>
      <c r="B116" s="56">
        <v>46093</v>
      </c>
      <c r="C116" s="1">
        <v>60010</v>
      </c>
      <c r="D116" s="7" t="s">
        <v>36</v>
      </c>
      <c r="E116" s="1" t="s">
        <v>2635</v>
      </c>
      <c r="F116" s="1" t="s">
        <v>2634</v>
      </c>
      <c r="G116" s="1" t="s">
        <v>39</v>
      </c>
      <c r="H116" s="1" t="s">
        <v>783</v>
      </c>
      <c r="I116" s="1" t="s">
        <v>781</v>
      </c>
      <c r="J116" s="1">
        <v>12000</v>
      </c>
      <c r="K116" s="1">
        <v>0.57999999999999996</v>
      </c>
      <c r="L116" s="1">
        <v>6960</v>
      </c>
      <c r="M116" s="7" t="s">
        <v>781</v>
      </c>
      <c r="N116" s="1" t="s">
        <v>2225</v>
      </c>
      <c r="O116" s="1">
        <v>8033</v>
      </c>
    </row>
    <row r="117" spans="1:15">
      <c r="A117" s="56">
        <v>46095</v>
      </c>
      <c r="B117" s="56">
        <v>46093</v>
      </c>
      <c r="C117" s="1">
        <v>60010</v>
      </c>
      <c r="D117" s="7" t="s">
        <v>36</v>
      </c>
      <c r="E117" s="1" t="s">
        <v>2635</v>
      </c>
      <c r="F117" s="1" t="s">
        <v>2634</v>
      </c>
      <c r="G117" s="1" t="s">
        <v>39</v>
      </c>
      <c r="H117" s="1" t="s">
        <v>2643</v>
      </c>
      <c r="I117" s="1" t="s">
        <v>859</v>
      </c>
      <c r="J117" s="1">
        <v>5000</v>
      </c>
      <c r="K117" s="1">
        <v>2.0299999999999998</v>
      </c>
      <c r="L117" s="1">
        <v>10150</v>
      </c>
      <c r="M117" s="7" t="s">
        <v>859</v>
      </c>
      <c r="N117" s="1" t="s">
        <v>2225</v>
      </c>
      <c r="O117" s="1">
        <v>8033</v>
      </c>
    </row>
    <row r="118" spans="1:15">
      <c r="A118" s="56">
        <v>46095</v>
      </c>
      <c r="B118" s="56">
        <v>46093</v>
      </c>
      <c r="C118" s="1">
        <v>60010</v>
      </c>
      <c r="D118" s="7" t="s">
        <v>36</v>
      </c>
      <c r="E118" s="1" t="s">
        <v>2635</v>
      </c>
      <c r="F118" s="1" t="s">
        <v>2634</v>
      </c>
      <c r="G118" s="1" t="s">
        <v>39</v>
      </c>
      <c r="H118" s="1" t="s">
        <v>852</v>
      </c>
      <c r="I118" s="1" t="s">
        <v>850</v>
      </c>
      <c r="J118" s="1">
        <v>2500</v>
      </c>
      <c r="K118" s="1">
        <v>1.62</v>
      </c>
      <c r="L118" s="1">
        <v>4050</v>
      </c>
      <c r="M118" s="7" t="s">
        <v>850</v>
      </c>
      <c r="N118" s="1" t="s">
        <v>2225</v>
      </c>
      <c r="O118" s="1">
        <v>8033</v>
      </c>
    </row>
    <row r="119" spans="1:15">
      <c r="A119" s="56">
        <v>46095</v>
      </c>
      <c r="B119" s="56">
        <v>46093</v>
      </c>
      <c r="C119" s="1">
        <v>60010</v>
      </c>
      <c r="D119" s="7" t="s">
        <v>36</v>
      </c>
      <c r="E119" s="1" t="s">
        <v>2635</v>
      </c>
      <c r="F119" s="1" t="s">
        <v>2634</v>
      </c>
      <c r="G119" s="1" t="s">
        <v>39</v>
      </c>
      <c r="H119" s="1" t="s">
        <v>831</v>
      </c>
      <c r="I119" s="1" t="s">
        <v>829</v>
      </c>
      <c r="J119" s="1">
        <v>360</v>
      </c>
      <c r="K119" s="1">
        <v>7.98</v>
      </c>
      <c r="L119" s="1">
        <v>2872.8</v>
      </c>
      <c r="M119" s="7" t="s">
        <v>829</v>
      </c>
      <c r="N119" s="1" t="s">
        <v>2225</v>
      </c>
      <c r="O119" s="1">
        <v>8033</v>
      </c>
    </row>
    <row r="120" spans="1:15">
      <c r="A120" s="56">
        <v>46095</v>
      </c>
      <c r="B120" s="56">
        <v>46093</v>
      </c>
      <c r="C120" s="1">
        <v>60010</v>
      </c>
      <c r="D120" s="7" t="s">
        <v>36</v>
      </c>
      <c r="E120" s="1" t="s">
        <v>2635</v>
      </c>
      <c r="F120" s="1" t="s">
        <v>2634</v>
      </c>
      <c r="G120" s="1" t="s">
        <v>39</v>
      </c>
      <c r="H120" s="1" t="s">
        <v>846</v>
      </c>
      <c r="I120" s="1" t="s">
        <v>844</v>
      </c>
      <c r="J120" s="1">
        <v>2000</v>
      </c>
      <c r="K120" s="1">
        <v>8.7799999999999994</v>
      </c>
      <c r="L120" s="1">
        <v>17560</v>
      </c>
      <c r="M120" s="7" t="s">
        <v>844</v>
      </c>
      <c r="N120" s="1" t="s">
        <v>2225</v>
      </c>
      <c r="O120" s="1">
        <v>8033</v>
      </c>
    </row>
    <row r="121" spans="1:15">
      <c r="A121" s="56">
        <v>46095</v>
      </c>
      <c r="B121" s="56">
        <v>46093</v>
      </c>
      <c r="C121" s="1">
        <v>60010</v>
      </c>
      <c r="D121" s="7" t="s">
        <v>36</v>
      </c>
      <c r="E121" s="1" t="s">
        <v>2635</v>
      </c>
      <c r="F121" s="1" t="s">
        <v>2634</v>
      </c>
      <c r="G121" s="1" t="s">
        <v>39</v>
      </c>
      <c r="H121" s="1" t="s">
        <v>843</v>
      </c>
      <c r="I121" s="1" t="s">
        <v>841</v>
      </c>
      <c r="J121" s="1">
        <v>807</v>
      </c>
      <c r="K121" s="1">
        <v>10.4</v>
      </c>
      <c r="L121" s="1">
        <v>8392.7999999999993</v>
      </c>
      <c r="M121" s="7" t="s">
        <v>841</v>
      </c>
      <c r="N121" s="1" t="s">
        <v>2225</v>
      </c>
      <c r="O121" s="1">
        <v>8033</v>
      </c>
    </row>
    <row r="122" spans="1:15">
      <c r="A122" s="56">
        <v>46097</v>
      </c>
      <c r="B122" s="56">
        <v>46095</v>
      </c>
      <c r="C122" s="1">
        <v>60011</v>
      </c>
      <c r="D122" s="7" t="s">
        <v>33</v>
      </c>
      <c r="E122" s="1" t="s">
        <v>2645</v>
      </c>
      <c r="F122" s="1" t="s">
        <v>2644</v>
      </c>
      <c r="G122" s="1" t="s">
        <v>38</v>
      </c>
      <c r="H122" s="1" t="s">
        <v>2493</v>
      </c>
      <c r="I122" s="1">
        <v>108222129</v>
      </c>
      <c r="J122" s="1">
        <v>726</v>
      </c>
      <c r="K122" s="1">
        <v>197.34</v>
      </c>
      <c r="L122" s="1">
        <v>143268.84</v>
      </c>
      <c r="M122" s="7" t="s">
        <v>874</v>
      </c>
      <c r="N122" s="1" t="s">
        <v>2222</v>
      </c>
      <c r="O122" s="1">
        <v>9121</v>
      </c>
    </row>
    <row r="123" spans="1:15">
      <c r="A123" s="56">
        <v>46097</v>
      </c>
      <c r="B123" s="56">
        <v>46095</v>
      </c>
      <c r="C123" s="1">
        <v>60011</v>
      </c>
      <c r="D123" s="7" t="s">
        <v>33</v>
      </c>
      <c r="E123" s="1" t="s">
        <v>2645</v>
      </c>
      <c r="F123" s="1" t="s">
        <v>2644</v>
      </c>
      <c r="G123" s="1" t="s">
        <v>38</v>
      </c>
      <c r="H123" s="1" t="s">
        <v>2494</v>
      </c>
      <c r="I123" s="1">
        <v>108230131</v>
      </c>
      <c r="J123" s="1">
        <v>206</v>
      </c>
      <c r="K123" s="1">
        <v>202.33</v>
      </c>
      <c r="L123" s="1">
        <v>41679.980000000003</v>
      </c>
      <c r="M123" s="7" t="s">
        <v>875</v>
      </c>
      <c r="N123" s="1" t="s">
        <v>2222</v>
      </c>
      <c r="O123" s="1">
        <v>9121</v>
      </c>
    </row>
    <row r="124" spans="1:15">
      <c r="A124" s="56">
        <v>46097</v>
      </c>
      <c r="B124" s="56">
        <v>46095</v>
      </c>
      <c r="C124" s="1">
        <v>60011</v>
      </c>
      <c r="D124" s="7" t="s">
        <v>33</v>
      </c>
      <c r="E124" s="1" t="s">
        <v>2645</v>
      </c>
      <c r="F124" s="1" t="s">
        <v>2644</v>
      </c>
      <c r="G124" s="1" t="s">
        <v>38</v>
      </c>
      <c r="H124" s="1" t="s">
        <v>2646</v>
      </c>
      <c r="I124" s="1">
        <v>108230202</v>
      </c>
      <c r="J124" s="1">
        <v>1000</v>
      </c>
      <c r="K124" s="1">
        <v>308.87</v>
      </c>
      <c r="L124" s="1">
        <v>308870</v>
      </c>
      <c r="M124" s="7" t="s">
        <v>901</v>
      </c>
      <c r="N124" s="1" t="s">
        <v>2222</v>
      </c>
      <c r="O124" s="1">
        <v>9121</v>
      </c>
    </row>
    <row r="125" spans="1:15">
      <c r="A125" s="56">
        <v>46097</v>
      </c>
      <c r="B125" s="56">
        <v>46095</v>
      </c>
      <c r="C125" s="1">
        <v>60011</v>
      </c>
      <c r="D125" s="7" t="s">
        <v>33</v>
      </c>
      <c r="E125" s="1" t="s">
        <v>2645</v>
      </c>
      <c r="F125" s="1" t="s">
        <v>2644</v>
      </c>
      <c r="G125" s="1" t="s">
        <v>38</v>
      </c>
      <c r="H125" s="1" t="s">
        <v>2535</v>
      </c>
      <c r="I125" s="1" t="s">
        <v>890</v>
      </c>
      <c r="J125" s="1">
        <v>500</v>
      </c>
      <c r="K125" s="1">
        <v>297.85000000000002</v>
      </c>
      <c r="L125" s="1">
        <v>148925</v>
      </c>
      <c r="M125" s="7" t="s">
        <v>890</v>
      </c>
      <c r="N125" s="1" t="s">
        <v>2222</v>
      </c>
      <c r="O125" s="1">
        <v>9121</v>
      </c>
    </row>
    <row r="126" spans="1:15">
      <c r="A126" s="56">
        <v>46097</v>
      </c>
      <c r="B126" s="56">
        <v>46095</v>
      </c>
      <c r="C126" s="1">
        <v>60011</v>
      </c>
      <c r="D126" s="7" t="s">
        <v>33</v>
      </c>
      <c r="E126" s="1" t="s">
        <v>2645</v>
      </c>
      <c r="F126" s="1" t="s">
        <v>2644</v>
      </c>
      <c r="G126" s="1" t="s">
        <v>38</v>
      </c>
      <c r="H126" s="1" t="s">
        <v>2599</v>
      </c>
      <c r="I126" s="1" t="s">
        <v>891</v>
      </c>
      <c r="J126" s="1">
        <v>200</v>
      </c>
      <c r="K126" s="1">
        <v>309.63</v>
      </c>
      <c r="L126" s="1">
        <v>61926</v>
      </c>
      <c r="M126" s="7" t="s">
        <v>891</v>
      </c>
      <c r="N126" s="1" t="s">
        <v>2222</v>
      </c>
      <c r="O126" s="1">
        <v>9121</v>
      </c>
    </row>
    <row r="127" spans="1:15">
      <c r="A127" s="56">
        <v>46098</v>
      </c>
      <c r="B127" s="56">
        <v>46095</v>
      </c>
      <c r="C127" s="1">
        <v>60011</v>
      </c>
      <c r="D127" s="7" t="s">
        <v>33</v>
      </c>
      <c r="E127" s="1" t="s">
        <v>2648</v>
      </c>
      <c r="F127" s="1" t="s">
        <v>2647</v>
      </c>
      <c r="G127" s="1" t="s">
        <v>38</v>
      </c>
      <c r="H127" s="1" t="s">
        <v>2493</v>
      </c>
      <c r="I127" s="1">
        <v>108222129</v>
      </c>
      <c r="J127" s="1">
        <v>1084</v>
      </c>
      <c r="K127" s="1">
        <v>197.34</v>
      </c>
      <c r="L127" s="1">
        <v>213916.56</v>
      </c>
      <c r="M127" s="7" t="s">
        <v>874</v>
      </c>
      <c r="N127" s="1" t="s">
        <v>2222</v>
      </c>
      <c r="O127" s="1">
        <v>9121</v>
      </c>
    </row>
    <row r="128" spans="1:15">
      <c r="A128" s="56">
        <v>46098</v>
      </c>
      <c r="B128" s="56">
        <v>46095</v>
      </c>
      <c r="C128" s="1">
        <v>60011</v>
      </c>
      <c r="D128" s="7" t="s">
        <v>33</v>
      </c>
      <c r="E128" s="1" t="s">
        <v>2648</v>
      </c>
      <c r="F128" s="1" t="s">
        <v>2647</v>
      </c>
      <c r="G128" s="1" t="s">
        <v>38</v>
      </c>
      <c r="H128" s="1" t="s">
        <v>2598</v>
      </c>
      <c r="I128" s="1">
        <v>108222201</v>
      </c>
      <c r="J128" s="1">
        <v>340</v>
      </c>
      <c r="K128" s="1">
        <v>291.19</v>
      </c>
      <c r="L128" s="1">
        <v>99004.6</v>
      </c>
      <c r="M128" s="7" t="s">
        <v>881</v>
      </c>
      <c r="N128" s="1" t="s">
        <v>2222</v>
      </c>
      <c r="O128" s="1">
        <v>9121</v>
      </c>
    </row>
    <row r="129" spans="1:15">
      <c r="A129" s="56">
        <v>46098</v>
      </c>
      <c r="B129" s="56">
        <v>46095</v>
      </c>
      <c r="C129" s="1">
        <v>60011</v>
      </c>
      <c r="D129" s="7" t="s">
        <v>33</v>
      </c>
      <c r="E129" s="1" t="s">
        <v>2648</v>
      </c>
      <c r="F129" s="1" t="s">
        <v>2647</v>
      </c>
      <c r="G129" s="1" t="s">
        <v>38</v>
      </c>
      <c r="H129" s="1" t="s">
        <v>2599</v>
      </c>
      <c r="I129" s="1" t="s">
        <v>891</v>
      </c>
      <c r="J129" s="1">
        <v>750</v>
      </c>
      <c r="K129" s="1">
        <v>309.63</v>
      </c>
      <c r="L129" s="1">
        <v>232222.5</v>
      </c>
      <c r="M129" s="7" t="s">
        <v>891</v>
      </c>
      <c r="N129" s="1" t="s">
        <v>2222</v>
      </c>
      <c r="O129" s="1">
        <v>9121</v>
      </c>
    </row>
    <row r="130" spans="1:15">
      <c r="A130" s="56">
        <v>46098</v>
      </c>
      <c r="B130" s="56">
        <v>46095</v>
      </c>
      <c r="C130" s="1">
        <v>60010</v>
      </c>
      <c r="D130" s="7" t="s">
        <v>33</v>
      </c>
      <c r="E130" s="1" t="s">
        <v>2648</v>
      </c>
      <c r="F130" s="1" t="s">
        <v>2647</v>
      </c>
      <c r="G130" s="1" t="s">
        <v>38</v>
      </c>
      <c r="H130" s="1" t="s">
        <v>2649</v>
      </c>
      <c r="I130" s="1" t="s">
        <v>988</v>
      </c>
      <c r="J130" s="1">
        <v>1525</v>
      </c>
      <c r="K130" s="1">
        <v>81.650000000000006</v>
      </c>
      <c r="L130" s="1">
        <v>124516.25</v>
      </c>
      <c r="M130" s="7" t="s">
        <v>988</v>
      </c>
      <c r="N130" s="1" t="s">
        <v>2222</v>
      </c>
      <c r="O130" s="1">
        <v>8033</v>
      </c>
    </row>
    <row r="131" spans="1:15">
      <c r="A131" s="56">
        <v>46100</v>
      </c>
      <c r="B131" s="56">
        <v>46098</v>
      </c>
      <c r="C131" s="1">
        <v>60010</v>
      </c>
      <c r="D131" s="7" t="s">
        <v>36</v>
      </c>
      <c r="E131" s="1" t="s">
        <v>2651</v>
      </c>
      <c r="F131" s="1" t="s">
        <v>2650</v>
      </c>
      <c r="G131" s="1" t="s">
        <v>39</v>
      </c>
      <c r="H131" s="1" t="s">
        <v>2589</v>
      </c>
      <c r="I131" s="1" t="s">
        <v>590</v>
      </c>
      <c r="J131" s="1">
        <v>430</v>
      </c>
      <c r="K131" s="1">
        <v>75.66</v>
      </c>
      <c r="L131" s="1">
        <v>32533.8</v>
      </c>
      <c r="M131" s="7" t="s">
        <v>590</v>
      </c>
      <c r="N131" s="1" t="s">
        <v>2225</v>
      </c>
      <c r="O131" s="1">
        <v>8033</v>
      </c>
    </row>
    <row r="132" spans="1:15">
      <c r="A132" s="56">
        <v>46100</v>
      </c>
      <c r="B132" s="56">
        <v>46098</v>
      </c>
      <c r="C132" s="1">
        <v>60010</v>
      </c>
      <c r="D132" s="7" t="s">
        <v>36</v>
      </c>
      <c r="E132" s="1" t="s">
        <v>2651</v>
      </c>
      <c r="F132" s="1" t="s">
        <v>2650</v>
      </c>
      <c r="G132" s="1" t="s">
        <v>39</v>
      </c>
      <c r="H132" s="1" t="s">
        <v>2652</v>
      </c>
      <c r="I132" s="1" t="s">
        <v>596</v>
      </c>
      <c r="J132" s="1">
        <v>1200</v>
      </c>
      <c r="K132" s="1">
        <v>42.49</v>
      </c>
      <c r="L132" s="1">
        <v>50988</v>
      </c>
      <c r="M132" s="7" t="s">
        <v>596</v>
      </c>
      <c r="N132" s="1" t="s">
        <v>2225</v>
      </c>
      <c r="O132" s="1">
        <v>8033</v>
      </c>
    </row>
    <row r="133" spans="1:15">
      <c r="A133" s="56">
        <v>46100</v>
      </c>
      <c r="B133" s="56">
        <v>46098</v>
      </c>
      <c r="C133" s="1">
        <v>60010</v>
      </c>
      <c r="D133" s="7" t="s">
        <v>36</v>
      </c>
      <c r="E133" s="1" t="s">
        <v>2651</v>
      </c>
      <c r="F133" s="1" t="s">
        <v>2650</v>
      </c>
      <c r="G133" s="1" t="s">
        <v>39</v>
      </c>
      <c r="H133" s="1" t="s">
        <v>2594</v>
      </c>
      <c r="I133" s="1" t="s">
        <v>2593</v>
      </c>
      <c r="J133" s="1">
        <v>139</v>
      </c>
      <c r="K133" s="1">
        <v>37.450000000000003</v>
      </c>
      <c r="L133" s="1">
        <v>5205.55</v>
      </c>
      <c r="M133" s="7" t="s">
        <v>2593</v>
      </c>
      <c r="N133" s="1" t="s">
        <v>2222</v>
      </c>
      <c r="O133" s="1">
        <v>8033</v>
      </c>
    </row>
    <row r="134" spans="1:15">
      <c r="A134" s="56">
        <v>46100</v>
      </c>
      <c r="B134" s="56">
        <v>46098</v>
      </c>
      <c r="C134" s="1">
        <v>60010</v>
      </c>
      <c r="D134" s="7" t="s">
        <v>36</v>
      </c>
      <c r="E134" s="1" t="s">
        <v>2651</v>
      </c>
      <c r="F134" s="1" t="s">
        <v>2650</v>
      </c>
      <c r="G134" s="1" t="s">
        <v>39</v>
      </c>
      <c r="H134" s="1" t="s">
        <v>2654</v>
      </c>
      <c r="I134" s="1" t="s">
        <v>2653</v>
      </c>
      <c r="J134" s="1">
        <v>3639</v>
      </c>
      <c r="K134" s="1">
        <v>20.58</v>
      </c>
      <c r="L134" s="1">
        <v>74890.62</v>
      </c>
      <c r="M134" s="7" t="s">
        <v>2653</v>
      </c>
      <c r="N134" s="1" t="s">
        <v>2222</v>
      </c>
      <c r="O134" s="1">
        <v>8033</v>
      </c>
    </row>
    <row r="135" spans="1:15">
      <c r="A135" s="56">
        <v>46100</v>
      </c>
      <c r="B135" s="56">
        <v>46098</v>
      </c>
      <c r="C135" s="1">
        <v>60011</v>
      </c>
      <c r="D135" s="7" t="s">
        <v>33</v>
      </c>
      <c r="E135" s="1" t="s">
        <v>2656</v>
      </c>
      <c r="F135" s="1" t="s">
        <v>2655</v>
      </c>
      <c r="G135" s="1" t="s">
        <v>38</v>
      </c>
      <c r="H135" s="1" t="s">
        <v>2493</v>
      </c>
      <c r="I135" s="1">
        <v>108222129</v>
      </c>
      <c r="J135" s="1">
        <v>368</v>
      </c>
      <c r="K135" s="1">
        <v>197.34</v>
      </c>
      <c r="L135" s="1">
        <v>72621.119999999995</v>
      </c>
      <c r="M135" s="7" t="s">
        <v>874</v>
      </c>
      <c r="N135" s="1" t="s">
        <v>2222</v>
      </c>
      <c r="O135" s="1">
        <v>9121</v>
      </c>
    </row>
    <row r="136" spans="1:15">
      <c r="A136" s="56">
        <v>46100</v>
      </c>
      <c r="B136" s="56">
        <v>46098</v>
      </c>
      <c r="C136" s="1">
        <v>60011</v>
      </c>
      <c r="D136" s="7" t="s">
        <v>33</v>
      </c>
      <c r="E136" s="1" t="s">
        <v>2656</v>
      </c>
      <c r="F136" s="1" t="s">
        <v>2655</v>
      </c>
      <c r="G136" s="1" t="s">
        <v>38</v>
      </c>
      <c r="H136" s="1" t="s">
        <v>2494</v>
      </c>
      <c r="I136" s="1">
        <v>108230131</v>
      </c>
      <c r="J136" s="1">
        <v>794</v>
      </c>
      <c r="K136" s="1">
        <v>202.33</v>
      </c>
      <c r="L136" s="1">
        <v>160650.02000000002</v>
      </c>
      <c r="M136" s="7" t="s">
        <v>875</v>
      </c>
      <c r="N136" s="1" t="s">
        <v>2222</v>
      </c>
      <c r="O136" s="1">
        <v>9121</v>
      </c>
    </row>
    <row r="137" spans="1:15">
      <c r="A137" s="56">
        <v>46100</v>
      </c>
      <c r="B137" s="56">
        <v>46098</v>
      </c>
      <c r="C137" s="1">
        <v>60011</v>
      </c>
      <c r="D137" s="7" t="s">
        <v>33</v>
      </c>
      <c r="E137" s="1" t="s">
        <v>2656</v>
      </c>
      <c r="F137" s="1" t="s">
        <v>2655</v>
      </c>
      <c r="G137" s="1" t="s">
        <v>38</v>
      </c>
      <c r="H137" s="1" t="s">
        <v>2646</v>
      </c>
      <c r="I137" s="1">
        <v>108230202</v>
      </c>
      <c r="J137" s="1">
        <v>918</v>
      </c>
      <c r="K137" s="1">
        <v>308.87</v>
      </c>
      <c r="L137" s="1">
        <v>283542.66000000003</v>
      </c>
      <c r="M137" s="7" t="s">
        <v>901</v>
      </c>
      <c r="N137" s="1" t="s">
        <v>2222</v>
      </c>
      <c r="O137" s="1">
        <v>9121</v>
      </c>
    </row>
    <row r="138" spans="1:15">
      <c r="A138" s="56">
        <v>46100</v>
      </c>
      <c r="B138" s="56">
        <v>46098</v>
      </c>
      <c r="C138" s="1">
        <v>60011</v>
      </c>
      <c r="D138" s="7" t="s">
        <v>33</v>
      </c>
      <c r="E138" s="1" t="s">
        <v>2656</v>
      </c>
      <c r="F138" s="1" t="s">
        <v>2655</v>
      </c>
      <c r="G138" s="1" t="s">
        <v>38</v>
      </c>
      <c r="H138" s="1" t="s">
        <v>2535</v>
      </c>
      <c r="I138" s="1" t="s">
        <v>890</v>
      </c>
      <c r="J138" s="1">
        <v>500</v>
      </c>
      <c r="K138" s="1">
        <v>297.85000000000002</v>
      </c>
      <c r="L138" s="1">
        <v>148925</v>
      </c>
      <c r="M138" s="7" t="s">
        <v>890</v>
      </c>
      <c r="N138" s="1" t="s">
        <v>2222</v>
      </c>
      <c r="O138" s="1">
        <v>9121</v>
      </c>
    </row>
    <row r="139" spans="1:15">
      <c r="A139" s="56">
        <v>46100</v>
      </c>
      <c r="B139" s="56">
        <v>46098</v>
      </c>
      <c r="C139" s="1">
        <v>60010</v>
      </c>
      <c r="D139" s="7" t="s">
        <v>33</v>
      </c>
      <c r="E139" s="1" t="s">
        <v>2656</v>
      </c>
      <c r="F139" s="1" t="s">
        <v>2655</v>
      </c>
      <c r="G139" s="1" t="s">
        <v>38</v>
      </c>
      <c r="H139" s="1" t="s">
        <v>2658</v>
      </c>
      <c r="I139" s="1" t="s">
        <v>2657</v>
      </c>
      <c r="J139" s="1">
        <v>20</v>
      </c>
      <c r="K139" s="1">
        <v>5</v>
      </c>
      <c r="L139" s="1">
        <v>100</v>
      </c>
      <c r="M139" s="7" t="s">
        <v>2657</v>
      </c>
      <c r="N139" s="1" t="s">
        <v>2222</v>
      </c>
      <c r="O139" s="1">
        <v>8033</v>
      </c>
    </row>
    <row r="140" spans="1:15">
      <c r="A140" s="56">
        <v>46100</v>
      </c>
      <c r="B140" s="56">
        <v>46098</v>
      </c>
      <c r="C140" s="1">
        <v>60010</v>
      </c>
      <c r="D140" s="7" t="s">
        <v>33</v>
      </c>
      <c r="E140" s="1" t="s">
        <v>2656</v>
      </c>
      <c r="F140" s="1" t="s">
        <v>2655</v>
      </c>
      <c r="G140" s="1" t="s">
        <v>38</v>
      </c>
      <c r="H140" s="1" t="s">
        <v>2659</v>
      </c>
      <c r="I140" s="1" t="s">
        <v>1033</v>
      </c>
      <c r="J140" s="1">
        <v>100</v>
      </c>
      <c r="K140" s="1">
        <v>29.3</v>
      </c>
      <c r="L140" s="1">
        <v>2930</v>
      </c>
      <c r="M140" s="7" t="s">
        <v>1033</v>
      </c>
      <c r="N140" s="1" t="s">
        <v>2222</v>
      </c>
      <c r="O140" s="1">
        <v>8033</v>
      </c>
    </row>
    <row r="141" spans="1:15">
      <c r="A141" s="56">
        <v>46100</v>
      </c>
      <c r="B141" s="56">
        <v>46098</v>
      </c>
      <c r="C141" s="1">
        <v>60010</v>
      </c>
      <c r="D141" s="7" t="s">
        <v>33</v>
      </c>
      <c r="E141" s="1" t="s">
        <v>2656</v>
      </c>
      <c r="F141" s="1" t="s">
        <v>2655</v>
      </c>
      <c r="G141" s="1" t="s">
        <v>38</v>
      </c>
      <c r="H141" s="1" t="s">
        <v>2661</v>
      </c>
      <c r="I141" s="1" t="s">
        <v>2660</v>
      </c>
      <c r="J141" s="1">
        <v>10</v>
      </c>
      <c r="K141" s="1">
        <v>3.16</v>
      </c>
      <c r="L141" s="1">
        <v>31.6</v>
      </c>
      <c r="M141" s="7" t="s">
        <v>2660</v>
      </c>
      <c r="N141" s="1" t="s">
        <v>2222</v>
      </c>
      <c r="O141" s="1">
        <v>8033</v>
      </c>
    </row>
    <row r="142" spans="1:15">
      <c r="A142" s="56">
        <v>46100</v>
      </c>
      <c r="B142" s="56">
        <v>46099</v>
      </c>
      <c r="C142" s="1">
        <v>60011</v>
      </c>
      <c r="D142" s="7" t="s">
        <v>33</v>
      </c>
      <c r="E142" s="1" t="s">
        <v>2663</v>
      </c>
      <c r="F142" s="1" t="s">
        <v>2662</v>
      </c>
      <c r="G142" s="1" t="s">
        <v>38</v>
      </c>
      <c r="H142" s="1" t="s">
        <v>2610</v>
      </c>
      <c r="I142" s="1">
        <v>108222128</v>
      </c>
      <c r="J142" s="1">
        <v>1200</v>
      </c>
      <c r="K142" s="1">
        <v>198.16</v>
      </c>
      <c r="L142" s="1">
        <v>237792</v>
      </c>
      <c r="M142" s="7" t="s">
        <v>877</v>
      </c>
      <c r="N142" s="1" t="s">
        <v>2222</v>
      </c>
      <c r="O142" s="1">
        <v>9121</v>
      </c>
    </row>
    <row r="143" spans="1:15">
      <c r="A143" s="56">
        <v>46100</v>
      </c>
      <c r="B143" s="56">
        <v>46099</v>
      </c>
      <c r="C143" s="1">
        <v>60011</v>
      </c>
      <c r="D143" s="7" t="s">
        <v>33</v>
      </c>
      <c r="E143" s="1" t="s">
        <v>2663</v>
      </c>
      <c r="F143" s="1" t="s">
        <v>2662</v>
      </c>
      <c r="G143" s="1" t="s">
        <v>38</v>
      </c>
      <c r="H143" s="1" t="s">
        <v>2493</v>
      </c>
      <c r="I143" s="1">
        <v>108222129</v>
      </c>
      <c r="J143" s="1">
        <v>694</v>
      </c>
      <c r="K143" s="1">
        <v>197.34</v>
      </c>
      <c r="L143" s="1">
        <v>136953.96000000002</v>
      </c>
      <c r="M143" s="7" t="s">
        <v>874</v>
      </c>
      <c r="N143" s="1" t="s">
        <v>2222</v>
      </c>
      <c r="O143" s="1">
        <v>9121</v>
      </c>
    </row>
    <row r="144" spans="1:15">
      <c r="A144" s="56">
        <v>46100</v>
      </c>
      <c r="B144" s="56">
        <v>46099</v>
      </c>
      <c r="C144" s="1">
        <v>60011</v>
      </c>
      <c r="D144" s="7" t="s">
        <v>33</v>
      </c>
      <c r="E144" s="1" t="s">
        <v>2663</v>
      </c>
      <c r="F144" s="1" t="s">
        <v>2662</v>
      </c>
      <c r="G144" s="1" t="s">
        <v>38</v>
      </c>
      <c r="H144" s="1" t="s">
        <v>2664</v>
      </c>
      <c r="I144" s="1" t="s">
        <v>888</v>
      </c>
      <c r="J144" s="1">
        <v>500</v>
      </c>
      <c r="K144" s="1">
        <v>288.19</v>
      </c>
      <c r="L144" s="1">
        <v>144095</v>
      </c>
      <c r="M144" s="7" t="s">
        <v>888</v>
      </c>
      <c r="N144" s="1" t="s">
        <v>2222</v>
      </c>
      <c r="O144" s="1">
        <v>9121</v>
      </c>
    </row>
    <row r="145" spans="1:16">
      <c r="A145" s="56">
        <v>46100</v>
      </c>
      <c r="B145" s="56">
        <v>46099</v>
      </c>
      <c r="C145" s="1">
        <v>60011</v>
      </c>
      <c r="D145" s="7" t="s">
        <v>33</v>
      </c>
      <c r="E145" s="1" t="s">
        <v>2663</v>
      </c>
      <c r="F145" s="1" t="s">
        <v>2662</v>
      </c>
      <c r="G145" s="1" t="s">
        <v>38</v>
      </c>
      <c r="H145" s="1" t="s">
        <v>2543</v>
      </c>
      <c r="I145" s="1" t="s">
        <v>887</v>
      </c>
      <c r="J145" s="1">
        <v>500</v>
      </c>
      <c r="K145" s="1">
        <v>349.77</v>
      </c>
      <c r="L145" s="1">
        <v>174885</v>
      </c>
      <c r="M145" s="7" t="s">
        <v>887</v>
      </c>
      <c r="N145" s="1" t="s">
        <v>2222</v>
      </c>
      <c r="O145" s="1">
        <v>9121</v>
      </c>
    </row>
    <row r="146" spans="1:16">
      <c r="A146" s="56">
        <v>46100</v>
      </c>
      <c r="B146" s="56">
        <v>46100</v>
      </c>
      <c r="C146" s="1">
        <v>60011</v>
      </c>
      <c r="D146" s="7" t="s">
        <v>35</v>
      </c>
      <c r="E146" s="1" t="s">
        <v>2666</v>
      </c>
      <c r="F146" s="1" t="s">
        <v>2665</v>
      </c>
      <c r="G146" s="1" t="s">
        <v>38</v>
      </c>
      <c r="H146" s="1" t="s">
        <v>2518</v>
      </c>
      <c r="I146" s="1" t="s">
        <v>2171</v>
      </c>
      <c r="J146" s="1">
        <v>1410</v>
      </c>
      <c r="K146" s="1">
        <v>157.02000000000001</v>
      </c>
      <c r="L146" s="1">
        <v>221398.2</v>
      </c>
      <c r="M146" s="7" t="s">
        <v>2171</v>
      </c>
      <c r="N146" s="1" t="s">
        <v>2222</v>
      </c>
      <c r="O146" s="1">
        <v>9121</v>
      </c>
    </row>
    <row r="147" spans="1:16">
      <c r="A147" s="56">
        <v>46100</v>
      </c>
      <c r="B147" s="56">
        <v>46100</v>
      </c>
      <c r="C147" s="1">
        <v>60011</v>
      </c>
      <c r="D147" s="7" t="s">
        <v>35</v>
      </c>
      <c r="E147" s="1" t="s">
        <v>2666</v>
      </c>
      <c r="F147" s="1" t="s">
        <v>2665</v>
      </c>
      <c r="G147" s="1" t="s">
        <v>38</v>
      </c>
      <c r="H147" s="1" t="s">
        <v>2667</v>
      </c>
      <c r="I147" s="1" t="s">
        <v>2172</v>
      </c>
      <c r="J147" s="1">
        <v>300</v>
      </c>
      <c r="K147" s="1">
        <v>161.30000000000001</v>
      </c>
      <c r="L147" s="1">
        <v>48390</v>
      </c>
      <c r="M147" s="7" t="s">
        <v>2172</v>
      </c>
      <c r="N147" s="1" t="s">
        <v>2222</v>
      </c>
      <c r="O147" s="1">
        <v>9121</v>
      </c>
    </row>
    <row r="148" spans="1:16">
      <c r="A148" s="56">
        <v>46100</v>
      </c>
      <c r="B148" s="56">
        <v>46100</v>
      </c>
      <c r="C148" s="1">
        <v>60011</v>
      </c>
      <c r="D148" s="7" t="s">
        <v>35</v>
      </c>
      <c r="E148" s="1" t="s">
        <v>2666</v>
      </c>
      <c r="F148" s="1" t="s">
        <v>2665</v>
      </c>
      <c r="G148" s="1" t="s">
        <v>38</v>
      </c>
      <c r="H148" s="1" t="s">
        <v>2603</v>
      </c>
      <c r="I148" s="1" t="s">
        <v>2173</v>
      </c>
      <c r="J148" s="1">
        <v>906</v>
      </c>
      <c r="K148" s="1">
        <v>166.61</v>
      </c>
      <c r="L148" s="1">
        <v>150948.66</v>
      </c>
      <c r="M148" s="7" t="s">
        <v>2173</v>
      </c>
      <c r="N148" s="1" t="s">
        <v>2222</v>
      </c>
      <c r="O148" s="1">
        <v>9121</v>
      </c>
    </row>
    <row r="149" spans="1:16">
      <c r="A149" s="56">
        <v>46104</v>
      </c>
      <c r="B149" s="56">
        <v>46095</v>
      </c>
      <c r="C149" s="1">
        <v>60010</v>
      </c>
      <c r="D149" s="7" t="s">
        <v>36</v>
      </c>
      <c r="E149" s="1" t="s">
        <v>2670</v>
      </c>
      <c r="F149" s="1" t="s">
        <v>2669</v>
      </c>
      <c r="G149" s="1" t="s">
        <v>39</v>
      </c>
      <c r="H149" s="1" t="s">
        <v>2671</v>
      </c>
      <c r="I149" s="1" t="s">
        <v>341</v>
      </c>
      <c r="J149" s="1">
        <v>50</v>
      </c>
      <c r="K149" s="1">
        <v>145.21</v>
      </c>
      <c r="L149" s="1">
        <v>7260.5</v>
      </c>
      <c r="M149" s="7" t="s">
        <v>341</v>
      </c>
      <c r="N149" s="1" t="s">
        <v>2225</v>
      </c>
      <c r="O149" s="1">
        <v>8033</v>
      </c>
    </row>
    <row r="150" spans="1:16">
      <c r="A150" s="56">
        <v>46104</v>
      </c>
      <c r="B150" s="56">
        <v>46095</v>
      </c>
      <c r="C150" s="1">
        <v>60010</v>
      </c>
      <c r="D150" s="7" t="s">
        <v>36</v>
      </c>
      <c r="E150" s="1" t="s">
        <v>2670</v>
      </c>
      <c r="F150" s="1" t="s">
        <v>2669</v>
      </c>
      <c r="G150" s="1" t="s">
        <v>39</v>
      </c>
      <c r="H150" s="1" t="s">
        <v>2672</v>
      </c>
      <c r="I150" s="1" t="s">
        <v>299</v>
      </c>
      <c r="J150" s="1">
        <v>110</v>
      </c>
      <c r="K150" s="1">
        <v>114.95</v>
      </c>
      <c r="L150" s="1">
        <v>12644.5</v>
      </c>
      <c r="M150" s="7" t="s">
        <v>299</v>
      </c>
      <c r="N150" s="1" t="s">
        <v>2225</v>
      </c>
      <c r="O150" s="1">
        <v>8033</v>
      </c>
    </row>
    <row r="151" spans="1:16">
      <c r="A151" s="56">
        <v>46104</v>
      </c>
      <c r="B151" s="56">
        <v>46095</v>
      </c>
      <c r="C151" s="1">
        <v>60010</v>
      </c>
      <c r="D151" s="7" t="s">
        <v>36</v>
      </c>
      <c r="E151" s="1" t="s">
        <v>2670</v>
      </c>
      <c r="F151" s="1" t="s">
        <v>2669</v>
      </c>
      <c r="G151" s="1" t="s">
        <v>39</v>
      </c>
      <c r="H151" s="1" t="s">
        <v>2639</v>
      </c>
      <c r="I151" s="1" t="s">
        <v>811</v>
      </c>
      <c r="J151" s="1">
        <v>1760</v>
      </c>
      <c r="K151" s="1">
        <v>111.42</v>
      </c>
      <c r="L151" s="1">
        <v>196099.20000000001</v>
      </c>
      <c r="M151" s="7" t="s">
        <v>811</v>
      </c>
      <c r="N151" s="1" t="s">
        <v>2225</v>
      </c>
      <c r="O151" s="1">
        <v>8033</v>
      </c>
    </row>
    <row r="152" spans="1:16">
      <c r="A152" s="56">
        <v>46104</v>
      </c>
      <c r="B152" s="56">
        <v>46095</v>
      </c>
      <c r="C152" s="7" t="s">
        <v>2707</v>
      </c>
      <c r="D152" s="7" t="s">
        <v>36</v>
      </c>
      <c r="E152" s="7" t="s">
        <v>2670</v>
      </c>
      <c r="F152" s="7" t="s">
        <v>2669</v>
      </c>
      <c r="G152" s="7" t="s">
        <v>39</v>
      </c>
      <c r="H152" s="7" t="s">
        <v>2640</v>
      </c>
      <c r="I152" s="7" t="s">
        <v>818</v>
      </c>
      <c r="J152" s="7">
        <v>240</v>
      </c>
      <c r="K152" s="7">
        <v>110.49</v>
      </c>
      <c r="L152" s="7">
        <v>26517.599999999999</v>
      </c>
      <c r="M152" s="7" t="s">
        <v>818</v>
      </c>
      <c r="N152" s="7" t="s">
        <v>2225</v>
      </c>
      <c r="O152" s="7" t="s">
        <v>2224</v>
      </c>
      <c r="P152" s="7"/>
    </row>
    <row r="153" spans="1:16">
      <c r="A153" s="56">
        <v>46104</v>
      </c>
      <c r="B153" s="56">
        <v>46095</v>
      </c>
      <c r="C153" s="7" t="s">
        <v>2707</v>
      </c>
      <c r="D153" s="7" t="s">
        <v>36</v>
      </c>
      <c r="E153" s="7" t="s">
        <v>2670</v>
      </c>
      <c r="F153" s="7" t="s">
        <v>2669</v>
      </c>
      <c r="G153" s="7" t="s">
        <v>39</v>
      </c>
      <c r="H153" s="7" t="s">
        <v>2444</v>
      </c>
      <c r="I153" s="7" t="s">
        <v>787</v>
      </c>
      <c r="J153" s="7">
        <v>1050</v>
      </c>
      <c r="K153" s="7">
        <v>121.79</v>
      </c>
      <c r="L153" s="7">
        <v>127879.5</v>
      </c>
      <c r="M153" s="7" t="s">
        <v>787</v>
      </c>
      <c r="N153" s="7" t="s">
        <v>2225</v>
      </c>
      <c r="O153" s="7" t="s">
        <v>2224</v>
      </c>
      <c r="P153" s="7"/>
    </row>
    <row r="154" spans="1:16">
      <c r="A154" s="56">
        <v>46104</v>
      </c>
      <c r="B154" s="56">
        <v>46095</v>
      </c>
      <c r="C154" s="7" t="s">
        <v>2707</v>
      </c>
      <c r="D154" s="7" t="s">
        <v>36</v>
      </c>
      <c r="E154" s="7" t="s">
        <v>2670</v>
      </c>
      <c r="F154" s="7" t="s">
        <v>2669</v>
      </c>
      <c r="G154" s="7" t="s">
        <v>39</v>
      </c>
      <c r="H154" s="7" t="s">
        <v>2673</v>
      </c>
      <c r="I154" s="7" t="s">
        <v>560</v>
      </c>
      <c r="J154" s="7">
        <v>480</v>
      </c>
      <c r="K154" s="7">
        <v>2.81</v>
      </c>
      <c r="L154" s="7">
        <v>1348.8</v>
      </c>
      <c r="M154" s="7" t="s">
        <v>560</v>
      </c>
      <c r="N154" s="7" t="s">
        <v>2225</v>
      </c>
      <c r="O154" s="7" t="s">
        <v>2224</v>
      </c>
      <c r="P154" s="7"/>
    </row>
    <row r="155" spans="1:16">
      <c r="A155" s="56">
        <v>46104</v>
      </c>
      <c r="B155" s="56">
        <v>46095</v>
      </c>
      <c r="C155" s="7" t="s">
        <v>2707</v>
      </c>
      <c r="D155" s="7" t="s">
        <v>36</v>
      </c>
      <c r="E155" s="7" t="s">
        <v>2670</v>
      </c>
      <c r="F155" s="7" t="s">
        <v>2669</v>
      </c>
      <c r="G155" s="7" t="s">
        <v>39</v>
      </c>
      <c r="H155" s="7" t="s">
        <v>2674</v>
      </c>
      <c r="I155" s="7" t="s">
        <v>569</v>
      </c>
      <c r="J155" s="7">
        <v>504</v>
      </c>
      <c r="K155" s="7">
        <v>1.03</v>
      </c>
      <c r="L155" s="7">
        <v>519.12</v>
      </c>
      <c r="M155" s="7" t="s">
        <v>569</v>
      </c>
      <c r="N155" s="7" t="s">
        <v>2225</v>
      </c>
      <c r="O155" s="7" t="s">
        <v>2224</v>
      </c>
      <c r="P155" s="7"/>
    </row>
    <row r="156" spans="1:16">
      <c r="A156" s="56">
        <v>46104</v>
      </c>
      <c r="B156" s="56">
        <v>46095</v>
      </c>
      <c r="C156" s="7" t="s">
        <v>2707</v>
      </c>
      <c r="D156" s="7" t="s">
        <v>36</v>
      </c>
      <c r="E156" s="7" t="s">
        <v>2670</v>
      </c>
      <c r="F156" s="7" t="s">
        <v>2669</v>
      </c>
      <c r="G156" s="7" t="s">
        <v>39</v>
      </c>
      <c r="H156" s="7" t="s">
        <v>2675</v>
      </c>
      <c r="I156" s="7" t="s">
        <v>572</v>
      </c>
      <c r="J156" s="7">
        <v>384</v>
      </c>
      <c r="K156" s="7">
        <v>1.08</v>
      </c>
      <c r="L156" s="7">
        <v>414.72</v>
      </c>
      <c r="M156" s="7" t="s">
        <v>572</v>
      </c>
      <c r="N156" s="7" t="s">
        <v>2225</v>
      </c>
      <c r="O156" s="7" t="s">
        <v>2224</v>
      </c>
      <c r="P156" s="7"/>
    </row>
    <row r="157" spans="1:16">
      <c r="A157" s="56">
        <v>46104</v>
      </c>
      <c r="B157" s="56">
        <v>46095</v>
      </c>
      <c r="C157" s="7" t="s">
        <v>2707</v>
      </c>
      <c r="D157" s="7" t="s">
        <v>36</v>
      </c>
      <c r="E157" s="7" t="s">
        <v>2670</v>
      </c>
      <c r="F157" s="7" t="s">
        <v>2669</v>
      </c>
      <c r="G157" s="7" t="s">
        <v>39</v>
      </c>
      <c r="H157" s="7" t="s">
        <v>2676</v>
      </c>
      <c r="I157" s="7" t="s">
        <v>575</v>
      </c>
      <c r="J157" s="7">
        <v>552</v>
      </c>
      <c r="K157" s="7">
        <v>1.4</v>
      </c>
      <c r="L157" s="7">
        <v>772.8</v>
      </c>
      <c r="M157" s="7" t="s">
        <v>575</v>
      </c>
      <c r="N157" s="7" t="s">
        <v>2225</v>
      </c>
      <c r="O157" s="7" t="s">
        <v>2224</v>
      </c>
      <c r="P157" s="7"/>
    </row>
    <row r="158" spans="1:16">
      <c r="A158" s="56">
        <v>46104</v>
      </c>
      <c r="B158" s="56">
        <v>46095</v>
      </c>
      <c r="C158" s="7" t="s">
        <v>2707</v>
      </c>
      <c r="D158" s="7" t="s">
        <v>36</v>
      </c>
      <c r="E158" s="7" t="s">
        <v>2670</v>
      </c>
      <c r="F158" s="7" t="s">
        <v>2669</v>
      </c>
      <c r="G158" s="7" t="s">
        <v>39</v>
      </c>
      <c r="H158" s="7" t="s">
        <v>2447</v>
      </c>
      <c r="I158" s="7" t="s">
        <v>2446</v>
      </c>
      <c r="J158" s="7">
        <v>480</v>
      </c>
      <c r="K158" s="7">
        <v>2.52</v>
      </c>
      <c r="L158" s="7">
        <v>1209.5999999999999</v>
      </c>
      <c r="M158" s="7" t="s">
        <v>2446</v>
      </c>
      <c r="N158" s="7" t="s">
        <v>2222</v>
      </c>
      <c r="O158" s="7" t="s">
        <v>2224</v>
      </c>
      <c r="P158" s="7"/>
    </row>
    <row r="159" spans="1:16">
      <c r="A159" s="56">
        <v>46104</v>
      </c>
      <c r="B159" s="56">
        <v>46095</v>
      </c>
      <c r="C159" s="7" t="s">
        <v>2707</v>
      </c>
      <c r="D159" s="7" t="s">
        <v>36</v>
      </c>
      <c r="E159" s="7" t="s">
        <v>2670</v>
      </c>
      <c r="F159" s="7" t="s">
        <v>2669</v>
      </c>
      <c r="G159" s="7" t="s">
        <v>39</v>
      </c>
      <c r="H159" s="7" t="s">
        <v>2677</v>
      </c>
      <c r="I159" s="7" t="s">
        <v>784</v>
      </c>
      <c r="J159" s="7">
        <v>1000</v>
      </c>
      <c r="K159" s="7">
        <v>0.68</v>
      </c>
      <c r="L159" s="7">
        <v>680</v>
      </c>
      <c r="M159" s="7" t="s">
        <v>784</v>
      </c>
      <c r="N159" s="7" t="s">
        <v>2225</v>
      </c>
      <c r="O159" s="7" t="s">
        <v>2224</v>
      </c>
      <c r="P159" s="7"/>
    </row>
    <row r="160" spans="1:16">
      <c r="A160" s="56">
        <v>46104</v>
      </c>
      <c r="B160" s="56">
        <v>46095</v>
      </c>
      <c r="C160" s="1">
        <v>60010</v>
      </c>
      <c r="D160" s="7" t="s">
        <v>36</v>
      </c>
      <c r="E160" s="1" t="s">
        <v>2670</v>
      </c>
      <c r="F160" s="1" t="s">
        <v>2669</v>
      </c>
      <c r="G160" s="1" t="s">
        <v>39</v>
      </c>
      <c r="H160" s="1" t="s">
        <v>2678</v>
      </c>
      <c r="I160" s="1" t="s">
        <v>1221</v>
      </c>
      <c r="J160" s="1">
        <v>1000</v>
      </c>
      <c r="K160" s="1">
        <v>0.81</v>
      </c>
      <c r="L160" s="1">
        <v>810</v>
      </c>
      <c r="M160" s="7" t="s">
        <v>1221</v>
      </c>
      <c r="N160" s="1" t="s">
        <v>2225</v>
      </c>
      <c r="O160" s="1">
        <v>8033</v>
      </c>
    </row>
    <row r="161" spans="1:15">
      <c r="A161" s="56">
        <v>46104</v>
      </c>
      <c r="B161" s="56">
        <v>46083</v>
      </c>
      <c r="C161" s="1">
        <v>60010</v>
      </c>
      <c r="D161" s="7" t="s">
        <v>36</v>
      </c>
      <c r="E161" s="1" t="s">
        <v>2680</v>
      </c>
      <c r="F161" s="1" t="s">
        <v>2679</v>
      </c>
      <c r="G161" s="1" t="s">
        <v>39</v>
      </c>
      <c r="H161" s="1" t="s">
        <v>2589</v>
      </c>
      <c r="I161" s="1" t="s">
        <v>590</v>
      </c>
      <c r="J161" s="1">
        <v>900</v>
      </c>
      <c r="K161" s="1">
        <v>75.66</v>
      </c>
      <c r="L161" s="1">
        <v>68094</v>
      </c>
      <c r="M161" s="7" t="s">
        <v>590</v>
      </c>
      <c r="N161" s="1" t="s">
        <v>2225</v>
      </c>
      <c r="O161" s="1">
        <v>8033</v>
      </c>
    </row>
    <row r="162" spans="1:15">
      <c r="A162" s="56">
        <v>46104</v>
      </c>
      <c r="B162" s="56">
        <v>46083</v>
      </c>
      <c r="C162" s="1">
        <v>60010</v>
      </c>
      <c r="D162" s="7" t="s">
        <v>36</v>
      </c>
      <c r="E162" s="1" t="s">
        <v>2680</v>
      </c>
      <c r="F162" s="1" t="s">
        <v>2679</v>
      </c>
      <c r="G162" s="1" t="s">
        <v>39</v>
      </c>
      <c r="H162" s="1" t="s">
        <v>2590</v>
      </c>
      <c r="I162" s="1" t="s">
        <v>593</v>
      </c>
      <c r="J162" s="1">
        <v>600</v>
      </c>
      <c r="K162" s="1">
        <v>60.63</v>
      </c>
      <c r="L162" s="1">
        <v>36378</v>
      </c>
      <c r="M162" s="7" t="s">
        <v>593</v>
      </c>
      <c r="N162" s="1" t="s">
        <v>2225</v>
      </c>
      <c r="O162" s="1">
        <v>8033</v>
      </c>
    </row>
    <row r="163" spans="1:15">
      <c r="A163" s="56">
        <v>46104</v>
      </c>
      <c r="B163" s="56">
        <v>46083</v>
      </c>
      <c r="C163" s="1">
        <v>60010</v>
      </c>
      <c r="D163" s="7" t="s">
        <v>36</v>
      </c>
      <c r="E163" s="1" t="s">
        <v>2680</v>
      </c>
      <c r="F163" s="1" t="s">
        <v>2679</v>
      </c>
      <c r="G163" s="1" t="s">
        <v>39</v>
      </c>
      <c r="H163" s="1" t="s">
        <v>2652</v>
      </c>
      <c r="I163" s="1" t="s">
        <v>596</v>
      </c>
      <c r="J163" s="1">
        <v>600</v>
      </c>
      <c r="K163" s="1">
        <v>42.49</v>
      </c>
      <c r="L163" s="1">
        <v>25494</v>
      </c>
      <c r="M163" s="7" t="s">
        <v>596</v>
      </c>
      <c r="N163" s="1" t="s">
        <v>2225</v>
      </c>
      <c r="O163" s="1">
        <v>8033</v>
      </c>
    </row>
    <row r="164" spans="1:15">
      <c r="A164" s="56">
        <v>46104</v>
      </c>
      <c r="B164" s="56">
        <v>46083</v>
      </c>
      <c r="C164" s="1">
        <v>60010</v>
      </c>
      <c r="D164" s="7" t="s">
        <v>36</v>
      </c>
      <c r="E164" s="1" t="s">
        <v>2680</v>
      </c>
      <c r="F164" s="1" t="s">
        <v>2679</v>
      </c>
      <c r="G164" s="1" t="s">
        <v>39</v>
      </c>
      <c r="H164" s="1" t="s">
        <v>2592</v>
      </c>
      <c r="I164" s="1" t="s">
        <v>2591</v>
      </c>
      <c r="J164" s="1">
        <v>500</v>
      </c>
      <c r="K164" s="1">
        <v>58.46</v>
      </c>
      <c r="L164" s="1">
        <v>29230</v>
      </c>
      <c r="M164" s="7" t="s">
        <v>2591</v>
      </c>
      <c r="N164" s="1" t="s">
        <v>2222</v>
      </c>
      <c r="O164" s="1">
        <v>8033</v>
      </c>
    </row>
    <row r="165" spans="1:15">
      <c r="A165" s="56">
        <v>46104</v>
      </c>
      <c r="B165" s="56">
        <v>46083</v>
      </c>
      <c r="C165" s="1">
        <v>60010</v>
      </c>
      <c r="D165" s="7" t="s">
        <v>36</v>
      </c>
      <c r="E165" s="1" t="s">
        <v>2680</v>
      </c>
      <c r="F165" s="1" t="s">
        <v>2679</v>
      </c>
      <c r="G165" s="1" t="s">
        <v>39</v>
      </c>
      <c r="H165" s="1" t="s">
        <v>2682</v>
      </c>
      <c r="I165" s="1" t="s">
        <v>2681</v>
      </c>
      <c r="J165" s="1">
        <v>10</v>
      </c>
      <c r="K165" s="1">
        <v>5</v>
      </c>
      <c r="L165" s="1">
        <v>50</v>
      </c>
      <c r="M165" s="7" t="s">
        <v>2681</v>
      </c>
      <c r="N165" s="1" t="s">
        <v>2222</v>
      </c>
      <c r="O165" s="1">
        <v>8033</v>
      </c>
    </row>
    <row r="166" spans="1:15">
      <c r="A166" s="56">
        <v>46104</v>
      </c>
      <c r="B166" s="56">
        <v>46083</v>
      </c>
      <c r="C166" s="1">
        <v>60010</v>
      </c>
      <c r="D166" s="7" t="s">
        <v>36</v>
      </c>
      <c r="E166" s="1" t="s">
        <v>2680</v>
      </c>
      <c r="F166" s="1" t="s">
        <v>2679</v>
      </c>
      <c r="G166" s="1" t="s">
        <v>39</v>
      </c>
      <c r="H166" s="1" t="s">
        <v>2684</v>
      </c>
      <c r="I166" s="1" t="s">
        <v>2683</v>
      </c>
      <c r="J166" s="1">
        <v>10</v>
      </c>
      <c r="K166" s="1">
        <v>10</v>
      </c>
      <c r="L166" s="1">
        <v>100</v>
      </c>
      <c r="M166" s="7" t="s">
        <v>2683</v>
      </c>
      <c r="N166" s="1" t="s">
        <v>2222</v>
      </c>
      <c r="O166" s="1">
        <v>8033</v>
      </c>
    </row>
    <row r="167" spans="1:15">
      <c r="A167" s="56">
        <v>46104</v>
      </c>
      <c r="B167" s="56">
        <v>46083</v>
      </c>
      <c r="C167" s="1">
        <v>60010</v>
      </c>
      <c r="D167" s="7" t="s">
        <v>36</v>
      </c>
      <c r="E167" s="1" t="s">
        <v>2680</v>
      </c>
      <c r="F167" s="1" t="s">
        <v>2679</v>
      </c>
      <c r="G167" s="1" t="s">
        <v>39</v>
      </c>
      <c r="H167" s="1" t="s">
        <v>2686</v>
      </c>
      <c r="I167" s="1" t="s">
        <v>2685</v>
      </c>
      <c r="J167" s="1">
        <v>10</v>
      </c>
      <c r="K167" s="1">
        <v>10</v>
      </c>
      <c r="L167" s="1">
        <v>100</v>
      </c>
      <c r="M167" s="7" t="s">
        <v>2685</v>
      </c>
      <c r="N167" s="1" t="s">
        <v>2222</v>
      </c>
      <c r="O167" s="1">
        <v>8033</v>
      </c>
    </row>
    <row r="168" spans="1:15">
      <c r="A168" s="56">
        <v>46104</v>
      </c>
      <c r="B168" s="56">
        <v>46083</v>
      </c>
      <c r="C168" s="1">
        <v>60010</v>
      </c>
      <c r="D168" s="7" t="s">
        <v>36</v>
      </c>
      <c r="E168" s="1" t="s">
        <v>2680</v>
      </c>
      <c r="F168" s="1" t="s">
        <v>2679</v>
      </c>
      <c r="G168" s="1" t="s">
        <v>39</v>
      </c>
      <c r="H168" s="1" t="s">
        <v>2688</v>
      </c>
      <c r="I168" s="1" t="s">
        <v>2687</v>
      </c>
      <c r="J168" s="1">
        <v>10</v>
      </c>
      <c r="K168" s="1">
        <v>5</v>
      </c>
      <c r="L168" s="1">
        <v>50</v>
      </c>
      <c r="M168" s="7" t="s">
        <v>2687</v>
      </c>
      <c r="N168" s="1" t="s">
        <v>2222</v>
      </c>
      <c r="O168" s="1">
        <v>8033</v>
      </c>
    </row>
    <row r="169" spans="1:15">
      <c r="A169" s="56">
        <v>46104</v>
      </c>
      <c r="B169" s="56">
        <v>46083</v>
      </c>
      <c r="C169" s="1">
        <v>60010</v>
      </c>
      <c r="D169" s="7" t="s">
        <v>36</v>
      </c>
      <c r="E169" s="1" t="s">
        <v>2680</v>
      </c>
      <c r="F169" s="1" t="s">
        <v>2679</v>
      </c>
      <c r="G169" s="1" t="s">
        <v>39</v>
      </c>
      <c r="H169" s="1" t="s">
        <v>2690</v>
      </c>
      <c r="I169" s="1" t="s">
        <v>2689</v>
      </c>
      <c r="J169" s="1">
        <v>10</v>
      </c>
      <c r="K169" s="1">
        <v>10</v>
      </c>
      <c r="L169" s="1">
        <v>100</v>
      </c>
      <c r="M169" s="7" t="s">
        <v>2689</v>
      </c>
      <c r="N169" s="1" t="s">
        <v>2222</v>
      </c>
      <c r="O169" s="1">
        <v>8033</v>
      </c>
    </row>
    <row r="170" spans="1:15">
      <c r="A170" s="56">
        <v>46104</v>
      </c>
      <c r="B170" s="56">
        <v>46083</v>
      </c>
      <c r="C170" s="1">
        <v>60010</v>
      </c>
      <c r="D170" s="7" t="s">
        <v>36</v>
      </c>
      <c r="E170" s="1" t="s">
        <v>2680</v>
      </c>
      <c r="F170" s="1" t="s">
        <v>2679</v>
      </c>
      <c r="G170" s="1" t="s">
        <v>39</v>
      </c>
      <c r="H170" s="1" t="s">
        <v>2692</v>
      </c>
      <c r="I170" s="1" t="s">
        <v>2691</v>
      </c>
      <c r="J170" s="1">
        <v>1</v>
      </c>
      <c r="K170" s="1">
        <v>86.96</v>
      </c>
      <c r="L170" s="1">
        <v>86.96</v>
      </c>
      <c r="M170" s="7" t="s">
        <v>2691</v>
      </c>
      <c r="N170" s="1" t="s">
        <v>2222</v>
      </c>
      <c r="O170" s="1">
        <v>8033</v>
      </c>
    </row>
    <row r="171" spans="1:15">
      <c r="A171" s="56">
        <v>46104</v>
      </c>
      <c r="B171" s="56">
        <v>46085</v>
      </c>
      <c r="C171" s="1">
        <v>60010</v>
      </c>
      <c r="D171" s="7" t="s">
        <v>36</v>
      </c>
      <c r="E171" s="1" t="s">
        <v>2694</v>
      </c>
      <c r="F171" s="1" t="s">
        <v>2693</v>
      </c>
      <c r="G171" s="1" t="s">
        <v>39</v>
      </c>
      <c r="H171" s="1" t="s">
        <v>2696</v>
      </c>
      <c r="I171" s="1" t="s">
        <v>2695</v>
      </c>
      <c r="J171" s="1">
        <v>510</v>
      </c>
      <c r="K171" s="1">
        <v>0.23</v>
      </c>
      <c r="L171" s="1">
        <v>117.3</v>
      </c>
      <c r="M171" s="7" t="s">
        <v>2695</v>
      </c>
      <c r="N171" s="1" t="s">
        <v>2222</v>
      </c>
      <c r="O171" s="1">
        <v>8033</v>
      </c>
    </row>
    <row r="172" spans="1:15">
      <c r="A172" s="56">
        <v>46104</v>
      </c>
      <c r="B172" s="56">
        <v>46085</v>
      </c>
      <c r="C172" s="1">
        <v>60010</v>
      </c>
      <c r="D172" s="7" t="s">
        <v>36</v>
      </c>
      <c r="E172" s="1" t="s">
        <v>2694</v>
      </c>
      <c r="F172" s="1" t="s">
        <v>2693</v>
      </c>
      <c r="G172" s="1" t="s">
        <v>39</v>
      </c>
      <c r="H172" s="1" t="s">
        <v>2652</v>
      </c>
      <c r="I172" s="1" t="s">
        <v>596</v>
      </c>
      <c r="J172" s="1">
        <v>600</v>
      </c>
      <c r="K172" s="1">
        <v>42.49</v>
      </c>
      <c r="L172" s="1">
        <v>25494</v>
      </c>
      <c r="M172" s="7" t="s">
        <v>596</v>
      </c>
      <c r="N172" s="1" t="s">
        <v>2225</v>
      </c>
      <c r="O172" s="1">
        <v>8033</v>
      </c>
    </row>
    <row r="173" spans="1:15">
      <c r="A173" s="56">
        <v>46104</v>
      </c>
      <c r="B173" s="56">
        <v>46085</v>
      </c>
      <c r="C173" s="1">
        <v>60010</v>
      </c>
      <c r="D173" s="7" t="s">
        <v>36</v>
      </c>
      <c r="E173" s="1" t="s">
        <v>2694</v>
      </c>
      <c r="F173" s="1" t="s">
        <v>2693</v>
      </c>
      <c r="G173" s="1" t="s">
        <v>39</v>
      </c>
      <c r="H173" s="1" t="s">
        <v>2592</v>
      </c>
      <c r="I173" s="1" t="s">
        <v>2591</v>
      </c>
      <c r="J173" s="1">
        <v>400</v>
      </c>
      <c r="K173" s="1">
        <v>58.46</v>
      </c>
      <c r="L173" s="1">
        <v>23384</v>
      </c>
      <c r="M173" s="7" t="s">
        <v>2591</v>
      </c>
      <c r="N173" s="1" t="s">
        <v>2222</v>
      </c>
      <c r="O173" s="1">
        <v>8033</v>
      </c>
    </row>
    <row r="174" spans="1:15">
      <c r="A174" s="56">
        <v>46104</v>
      </c>
      <c r="B174" s="56">
        <v>46085</v>
      </c>
      <c r="C174" s="1">
        <v>60010</v>
      </c>
      <c r="D174" s="7" t="s">
        <v>36</v>
      </c>
      <c r="E174" s="1" t="s">
        <v>2694</v>
      </c>
      <c r="F174" s="1" t="s">
        <v>2693</v>
      </c>
      <c r="G174" s="1" t="s">
        <v>39</v>
      </c>
      <c r="H174" s="1" t="s">
        <v>2530</v>
      </c>
      <c r="I174" s="1" t="s">
        <v>2529</v>
      </c>
      <c r="J174" s="1">
        <v>1600</v>
      </c>
      <c r="K174" s="1">
        <v>50.54</v>
      </c>
      <c r="L174" s="1">
        <v>80864</v>
      </c>
      <c r="M174" s="7" t="s">
        <v>2529</v>
      </c>
      <c r="N174" s="1" t="s">
        <v>2222</v>
      </c>
      <c r="O174" s="1">
        <v>8033</v>
      </c>
    </row>
    <row r="175" spans="1:15">
      <c r="A175" s="56">
        <v>46104</v>
      </c>
      <c r="B175" s="56">
        <v>46087</v>
      </c>
      <c r="C175" s="1">
        <v>60010</v>
      </c>
      <c r="D175" s="7" t="s">
        <v>36</v>
      </c>
      <c r="E175" s="1" t="s">
        <v>2698</v>
      </c>
      <c r="F175" s="1" t="s">
        <v>2697</v>
      </c>
      <c r="G175" s="1" t="s">
        <v>39</v>
      </c>
      <c r="H175" s="1" t="s">
        <v>2700</v>
      </c>
      <c r="I175" s="1" t="s">
        <v>2699</v>
      </c>
      <c r="J175" s="1">
        <v>10</v>
      </c>
      <c r="K175" s="1">
        <v>65.94</v>
      </c>
      <c r="L175" s="1">
        <v>659.4</v>
      </c>
      <c r="M175" s="7" t="s">
        <v>2699</v>
      </c>
      <c r="N175" s="1" t="s">
        <v>2222</v>
      </c>
      <c r="O175" s="1">
        <v>8033</v>
      </c>
    </row>
    <row r="176" spans="1:15">
      <c r="A176" s="56">
        <v>46104</v>
      </c>
      <c r="B176" s="56">
        <v>46101</v>
      </c>
      <c r="C176" s="1">
        <v>60010</v>
      </c>
      <c r="D176" s="7" t="s">
        <v>36</v>
      </c>
      <c r="E176" s="1" t="s">
        <v>2702</v>
      </c>
      <c r="F176" s="1" t="s">
        <v>2701</v>
      </c>
      <c r="G176" s="1" t="s">
        <v>39</v>
      </c>
      <c r="H176" s="1" t="s">
        <v>2704</v>
      </c>
      <c r="I176" s="1" t="s">
        <v>2703</v>
      </c>
      <c r="J176" s="1">
        <v>400</v>
      </c>
      <c r="K176" s="1">
        <v>1.1100000000000001</v>
      </c>
      <c r="L176" s="1">
        <v>444</v>
      </c>
      <c r="M176" s="7" t="s">
        <v>2703</v>
      </c>
      <c r="N176" s="1" t="s">
        <v>2222</v>
      </c>
      <c r="O176" s="1">
        <v>8033</v>
      </c>
    </row>
    <row r="177" spans="1:15">
      <c r="A177" s="56">
        <v>46104</v>
      </c>
      <c r="B177" s="56">
        <v>46101</v>
      </c>
      <c r="C177" s="1">
        <v>60010</v>
      </c>
      <c r="D177" s="7" t="s">
        <v>36</v>
      </c>
      <c r="E177" s="1" t="s">
        <v>2702</v>
      </c>
      <c r="F177" s="1" t="s">
        <v>2701</v>
      </c>
      <c r="G177" s="1" t="s">
        <v>39</v>
      </c>
      <c r="H177" s="1" t="s">
        <v>2706</v>
      </c>
      <c r="I177" s="1" t="s">
        <v>2705</v>
      </c>
      <c r="J177" s="1">
        <v>336</v>
      </c>
      <c r="K177" s="1">
        <v>2.13</v>
      </c>
      <c r="L177" s="1">
        <v>715.68</v>
      </c>
      <c r="M177" s="7" t="s">
        <v>2705</v>
      </c>
      <c r="N177" s="1" t="s">
        <v>2222</v>
      </c>
      <c r="O177" s="1">
        <v>8033</v>
      </c>
    </row>
    <row r="178" spans="1:15">
      <c r="A178" s="56">
        <v>46104</v>
      </c>
      <c r="B178" s="56">
        <v>46101</v>
      </c>
      <c r="C178" s="1">
        <v>60010</v>
      </c>
      <c r="D178" s="7" t="s">
        <v>36</v>
      </c>
      <c r="E178" s="1" t="s">
        <v>2702</v>
      </c>
      <c r="F178" s="1" t="s">
        <v>2701</v>
      </c>
      <c r="G178" s="1" t="s">
        <v>39</v>
      </c>
      <c r="H178" s="1" t="s">
        <v>2589</v>
      </c>
      <c r="I178" s="1" t="s">
        <v>590</v>
      </c>
      <c r="J178" s="1">
        <v>574</v>
      </c>
      <c r="K178" s="1">
        <v>71.86</v>
      </c>
      <c r="L178" s="1">
        <v>41247.64</v>
      </c>
      <c r="M178" s="7" t="s">
        <v>590</v>
      </c>
      <c r="N178" s="1" t="s">
        <v>2225</v>
      </c>
      <c r="O178" s="1">
        <v>8033</v>
      </c>
    </row>
    <row r="179" spans="1:15">
      <c r="A179" s="56">
        <v>46104</v>
      </c>
      <c r="B179" s="56">
        <v>46101</v>
      </c>
      <c r="C179" s="1">
        <v>60010</v>
      </c>
      <c r="D179" s="7" t="s">
        <v>36</v>
      </c>
      <c r="E179" s="1" t="s">
        <v>2702</v>
      </c>
      <c r="F179" s="1" t="s">
        <v>2701</v>
      </c>
      <c r="G179" s="1" t="s">
        <v>39</v>
      </c>
      <c r="H179" s="1" t="s">
        <v>2590</v>
      </c>
      <c r="I179" s="1" t="s">
        <v>593</v>
      </c>
      <c r="J179" s="1">
        <v>260</v>
      </c>
      <c r="K179" s="1">
        <v>59.93</v>
      </c>
      <c r="L179" s="1">
        <v>15581.8</v>
      </c>
      <c r="M179" s="7" t="s">
        <v>593</v>
      </c>
      <c r="N179" s="1" t="s">
        <v>2225</v>
      </c>
      <c r="O179" s="1">
        <v>8033</v>
      </c>
    </row>
    <row r="180" spans="1:15">
      <c r="A180" s="56">
        <v>46104</v>
      </c>
      <c r="B180" s="56">
        <v>46101</v>
      </c>
      <c r="C180" s="1">
        <v>60010</v>
      </c>
      <c r="D180" s="7" t="s">
        <v>36</v>
      </c>
      <c r="E180" s="1" t="s">
        <v>2702</v>
      </c>
      <c r="F180" s="1" t="s">
        <v>2701</v>
      </c>
      <c r="G180" s="1" t="s">
        <v>39</v>
      </c>
      <c r="H180" s="1" t="s">
        <v>2652</v>
      </c>
      <c r="I180" s="1" t="s">
        <v>596</v>
      </c>
      <c r="J180" s="1">
        <v>49</v>
      </c>
      <c r="K180" s="1">
        <v>39.78</v>
      </c>
      <c r="L180" s="1">
        <v>1949.22</v>
      </c>
      <c r="M180" s="7" t="s">
        <v>596</v>
      </c>
      <c r="N180" s="1" t="s">
        <v>2225</v>
      </c>
      <c r="O180" s="1">
        <v>8033</v>
      </c>
    </row>
    <row r="181" spans="1:15">
      <c r="A181" s="56">
        <v>46104</v>
      </c>
      <c r="B181" s="56">
        <v>46101</v>
      </c>
      <c r="C181" s="1">
        <v>60010</v>
      </c>
      <c r="D181" s="7" t="s">
        <v>36</v>
      </c>
      <c r="E181" s="1" t="s">
        <v>2702</v>
      </c>
      <c r="F181" s="1" t="s">
        <v>2701</v>
      </c>
      <c r="G181" s="1" t="s">
        <v>39</v>
      </c>
      <c r="H181" s="1" t="s">
        <v>2594</v>
      </c>
      <c r="I181" s="1" t="s">
        <v>2593</v>
      </c>
      <c r="J181" s="1">
        <v>612</v>
      </c>
      <c r="K181" s="1">
        <v>36.74</v>
      </c>
      <c r="L181" s="1">
        <v>22484.880000000001</v>
      </c>
      <c r="M181" s="7" t="s">
        <v>2593</v>
      </c>
      <c r="N181" s="1" t="s">
        <v>2222</v>
      </c>
      <c r="O181" s="1">
        <v>8033</v>
      </c>
    </row>
    <row r="182" spans="1:15">
      <c r="A182" s="56">
        <v>46104</v>
      </c>
      <c r="B182" s="56">
        <v>46101</v>
      </c>
      <c r="C182" s="1">
        <v>60010</v>
      </c>
      <c r="D182" s="7" t="s">
        <v>36</v>
      </c>
      <c r="E182" s="1" t="s">
        <v>2702</v>
      </c>
      <c r="F182" s="1" t="s">
        <v>2701</v>
      </c>
      <c r="G182" s="1" t="s">
        <v>39</v>
      </c>
      <c r="H182" s="1" t="s">
        <v>2654</v>
      </c>
      <c r="I182" s="1" t="s">
        <v>2653</v>
      </c>
      <c r="J182" s="1">
        <v>800</v>
      </c>
      <c r="K182" s="1">
        <v>20.190000000000001</v>
      </c>
      <c r="L182" s="1">
        <v>16152</v>
      </c>
      <c r="M182" s="7" t="s">
        <v>2653</v>
      </c>
      <c r="N182" s="1" t="s">
        <v>2222</v>
      </c>
      <c r="O182" s="1">
        <v>8033</v>
      </c>
    </row>
    <row r="183" spans="1:15">
      <c r="A183" s="56">
        <v>46104</v>
      </c>
      <c r="B183" s="56">
        <v>46101</v>
      </c>
      <c r="C183" s="1">
        <v>60011</v>
      </c>
      <c r="D183" s="7" t="s">
        <v>33</v>
      </c>
      <c r="E183" s="1" t="s">
        <v>2709</v>
      </c>
      <c r="F183" s="1" t="s">
        <v>2708</v>
      </c>
      <c r="G183" s="1" t="s">
        <v>38</v>
      </c>
      <c r="H183" s="1" t="s">
        <v>2493</v>
      </c>
      <c r="I183" s="1">
        <v>108222129</v>
      </c>
      <c r="J183" s="1">
        <v>1226</v>
      </c>
      <c r="K183" s="1">
        <v>197.34</v>
      </c>
      <c r="L183" s="1">
        <v>241938.84</v>
      </c>
      <c r="M183" s="7" t="s">
        <v>874</v>
      </c>
      <c r="N183" s="1" t="s">
        <v>2222</v>
      </c>
      <c r="O183" s="1">
        <v>9121</v>
      </c>
    </row>
    <row r="184" spans="1:15">
      <c r="A184" s="56">
        <v>46104</v>
      </c>
      <c r="B184" s="56">
        <v>46101</v>
      </c>
      <c r="C184" s="1">
        <v>60011</v>
      </c>
      <c r="D184" s="7" t="s">
        <v>33</v>
      </c>
      <c r="E184" s="1" t="s">
        <v>2709</v>
      </c>
      <c r="F184" s="1" t="s">
        <v>2708</v>
      </c>
      <c r="G184" s="1" t="s">
        <v>38</v>
      </c>
      <c r="H184" s="1" t="s">
        <v>2710</v>
      </c>
      <c r="I184" s="1">
        <v>108230129</v>
      </c>
      <c r="J184" s="1">
        <v>1000</v>
      </c>
      <c r="K184" s="1">
        <v>203.22</v>
      </c>
      <c r="L184" s="1">
        <v>203220.00000000003</v>
      </c>
      <c r="M184" s="7" t="s">
        <v>878</v>
      </c>
      <c r="N184" s="1" t="s">
        <v>2222</v>
      </c>
      <c r="O184" s="1">
        <v>9121</v>
      </c>
    </row>
    <row r="185" spans="1:15">
      <c r="A185" s="56">
        <v>46104</v>
      </c>
      <c r="B185" s="56">
        <v>46101</v>
      </c>
      <c r="C185" s="1">
        <v>60011</v>
      </c>
      <c r="D185" s="7" t="s">
        <v>33</v>
      </c>
      <c r="E185" s="1" t="s">
        <v>2709</v>
      </c>
      <c r="F185" s="1" t="s">
        <v>2708</v>
      </c>
      <c r="G185" s="1" t="s">
        <v>38</v>
      </c>
      <c r="H185" s="1" t="s">
        <v>2646</v>
      </c>
      <c r="I185" s="1">
        <v>108230202</v>
      </c>
      <c r="J185" s="1">
        <v>82</v>
      </c>
      <c r="K185" s="1">
        <v>308.87</v>
      </c>
      <c r="L185" s="1">
        <v>25327.34</v>
      </c>
      <c r="M185" s="7" t="s">
        <v>901</v>
      </c>
      <c r="N185" s="1" t="s">
        <v>2222</v>
      </c>
      <c r="O185" s="1">
        <v>9121</v>
      </c>
    </row>
    <row r="186" spans="1:15">
      <c r="A186" s="56">
        <v>46104</v>
      </c>
      <c r="B186" s="56">
        <v>46101</v>
      </c>
      <c r="C186" s="1">
        <v>60011</v>
      </c>
      <c r="D186" s="7" t="s">
        <v>33</v>
      </c>
      <c r="E186" s="1" t="s">
        <v>2709</v>
      </c>
      <c r="F186" s="1" t="s">
        <v>2708</v>
      </c>
      <c r="G186" s="1" t="s">
        <v>38</v>
      </c>
      <c r="H186" s="1" t="s">
        <v>2547</v>
      </c>
      <c r="I186" s="1" t="s">
        <v>886</v>
      </c>
      <c r="J186" s="1">
        <v>500</v>
      </c>
      <c r="K186" s="1">
        <v>337.43</v>
      </c>
      <c r="L186" s="1">
        <v>168715</v>
      </c>
      <c r="M186" s="7" t="s">
        <v>886</v>
      </c>
      <c r="N186" s="1" t="s">
        <v>2222</v>
      </c>
      <c r="O186" s="1">
        <v>9121</v>
      </c>
    </row>
    <row r="187" spans="1:15">
      <c r="A187" s="56">
        <v>46104</v>
      </c>
      <c r="B187" s="56">
        <v>46101</v>
      </c>
      <c r="C187" s="1">
        <v>60010</v>
      </c>
      <c r="D187" s="7" t="s">
        <v>33</v>
      </c>
      <c r="E187" s="1" t="s">
        <v>2709</v>
      </c>
      <c r="F187" s="1" t="s">
        <v>2708</v>
      </c>
      <c r="G187" s="1" t="s">
        <v>38</v>
      </c>
      <c r="H187" s="1" t="s">
        <v>867</v>
      </c>
      <c r="I187" s="1" t="s">
        <v>865</v>
      </c>
      <c r="J187" s="1">
        <v>31200</v>
      </c>
      <c r="K187" s="1">
        <v>0.72</v>
      </c>
      <c r="L187" s="1">
        <v>22464</v>
      </c>
      <c r="M187" s="7" t="s">
        <v>865</v>
      </c>
      <c r="N187" s="1" t="s">
        <v>2222</v>
      </c>
      <c r="O187" s="1">
        <v>8033</v>
      </c>
    </row>
    <row r="188" spans="1:15">
      <c r="A188" s="56">
        <v>46104</v>
      </c>
      <c r="B188" s="56">
        <v>46101</v>
      </c>
      <c r="C188" s="1">
        <v>60010</v>
      </c>
      <c r="D188" s="7" t="s">
        <v>33</v>
      </c>
      <c r="E188" s="1" t="s">
        <v>2709</v>
      </c>
      <c r="F188" s="1" t="s">
        <v>2708</v>
      </c>
      <c r="G188" s="1" t="s">
        <v>38</v>
      </c>
      <c r="H188" s="1" t="s">
        <v>2711</v>
      </c>
      <c r="I188" s="1" t="s">
        <v>1217</v>
      </c>
      <c r="J188" s="1">
        <v>180</v>
      </c>
      <c r="K188" s="1">
        <v>2.63</v>
      </c>
      <c r="L188" s="1">
        <v>473.4</v>
      </c>
      <c r="M188" s="7" t="s">
        <v>1217</v>
      </c>
      <c r="N188" s="1" t="s">
        <v>2222</v>
      </c>
      <c r="O188" s="1">
        <v>8033</v>
      </c>
    </row>
    <row r="189" spans="1:15">
      <c r="A189" s="56">
        <v>46104</v>
      </c>
      <c r="B189" s="56">
        <v>46102</v>
      </c>
      <c r="C189" s="1">
        <v>60011</v>
      </c>
      <c r="D189" s="7" t="s">
        <v>33</v>
      </c>
      <c r="E189" s="1" t="s">
        <v>2713</v>
      </c>
      <c r="F189" s="1" t="s">
        <v>2712</v>
      </c>
      <c r="G189" s="1" t="s">
        <v>38</v>
      </c>
      <c r="H189" s="1" t="s">
        <v>2493</v>
      </c>
      <c r="I189" s="1">
        <v>108222129</v>
      </c>
      <c r="J189" s="1">
        <v>722</v>
      </c>
      <c r="K189" s="1">
        <v>197.34</v>
      </c>
      <c r="L189" s="1">
        <v>142479.47999999998</v>
      </c>
      <c r="M189" s="7" t="s">
        <v>874</v>
      </c>
      <c r="N189" s="1" t="s">
        <v>2222</v>
      </c>
      <c r="O189" s="1">
        <v>9121</v>
      </c>
    </row>
    <row r="190" spans="1:15">
      <c r="A190" s="56">
        <v>46104</v>
      </c>
      <c r="B190" s="56">
        <v>46102</v>
      </c>
      <c r="C190" s="1">
        <v>60011</v>
      </c>
      <c r="D190" s="7" t="s">
        <v>33</v>
      </c>
      <c r="E190" s="1" t="s">
        <v>2713</v>
      </c>
      <c r="F190" s="1" t="s">
        <v>2712</v>
      </c>
      <c r="G190" s="1" t="s">
        <v>38</v>
      </c>
      <c r="H190" s="1" t="s">
        <v>2494</v>
      </c>
      <c r="I190" s="1">
        <v>108230131</v>
      </c>
      <c r="J190" s="1">
        <v>252</v>
      </c>
      <c r="K190" s="1">
        <v>202.33</v>
      </c>
      <c r="L190" s="1">
        <v>50987.16</v>
      </c>
      <c r="M190" s="7" t="s">
        <v>875</v>
      </c>
      <c r="N190" s="1" t="s">
        <v>2222</v>
      </c>
      <c r="O190" s="1">
        <v>9121</v>
      </c>
    </row>
    <row r="191" spans="1:15">
      <c r="A191" s="56">
        <v>46104</v>
      </c>
      <c r="B191" s="56">
        <v>46102</v>
      </c>
      <c r="C191" s="1">
        <v>60011</v>
      </c>
      <c r="D191" s="7" t="s">
        <v>33</v>
      </c>
      <c r="E191" s="1" t="s">
        <v>2713</v>
      </c>
      <c r="F191" s="1" t="s">
        <v>2712</v>
      </c>
      <c r="G191" s="1" t="s">
        <v>38</v>
      </c>
      <c r="H191" s="1" t="s">
        <v>2714</v>
      </c>
      <c r="I191" s="1" t="s">
        <v>889</v>
      </c>
      <c r="J191" s="1">
        <v>1000</v>
      </c>
      <c r="K191" s="1">
        <v>300</v>
      </c>
      <c r="L191" s="1">
        <v>300000</v>
      </c>
      <c r="M191" s="7" t="s">
        <v>889</v>
      </c>
      <c r="N191" s="1" t="s">
        <v>2222</v>
      </c>
      <c r="O191" s="1">
        <v>9121</v>
      </c>
    </row>
    <row r="192" spans="1:15">
      <c r="A192" s="56">
        <v>46104</v>
      </c>
      <c r="B192" s="56">
        <v>46102</v>
      </c>
      <c r="C192" s="1">
        <v>60011</v>
      </c>
      <c r="D192" s="7" t="s">
        <v>33</v>
      </c>
      <c r="E192" s="1" t="s">
        <v>2713</v>
      </c>
      <c r="F192" s="1" t="s">
        <v>2712</v>
      </c>
      <c r="G192" s="1" t="s">
        <v>38</v>
      </c>
      <c r="H192" s="1" t="s">
        <v>2495</v>
      </c>
      <c r="I192" s="1" t="s">
        <v>892</v>
      </c>
      <c r="J192" s="1">
        <v>750</v>
      </c>
      <c r="K192" s="1">
        <v>326.20999999999998</v>
      </c>
      <c r="L192" s="1">
        <v>244657.5</v>
      </c>
      <c r="M192" s="7" t="s">
        <v>892</v>
      </c>
      <c r="N192" s="1" t="s">
        <v>2222</v>
      </c>
      <c r="O192" s="1">
        <v>9121</v>
      </c>
    </row>
    <row r="193" spans="1:15">
      <c r="A193" s="56">
        <v>46104</v>
      </c>
      <c r="B193" s="56">
        <v>46102</v>
      </c>
      <c r="C193" s="1">
        <v>60010</v>
      </c>
      <c r="D193" s="7" t="s">
        <v>33</v>
      </c>
      <c r="E193" s="1" t="s">
        <v>2713</v>
      </c>
      <c r="F193" s="1" t="s">
        <v>2712</v>
      </c>
      <c r="G193" s="1" t="s">
        <v>38</v>
      </c>
      <c r="H193" s="1" t="s">
        <v>2673</v>
      </c>
      <c r="I193" s="1" t="s">
        <v>560</v>
      </c>
      <c r="J193" s="1">
        <v>640</v>
      </c>
      <c r="K193" s="1">
        <v>2.81</v>
      </c>
      <c r="L193" s="1">
        <v>1798.4</v>
      </c>
      <c r="M193" s="7" t="s">
        <v>560</v>
      </c>
      <c r="N193" s="1" t="s">
        <v>2222</v>
      </c>
      <c r="O193" s="1">
        <v>8033</v>
      </c>
    </row>
    <row r="194" spans="1:15">
      <c r="A194" s="56">
        <v>46104</v>
      </c>
      <c r="B194" s="56">
        <v>46099</v>
      </c>
      <c r="C194" s="1">
        <v>60010</v>
      </c>
      <c r="D194" s="7" t="s">
        <v>36</v>
      </c>
      <c r="E194" s="1" t="s">
        <v>2716</v>
      </c>
      <c r="F194" s="1" t="s">
        <v>2715</v>
      </c>
      <c r="G194" s="1" t="s">
        <v>39</v>
      </c>
      <c r="H194" s="1" t="s">
        <v>2522</v>
      </c>
      <c r="I194" s="1" t="s">
        <v>375</v>
      </c>
      <c r="J194" s="1">
        <v>780</v>
      </c>
      <c r="K194" s="1">
        <v>128.85</v>
      </c>
      <c r="L194" s="1">
        <v>100503</v>
      </c>
      <c r="M194" s="7" t="s">
        <v>375</v>
      </c>
      <c r="N194" s="1" t="s">
        <v>2225</v>
      </c>
      <c r="O194" s="1">
        <v>8033</v>
      </c>
    </row>
    <row r="195" spans="1:15">
      <c r="A195" s="56">
        <v>46104</v>
      </c>
      <c r="B195" s="56">
        <v>46099</v>
      </c>
      <c r="C195" s="1">
        <v>60010</v>
      </c>
      <c r="D195" s="7" t="s">
        <v>36</v>
      </c>
      <c r="E195" s="1" t="s">
        <v>2716</v>
      </c>
      <c r="F195" s="1" t="s">
        <v>2715</v>
      </c>
      <c r="G195" s="1" t="s">
        <v>39</v>
      </c>
      <c r="H195" s="1" t="s">
        <v>2639</v>
      </c>
      <c r="I195" s="1" t="s">
        <v>811</v>
      </c>
      <c r="J195" s="1">
        <v>1980</v>
      </c>
      <c r="K195" s="1">
        <v>111.42</v>
      </c>
      <c r="L195" s="1">
        <v>220611.59999999998</v>
      </c>
      <c r="M195" s="7" t="s">
        <v>811</v>
      </c>
      <c r="N195" s="1" t="s">
        <v>2225</v>
      </c>
      <c r="O195" s="1">
        <v>8033</v>
      </c>
    </row>
    <row r="196" spans="1:15">
      <c r="A196" s="56">
        <v>46104</v>
      </c>
      <c r="B196" s="56">
        <v>46099</v>
      </c>
      <c r="C196" s="1">
        <v>60010</v>
      </c>
      <c r="D196" s="7" t="s">
        <v>36</v>
      </c>
      <c r="E196" s="1" t="s">
        <v>2716</v>
      </c>
      <c r="F196" s="1" t="s">
        <v>2715</v>
      </c>
      <c r="G196" s="1" t="s">
        <v>39</v>
      </c>
      <c r="H196" s="1" t="s">
        <v>2626</v>
      </c>
      <c r="I196" s="1" t="s">
        <v>378</v>
      </c>
      <c r="J196" s="1">
        <v>100</v>
      </c>
      <c r="K196" s="1">
        <v>122.37</v>
      </c>
      <c r="L196" s="1">
        <v>12237</v>
      </c>
      <c r="M196" s="7" t="s">
        <v>378</v>
      </c>
      <c r="N196" s="1" t="s">
        <v>2225</v>
      </c>
      <c r="O196" s="1">
        <v>8033</v>
      </c>
    </row>
    <row r="197" spans="1:15">
      <c r="A197" s="56">
        <v>46104</v>
      </c>
      <c r="B197" s="56">
        <v>46099</v>
      </c>
      <c r="C197" s="1">
        <v>60010</v>
      </c>
      <c r="D197" s="7" t="s">
        <v>36</v>
      </c>
      <c r="E197" s="1" t="s">
        <v>2716</v>
      </c>
      <c r="F197" s="1" t="s">
        <v>2715</v>
      </c>
      <c r="G197" s="1" t="s">
        <v>39</v>
      </c>
      <c r="H197" s="1" t="s">
        <v>2627</v>
      </c>
      <c r="I197" s="1" t="s">
        <v>381</v>
      </c>
      <c r="J197" s="1">
        <v>100</v>
      </c>
      <c r="K197" s="1">
        <v>122.37</v>
      </c>
      <c r="L197" s="1">
        <v>12237</v>
      </c>
      <c r="M197" s="7" t="s">
        <v>381</v>
      </c>
      <c r="N197" s="1" t="s">
        <v>2225</v>
      </c>
      <c r="O197" s="1">
        <v>8033</v>
      </c>
    </row>
    <row r="198" spans="1:15">
      <c r="A198" s="56">
        <v>46104</v>
      </c>
      <c r="B198" s="56">
        <v>46099</v>
      </c>
      <c r="C198" s="1">
        <v>60010</v>
      </c>
      <c r="D198" s="7" t="s">
        <v>36</v>
      </c>
      <c r="E198" s="1" t="s">
        <v>2716</v>
      </c>
      <c r="F198" s="1" t="s">
        <v>2715</v>
      </c>
      <c r="G198" s="1" t="s">
        <v>39</v>
      </c>
      <c r="H198" s="1" t="s">
        <v>2717</v>
      </c>
      <c r="I198" s="1" t="s">
        <v>790</v>
      </c>
      <c r="J198" s="1">
        <v>580</v>
      </c>
      <c r="K198" s="1">
        <v>127.44</v>
      </c>
      <c r="L198" s="1">
        <v>73915.200000000012</v>
      </c>
      <c r="M198" s="7" t="s">
        <v>790</v>
      </c>
      <c r="N198" s="1" t="s">
        <v>2225</v>
      </c>
      <c r="O198" s="1">
        <v>8033</v>
      </c>
    </row>
    <row r="199" spans="1:15">
      <c r="A199" s="56">
        <v>46104</v>
      </c>
      <c r="B199" s="56">
        <v>46101</v>
      </c>
      <c r="C199" s="1">
        <v>60010</v>
      </c>
      <c r="D199" s="7" t="s">
        <v>36</v>
      </c>
      <c r="E199" s="1" t="s">
        <v>2719</v>
      </c>
      <c r="F199" s="1" t="s">
        <v>2718</v>
      </c>
      <c r="G199" s="1" t="s">
        <v>39</v>
      </c>
      <c r="H199" s="1" t="s">
        <v>2720</v>
      </c>
      <c r="I199" s="1">
        <v>271001212</v>
      </c>
      <c r="J199" s="1">
        <v>23</v>
      </c>
      <c r="K199" s="1">
        <v>160.46</v>
      </c>
      <c r="L199" s="1">
        <v>3690.58</v>
      </c>
      <c r="M199" s="7" t="s">
        <v>408</v>
      </c>
      <c r="N199" s="1" t="s">
        <v>2225</v>
      </c>
      <c r="O199" s="1">
        <v>8033</v>
      </c>
    </row>
    <row r="200" spans="1:15">
      <c r="A200" s="56">
        <v>46104</v>
      </c>
      <c r="B200" s="56">
        <v>46101</v>
      </c>
      <c r="C200" s="1">
        <v>60010</v>
      </c>
      <c r="D200" s="7" t="s">
        <v>36</v>
      </c>
      <c r="E200" s="1" t="s">
        <v>2719</v>
      </c>
      <c r="F200" s="1" t="s">
        <v>2718</v>
      </c>
      <c r="G200" s="1" t="s">
        <v>39</v>
      </c>
      <c r="H200" s="1" t="s">
        <v>2722</v>
      </c>
      <c r="I200" s="1" t="s">
        <v>2721</v>
      </c>
      <c r="J200" s="1">
        <v>5200</v>
      </c>
      <c r="K200" s="1">
        <v>0.24</v>
      </c>
      <c r="L200" s="1">
        <v>1248</v>
      </c>
      <c r="M200" s="7" t="s">
        <v>2721</v>
      </c>
      <c r="N200" s="1" t="s">
        <v>2222</v>
      </c>
      <c r="O200" s="1">
        <v>8033</v>
      </c>
    </row>
    <row r="201" spans="1:15">
      <c r="A201" s="56">
        <v>46104</v>
      </c>
      <c r="B201" s="56">
        <v>46101</v>
      </c>
      <c r="C201" s="1">
        <v>60010</v>
      </c>
      <c r="D201" s="7" t="s">
        <v>36</v>
      </c>
      <c r="E201" s="1" t="s">
        <v>2719</v>
      </c>
      <c r="F201" s="1" t="s">
        <v>2718</v>
      </c>
      <c r="G201" s="1" t="s">
        <v>39</v>
      </c>
      <c r="H201" s="1" t="s">
        <v>2724</v>
      </c>
      <c r="I201" s="1" t="s">
        <v>2723</v>
      </c>
      <c r="J201" s="1">
        <v>5200</v>
      </c>
      <c r="K201" s="1">
        <v>0.24</v>
      </c>
      <c r="L201" s="1">
        <v>1248</v>
      </c>
      <c r="M201" s="7" t="s">
        <v>2723</v>
      </c>
      <c r="N201" s="1" t="s">
        <v>2222</v>
      </c>
      <c r="O201" s="1">
        <v>8033</v>
      </c>
    </row>
    <row r="202" spans="1:15">
      <c r="A202" s="56">
        <v>46104</v>
      </c>
      <c r="B202" s="56">
        <v>46101</v>
      </c>
      <c r="C202" s="1">
        <v>60010</v>
      </c>
      <c r="D202" s="7" t="s">
        <v>36</v>
      </c>
      <c r="E202" s="1" t="s">
        <v>2719</v>
      </c>
      <c r="F202" s="1" t="s">
        <v>2718</v>
      </c>
      <c r="G202" s="1" t="s">
        <v>39</v>
      </c>
      <c r="H202" s="1" t="s">
        <v>2704</v>
      </c>
      <c r="I202" s="1" t="s">
        <v>2703</v>
      </c>
      <c r="J202" s="1">
        <v>6800</v>
      </c>
      <c r="K202" s="1">
        <v>1.1100000000000001</v>
      </c>
      <c r="L202" s="1">
        <v>7548</v>
      </c>
      <c r="M202" s="7" t="s">
        <v>2703</v>
      </c>
      <c r="N202" s="1" t="s">
        <v>2222</v>
      </c>
      <c r="O202" s="1">
        <v>8033</v>
      </c>
    </row>
    <row r="203" spans="1:15">
      <c r="A203" s="56">
        <v>46104</v>
      </c>
      <c r="B203" s="56">
        <v>46101</v>
      </c>
      <c r="C203" s="1">
        <v>60010</v>
      </c>
      <c r="D203" s="7" t="s">
        <v>36</v>
      </c>
      <c r="E203" s="1" t="s">
        <v>2719</v>
      </c>
      <c r="F203" s="1" t="s">
        <v>2718</v>
      </c>
      <c r="G203" s="1" t="s">
        <v>39</v>
      </c>
      <c r="H203" s="1" t="s">
        <v>2726</v>
      </c>
      <c r="I203" s="1" t="s">
        <v>2725</v>
      </c>
      <c r="J203" s="1">
        <v>4000</v>
      </c>
      <c r="K203" s="1">
        <v>0.71</v>
      </c>
      <c r="L203" s="1">
        <v>2840</v>
      </c>
      <c r="M203" s="7" t="s">
        <v>2725</v>
      </c>
      <c r="N203" s="1" t="s">
        <v>2222</v>
      </c>
      <c r="O203" s="1">
        <v>8033</v>
      </c>
    </row>
    <row r="204" spans="1:15">
      <c r="A204" s="56">
        <v>46104</v>
      </c>
      <c r="B204" s="56">
        <v>46101</v>
      </c>
      <c r="C204" s="1">
        <v>60010</v>
      </c>
      <c r="D204" s="7" t="s">
        <v>36</v>
      </c>
      <c r="E204" s="1" t="s">
        <v>2719</v>
      </c>
      <c r="F204" s="1" t="s">
        <v>2718</v>
      </c>
      <c r="G204" s="1" t="s">
        <v>39</v>
      </c>
      <c r="H204" s="1" t="s">
        <v>2706</v>
      </c>
      <c r="I204" s="1" t="s">
        <v>2705</v>
      </c>
      <c r="J204" s="1">
        <v>3024</v>
      </c>
      <c r="K204" s="1">
        <v>2.13</v>
      </c>
      <c r="L204" s="1">
        <v>6441.12</v>
      </c>
      <c r="M204" s="7" t="s">
        <v>2705</v>
      </c>
      <c r="N204" s="1" t="s">
        <v>2222</v>
      </c>
      <c r="O204" s="1">
        <v>8033</v>
      </c>
    </row>
    <row r="205" spans="1:15">
      <c r="A205" s="56">
        <v>46104</v>
      </c>
      <c r="B205" s="56">
        <v>46101</v>
      </c>
      <c r="C205" s="1">
        <v>60010</v>
      </c>
      <c r="D205" s="7" t="s">
        <v>36</v>
      </c>
      <c r="E205" s="1" t="s">
        <v>2719</v>
      </c>
      <c r="F205" s="1" t="s">
        <v>2718</v>
      </c>
      <c r="G205" s="1" t="s">
        <v>39</v>
      </c>
      <c r="H205" s="1" t="s">
        <v>2728</v>
      </c>
      <c r="I205" s="1" t="s">
        <v>2727</v>
      </c>
      <c r="J205" s="1">
        <v>3500</v>
      </c>
      <c r="K205" s="1">
        <v>0.89</v>
      </c>
      <c r="L205" s="1">
        <v>3115</v>
      </c>
      <c r="M205" s="7" t="s">
        <v>2727</v>
      </c>
      <c r="N205" s="1" t="s">
        <v>2222</v>
      </c>
      <c r="O205" s="1">
        <v>8033</v>
      </c>
    </row>
    <row r="206" spans="1:15">
      <c r="A206" s="56">
        <v>46104</v>
      </c>
      <c r="B206" s="56">
        <v>46101</v>
      </c>
      <c r="C206" s="1">
        <v>60010</v>
      </c>
      <c r="D206" s="7" t="s">
        <v>36</v>
      </c>
      <c r="E206" s="1" t="s">
        <v>2719</v>
      </c>
      <c r="F206" s="1" t="s">
        <v>2718</v>
      </c>
      <c r="G206" s="1" t="s">
        <v>39</v>
      </c>
      <c r="H206" s="1" t="s">
        <v>2654</v>
      </c>
      <c r="I206" s="1" t="s">
        <v>2653</v>
      </c>
      <c r="J206" s="1">
        <v>2304</v>
      </c>
      <c r="K206" s="1">
        <v>20.190000000000001</v>
      </c>
      <c r="L206" s="1">
        <v>46517.760000000002</v>
      </c>
      <c r="M206" s="7" t="s">
        <v>2653</v>
      </c>
      <c r="N206" s="1" t="s">
        <v>2222</v>
      </c>
      <c r="O206" s="1">
        <v>8033</v>
      </c>
    </row>
    <row r="207" spans="1:15">
      <c r="A207" s="56">
        <v>46104</v>
      </c>
      <c r="B207" s="56">
        <v>46101</v>
      </c>
      <c r="C207" s="1">
        <v>60010</v>
      </c>
      <c r="D207" s="7" t="s">
        <v>36</v>
      </c>
      <c r="E207" s="1" t="s">
        <v>2719</v>
      </c>
      <c r="F207" s="1" t="s">
        <v>2718</v>
      </c>
      <c r="G207" s="1" t="s">
        <v>39</v>
      </c>
      <c r="H207" s="1" t="s">
        <v>2526</v>
      </c>
      <c r="I207" s="1" t="s">
        <v>2525</v>
      </c>
      <c r="J207" s="1">
        <v>100</v>
      </c>
      <c r="K207" s="1">
        <v>301.77</v>
      </c>
      <c r="L207" s="1">
        <v>30177</v>
      </c>
      <c r="M207" s="7" t="s">
        <v>2525</v>
      </c>
      <c r="N207" s="1" t="s">
        <v>2222</v>
      </c>
      <c r="O207" s="1">
        <v>8033</v>
      </c>
    </row>
    <row r="208" spans="1:15">
      <c r="A208" s="56">
        <v>46104</v>
      </c>
      <c r="B208" s="56">
        <v>46101</v>
      </c>
      <c r="C208" s="1">
        <v>60010</v>
      </c>
      <c r="D208" s="7" t="s">
        <v>36</v>
      </c>
      <c r="E208" s="1" t="s">
        <v>2719</v>
      </c>
      <c r="F208" s="1" t="s">
        <v>2718</v>
      </c>
      <c r="G208" s="1" t="s">
        <v>39</v>
      </c>
      <c r="H208" s="1" t="s">
        <v>2528</v>
      </c>
      <c r="I208" s="1" t="s">
        <v>2527</v>
      </c>
      <c r="J208" s="1">
        <v>100</v>
      </c>
      <c r="K208" s="1">
        <v>314.69</v>
      </c>
      <c r="L208" s="1">
        <v>31469</v>
      </c>
      <c r="M208" s="7" t="s">
        <v>2527</v>
      </c>
      <c r="N208" s="1" t="s">
        <v>2222</v>
      </c>
      <c r="O208" s="1">
        <v>8033</v>
      </c>
    </row>
    <row r="209" spans="1:15">
      <c r="A209" s="56">
        <v>46104</v>
      </c>
      <c r="B209" s="56">
        <v>46101</v>
      </c>
      <c r="C209" s="1">
        <v>60010</v>
      </c>
      <c r="D209" s="7" t="s">
        <v>36</v>
      </c>
      <c r="E209" s="1" t="s">
        <v>2719</v>
      </c>
      <c r="F209" s="1" t="s">
        <v>2718</v>
      </c>
      <c r="G209" s="1" t="s">
        <v>39</v>
      </c>
      <c r="H209" s="1" t="s">
        <v>2638</v>
      </c>
      <c r="I209" s="1" t="s">
        <v>365</v>
      </c>
      <c r="J209" s="1">
        <v>296</v>
      </c>
      <c r="K209" s="1">
        <v>129.30000000000001</v>
      </c>
      <c r="L209" s="1">
        <v>38272.800000000003</v>
      </c>
      <c r="M209" s="7" t="s">
        <v>365</v>
      </c>
      <c r="N209" s="1" t="s">
        <v>2225</v>
      </c>
      <c r="O209" s="1">
        <v>8033</v>
      </c>
    </row>
    <row r="210" spans="1:15">
      <c r="A210" s="56">
        <v>46104</v>
      </c>
      <c r="B210" s="56">
        <v>46101</v>
      </c>
      <c r="C210" s="1">
        <v>60010</v>
      </c>
      <c r="D210" s="7" t="s">
        <v>36</v>
      </c>
      <c r="E210" s="1" t="s">
        <v>2719</v>
      </c>
      <c r="F210" s="1" t="s">
        <v>2718</v>
      </c>
      <c r="G210" s="1" t="s">
        <v>39</v>
      </c>
      <c r="H210" s="1" t="s">
        <v>2639</v>
      </c>
      <c r="I210" s="1" t="s">
        <v>808</v>
      </c>
      <c r="J210" s="1">
        <v>1100</v>
      </c>
      <c r="K210" s="1">
        <v>112.82</v>
      </c>
      <c r="L210" s="1">
        <v>124102</v>
      </c>
      <c r="M210" s="7" t="s">
        <v>808</v>
      </c>
      <c r="N210" s="1" t="s">
        <v>2225</v>
      </c>
      <c r="O210" s="1">
        <v>8033</v>
      </c>
    </row>
    <row r="211" spans="1:15">
      <c r="A211" s="56">
        <v>46104</v>
      </c>
      <c r="B211" s="56">
        <v>46101</v>
      </c>
      <c r="C211" s="1">
        <v>60010</v>
      </c>
      <c r="D211" s="7" t="s">
        <v>36</v>
      </c>
      <c r="E211" s="1" t="s">
        <v>2719</v>
      </c>
      <c r="F211" s="1" t="s">
        <v>2718</v>
      </c>
      <c r="G211" s="1" t="s">
        <v>39</v>
      </c>
      <c r="H211" s="1" t="s">
        <v>2444</v>
      </c>
      <c r="I211" s="1" t="s">
        <v>787</v>
      </c>
      <c r="J211" s="1">
        <v>3060</v>
      </c>
      <c r="K211" s="1">
        <v>121.79</v>
      </c>
      <c r="L211" s="1">
        <v>372677.4</v>
      </c>
      <c r="M211" s="7" t="s">
        <v>787</v>
      </c>
      <c r="N211" s="1" t="s">
        <v>2225</v>
      </c>
      <c r="O211" s="1">
        <v>8033</v>
      </c>
    </row>
    <row r="212" spans="1:15">
      <c r="A212" s="56">
        <v>46104</v>
      </c>
      <c r="B212" s="56">
        <v>46101</v>
      </c>
      <c r="C212" s="1">
        <v>60010</v>
      </c>
      <c r="D212" s="7" t="s">
        <v>36</v>
      </c>
      <c r="E212" s="1" t="s">
        <v>2719</v>
      </c>
      <c r="F212" s="1" t="s">
        <v>2718</v>
      </c>
      <c r="G212" s="1" t="s">
        <v>39</v>
      </c>
      <c r="H212" s="1" t="s">
        <v>2717</v>
      </c>
      <c r="I212" s="1" t="s">
        <v>790</v>
      </c>
      <c r="J212" s="1">
        <v>120</v>
      </c>
      <c r="K212" s="1">
        <v>127.44</v>
      </c>
      <c r="L212" s="1">
        <v>15292.8</v>
      </c>
      <c r="M212" s="7" t="s">
        <v>790</v>
      </c>
      <c r="N212" s="1" t="s">
        <v>2225</v>
      </c>
      <c r="O212" s="1">
        <v>8033</v>
      </c>
    </row>
    <row r="213" spans="1:15">
      <c r="A213" s="56">
        <v>46104</v>
      </c>
      <c r="B213" s="56">
        <v>46101</v>
      </c>
      <c r="C213" s="1">
        <v>60010</v>
      </c>
      <c r="D213" s="7" t="s">
        <v>36</v>
      </c>
      <c r="E213" s="1" t="s">
        <v>2719</v>
      </c>
      <c r="F213" s="1" t="s">
        <v>2718</v>
      </c>
      <c r="G213" s="1" t="s">
        <v>39</v>
      </c>
      <c r="H213" s="1" t="s">
        <v>2730</v>
      </c>
      <c r="I213" s="1" t="s">
        <v>2729</v>
      </c>
      <c r="J213" s="1">
        <v>20</v>
      </c>
      <c r="K213" s="1">
        <v>115.45</v>
      </c>
      <c r="L213" s="1">
        <v>2309</v>
      </c>
      <c r="M213" s="7" t="s">
        <v>2729</v>
      </c>
      <c r="N213" s="1" t="s">
        <v>2222</v>
      </c>
      <c r="O213" s="1">
        <v>8033</v>
      </c>
    </row>
    <row r="214" spans="1:15">
      <c r="A214" s="56">
        <v>46104</v>
      </c>
      <c r="B214" s="56">
        <v>46101</v>
      </c>
      <c r="C214" s="1">
        <v>60010</v>
      </c>
      <c r="D214" s="7" t="s">
        <v>36</v>
      </c>
      <c r="E214" s="1" t="s">
        <v>2719</v>
      </c>
      <c r="F214" s="1" t="s">
        <v>2718</v>
      </c>
      <c r="G214" s="1" t="s">
        <v>39</v>
      </c>
      <c r="H214" s="1" t="s">
        <v>2732</v>
      </c>
      <c r="I214" s="1" t="s">
        <v>2731</v>
      </c>
      <c r="J214" s="1">
        <v>250</v>
      </c>
      <c r="K214" s="1">
        <v>115.11</v>
      </c>
      <c r="L214" s="1">
        <v>28777.5</v>
      </c>
      <c r="M214" s="7" t="s">
        <v>2731</v>
      </c>
      <c r="N214" s="1" t="s">
        <v>2222</v>
      </c>
      <c r="O214" s="1">
        <v>8033</v>
      </c>
    </row>
    <row r="215" spans="1:15">
      <c r="A215" s="56">
        <v>46104</v>
      </c>
      <c r="B215" s="56">
        <v>46101</v>
      </c>
      <c r="C215" s="1">
        <v>60010</v>
      </c>
      <c r="D215" s="7" t="s">
        <v>36</v>
      </c>
      <c r="E215" s="1" t="s">
        <v>2719</v>
      </c>
      <c r="F215" s="1" t="s">
        <v>2718</v>
      </c>
      <c r="G215" s="1" t="s">
        <v>39</v>
      </c>
      <c r="H215" s="1" t="s">
        <v>2734</v>
      </c>
      <c r="I215" s="1" t="s">
        <v>2733</v>
      </c>
      <c r="J215" s="1">
        <v>20</v>
      </c>
      <c r="K215" s="1">
        <v>115.14</v>
      </c>
      <c r="L215" s="1">
        <v>2302.8000000000002</v>
      </c>
      <c r="M215" s="7" t="s">
        <v>2733</v>
      </c>
      <c r="N215" s="1" t="s">
        <v>2222</v>
      </c>
      <c r="O215" s="1">
        <v>8033</v>
      </c>
    </row>
    <row r="216" spans="1:15">
      <c r="A216" s="56">
        <v>46104</v>
      </c>
      <c r="B216" s="56">
        <v>46101</v>
      </c>
      <c r="C216" s="1">
        <v>60010</v>
      </c>
      <c r="D216" s="7" t="s">
        <v>36</v>
      </c>
      <c r="E216" s="1" t="s">
        <v>2719</v>
      </c>
      <c r="F216" s="1" t="s">
        <v>2718</v>
      </c>
      <c r="G216" s="1" t="s">
        <v>39</v>
      </c>
      <c r="H216" s="1" t="s">
        <v>2736</v>
      </c>
      <c r="I216" s="1" t="s">
        <v>2735</v>
      </c>
      <c r="J216" s="1">
        <v>20</v>
      </c>
      <c r="K216" s="1">
        <v>120.92</v>
      </c>
      <c r="L216" s="1">
        <v>2418.4</v>
      </c>
      <c r="M216" s="7" t="s">
        <v>2735</v>
      </c>
      <c r="N216" s="1" t="s">
        <v>2222</v>
      </c>
      <c r="O216" s="1">
        <v>8033</v>
      </c>
    </row>
    <row r="217" spans="1:15">
      <c r="A217" s="56">
        <v>46104</v>
      </c>
      <c r="B217" s="56">
        <v>46101</v>
      </c>
      <c r="C217" s="1">
        <v>60010</v>
      </c>
      <c r="D217" s="7" t="s">
        <v>36</v>
      </c>
      <c r="E217" s="1" t="s">
        <v>2719</v>
      </c>
      <c r="F217" s="1" t="s">
        <v>2718</v>
      </c>
      <c r="G217" s="1" t="s">
        <v>39</v>
      </c>
      <c r="H217" s="1" t="s">
        <v>2738</v>
      </c>
      <c r="I217" s="1" t="s">
        <v>2737</v>
      </c>
      <c r="J217" s="1">
        <v>250</v>
      </c>
      <c r="K217" s="1">
        <v>120.34</v>
      </c>
      <c r="L217" s="1">
        <v>30085</v>
      </c>
      <c r="M217" s="7" t="s">
        <v>2737</v>
      </c>
      <c r="N217" s="1" t="s">
        <v>2222</v>
      </c>
      <c r="O217" s="1">
        <v>8033</v>
      </c>
    </row>
    <row r="218" spans="1:15">
      <c r="A218" s="56">
        <v>46104</v>
      </c>
      <c r="B218" s="56">
        <v>46101</v>
      </c>
      <c r="C218" s="1">
        <v>60010</v>
      </c>
      <c r="D218" s="7" t="s">
        <v>36</v>
      </c>
      <c r="E218" s="1" t="s">
        <v>2719</v>
      </c>
      <c r="F218" s="1" t="s">
        <v>2718</v>
      </c>
      <c r="G218" s="1" t="s">
        <v>39</v>
      </c>
      <c r="H218" s="1" t="s">
        <v>783</v>
      </c>
      <c r="I218" s="1" t="s">
        <v>781</v>
      </c>
      <c r="J218" s="1">
        <v>15000</v>
      </c>
      <c r="K218" s="1">
        <v>0.57999999999999996</v>
      </c>
      <c r="L218" s="1">
        <v>8700</v>
      </c>
      <c r="M218" s="7" t="s">
        <v>781</v>
      </c>
      <c r="N218" s="1" t="s">
        <v>2225</v>
      </c>
      <c r="O218" s="1">
        <v>8033</v>
      </c>
    </row>
    <row r="219" spans="1:15">
      <c r="A219" s="56">
        <v>46104</v>
      </c>
      <c r="B219" s="56">
        <v>46101</v>
      </c>
      <c r="C219" s="1">
        <v>60010</v>
      </c>
      <c r="D219" s="7" t="s">
        <v>36</v>
      </c>
      <c r="E219" s="1" t="s">
        <v>2719</v>
      </c>
      <c r="F219" s="1" t="s">
        <v>2718</v>
      </c>
      <c r="G219" s="1" t="s">
        <v>39</v>
      </c>
      <c r="H219" s="1" t="s">
        <v>2633</v>
      </c>
      <c r="I219" s="1" t="s">
        <v>778</v>
      </c>
      <c r="J219" s="1">
        <v>4000</v>
      </c>
      <c r="K219" s="1">
        <v>1.19</v>
      </c>
      <c r="L219" s="1">
        <v>4760</v>
      </c>
      <c r="M219" s="7" t="s">
        <v>778</v>
      </c>
      <c r="N219" s="1" t="s">
        <v>2225</v>
      </c>
      <c r="O219" s="1">
        <v>8033</v>
      </c>
    </row>
    <row r="220" spans="1:15">
      <c r="A220" s="56">
        <v>46104</v>
      </c>
      <c r="B220" s="56">
        <v>46101</v>
      </c>
      <c r="C220" s="1">
        <v>60010</v>
      </c>
      <c r="D220" s="7" t="s">
        <v>36</v>
      </c>
      <c r="E220" s="1" t="s">
        <v>2719</v>
      </c>
      <c r="F220" s="1" t="s">
        <v>2718</v>
      </c>
      <c r="G220" s="1" t="s">
        <v>39</v>
      </c>
      <c r="H220" s="1" t="s">
        <v>2739</v>
      </c>
      <c r="I220" s="1" t="s">
        <v>563</v>
      </c>
      <c r="J220" s="1">
        <v>1386</v>
      </c>
      <c r="K220" s="1">
        <v>1.8</v>
      </c>
      <c r="L220" s="1">
        <v>2494.8000000000002</v>
      </c>
      <c r="M220" s="7" t="s">
        <v>563</v>
      </c>
      <c r="N220" s="1" t="s">
        <v>2225</v>
      </c>
      <c r="O220" s="1">
        <v>8033</v>
      </c>
    </row>
    <row r="221" spans="1:15">
      <c r="A221" s="56">
        <v>46104</v>
      </c>
      <c r="B221" s="56">
        <v>46101</v>
      </c>
      <c r="C221" s="1">
        <v>60010</v>
      </c>
      <c r="D221" s="7" t="s">
        <v>36</v>
      </c>
      <c r="E221" s="1" t="s">
        <v>2719</v>
      </c>
      <c r="F221" s="1" t="s">
        <v>2718</v>
      </c>
      <c r="G221" s="1" t="s">
        <v>39</v>
      </c>
      <c r="H221" s="1" t="s">
        <v>2675</v>
      </c>
      <c r="I221" s="1" t="s">
        <v>572</v>
      </c>
      <c r="J221" s="1">
        <v>384</v>
      </c>
      <c r="K221" s="1">
        <v>1.08</v>
      </c>
      <c r="L221" s="1">
        <v>414.72</v>
      </c>
      <c r="M221" s="7" t="s">
        <v>572</v>
      </c>
      <c r="N221" s="1" t="s">
        <v>2225</v>
      </c>
      <c r="O221" s="1">
        <v>8033</v>
      </c>
    </row>
    <row r="222" spans="1:15">
      <c r="A222" s="56">
        <v>46104</v>
      </c>
      <c r="B222" s="56">
        <v>46101</v>
      </c>
      <c r="C222" s="1">
        <v>60010</v>
      </c>
      <c r="D222" s="7" t="s">
        <v>36</v>
      </c>
      <c r="E222" s="1" t="s">
        <v>2719</v>
      </c>
      <c r="F222" s="1" t="s">
        <v>2718</v>
      </c>
      <c r="G222" s="1" t="s">
        <v>39</v>
      </c>
      <c r="H222" s="1" t="s">
        <v>2676</v>
      </c>
      <c r="I222" s="1" t="s">
        <v>575</v>
      </c>
      <c r="J222" s="1">
        <v>276</v>
      </c>
      <c r="K222" s="1">
        <v>1.4</v>
      </c>
      <c r="L222" s="1">
        <v>386.4</v>
      </c>
      <c r="M222" s="7" t="s">
        <v>575</v>
      </c>
      <c r="N222" s="1" t="s">
        <v>2225</v>
      </c>
      <c r="O222" s="1">
        <v>8033</v>
      </c>
    </row>
    <row r="223" spans="1:15">
      <c r="A223" s="56">
        <v>46105</v>
      </c>
      <c r="B223" s="56">
        <v>46105</v>
      </c>
      <c r="C223" s="1">
        <v>60011</v>
      </c>
      <c r="D223" s="7" t="s">
        <v>35</v>
      </c>
      <c r="E223" s="1" t="s">
        <v>2741</v>
      </c>
      <c r="F223" s="1" t="s">
        <v>2740</v>
      </c>
      <c r="G223" s="1" t="s">
        <v>38</v>
      </c>
      <c r="H223" s="1" t="s">
        <v>2518</v>
      </c>
      <c r="I223" s="1" t="s">
        <v>2171</v>
      </c>
      <c r="J223" s="1">
        <v>54</v>
      </c>
      <c r="K223" s="1">
        <v>157.02000000000001</v>
      </c>
      <c r="L223" s="1">
        <v>8479.08</v>
      </c>
      <c r="M223" s="7" t="s">
        <v>2171</v>
      </c>
      <c r="N223" s="1" t="s">
        <v>2222</v>
      </c>
      <c r="O223" s="1">
        <v>9121</v>
      </c>
    </row>
    <row r="224" spans="1:15">
      <c r="A224" s="56">
        <v>46105</v>
      </c>
      <c r="B224" s="56">
        <v>46105</v>
      </c>
      <c r="C224" s="1">
        <v>60011</v>
      </c>
      <c r="D224" s="7" t="s">
        <v>35</v>
      </c>
      <c r="E224" s="1" t="s">
        <v>2741</v>
      </c>
      <c r="F224" s="1" t="s">
        <v>2740</v>
      </c>
      <c r="G224" s="1" t="s">
        <v>38</v>
      </c>
      <c r="H224" s="1" t="s">
        <v>2667</v>
      </c>
      <c r="I224" s="1" t="s">
        <v>2172</v>
      </c>
      <c r="J224" s="1">
        <v>600</v>
      </c>
      <c r="K224" s="1">
        <v>161.30000000000001</v>
      </c>
      <c r="L224" s="1">
        <v>96780</v>
      </c>
      <c r="M224" s="7" t="s">
        <v>2172</v>
      </c>
      <c r="N224" s="1" t="s">
        <v>2222</v>
      </c>
      <c r="O224" s="1">
        <v>9121</v>
      </c>
    </row>
    <row r="225" spans="1:15">
      <c r="A225" s="56">
        <v>46105</v>
      </c>
      <c r="B225" s="56">
        <v>46105</v>
      </c>
      <c r="C225" s="1">
        <v>60011</v>
      </c>
      <c r="D225" s="7" t="s">
        <v>35</v>
      </c>
      <c r="E225" s="1" t="s">
        <v>2741</v>
      </c>
      <c r="F225" s="1" t="s">
        <v>2740</v>
      </c>
      <c r="G225" s="1" t="s">
        <v>38</v>
      </c>
      <c r="H225" s="1" t="s">
        <v>2603</v>
      </c>
      <c r="I225" s="1" t="s">
        <v>2173</v>
      </c>
      <c r="J225" s="1">
        <v>1632</v>
      </c>
      <c r="K225" s="1">
        <v>166.61</v>
      </c>
      <c r="L225" s="1">
        <v>271907.52</v>
      </c>
      <c r="M225" s="7" t="s">
        <v>2173</v>
      </c>
      <c r="N225" s="1" t="s">
        <v>2222</v>
      </c>
      <c r="O225" s="1">
        <v>9121</v>
      </c>
    </row>
    <row r="226" spans="1:15">
      <c r="A226" s="56">
        <v>46107</v>
      </c>
      <c r="B226" s="56">
        <v>46100</v>
      </c>
      <c r="C226" s="1">
        <v>60011</v>
      </c>
      <c r="D226" s="7" t="s">
        <v>33</v>
      </c>
      <c r="E226" s="1" t="s">
        <v>2743</v>
      </c>
      <c r="F226" s="1" t="s">
        <v>2742</v>
      </c>
      <c r="G226" s="1" t="s">
        <v>38</v>
      </c>
      <c r="H226" s="1" t="s">
        <v>2493</v>
      </c>
      <c r="I226" s="1">
        <v>108222129</v>
      </c>
      <c r="J226" s="1">
        <v>3024</v>
      </c>
      <c r="K226" s="1">
        <v>197.34</v>
      </c>
      <c r="L226" s="1">
        <v>596756.15999999992</v>
      </c>
      <c r="M226" s="7" t="s">
        <v>874</v>
      </c>
      <c r="N226" s="1" t="s">
        <v>2222</v>
      </c>
      <c r="O226" s="1">
        <v>9121</v>
      </c>
    </row>
    <row r="227" spans="1:15">
      <c r="A227" s="56">
        <v>46107</v>
      </c>
      <c r="B227" s="56">
        <v>46105</v>
      </c>
      <c r="C227" s="1">
        <v>60011</v>
      </c>
      <c r="D227" s="7" t="s">
        <v>33</v>
      </c>
      <c r="E227" s="1" t="s">
        <v>2745</v>
      </c>
      <c r="F227" s="1" t="s">
        <v>2744</v>
      </c>
      <c r="G227" s="1" t="s">
        <v>38</v>
      </c>
      <c r="H227" s="1" t="s">
        <v>2494</v>
      </c>
      <c r="I227" s="1">
        <v>108230131</v>
      </c>
      <c r="J227" s="1">
        <v>866</v>
      </c>
      <c r="K227" s="1">
        <v>202.33</v>
      </c>
      <c r="L227" s="1">
        <v>175217.78</v>
      </c>
      <c r="M227" s="7" t="s">
        <v>875</v>
      </c>
      <c r="N227" s="1" t="s">
        <v>2222</v>
      </c>
      <c r="O227" s="1">
        <v>9121</v>
      </c>
    </row>
    <row r="228" spans="1:15">
      <c r="A228" s="56">
        <v>46107</v>
      </c>
      <c r="B228" s="56">
        <v>46105</v>
      </c>
      <c r="C228" s="1">
        <v>60011</v>
      </c>
      <c r="D228" s="7" t="s">
        <v>33</v>
      </c>
      <c r="E228" s="1" t="s">
        <v>2745</v>
      </c>
      <c r="F228" s="1" t="s">
        <v>2744</v>
      </c>
      <c r="G228" s="1" t="s">
        <v>38</v>
      </c>
      <c r="H228" s="1" t="s">
        <v>2746</v>
      </c>
      <c r="I228" s="1" t="s">
        <v>895</v>
      </c>
      <c r="J228" s="1">
        <v>500</v>
      </c>
      <c r="K228" s="1">
        <v>389.98</v>
      </c>
      <c r="L228" s="1">
        <v>194990</v>
      </c>
      <c r="M228" s="7" t="s">
        <v>895</v>
      </c>
      <c r="N228" s="1" t="s">
        <v>2222</v>
      </c>
      <c r="O228" s="1">
        <v>9121</v>
      </c>
    </row>
    <row r="229" spans="1:15">
      <c r="A229" s="56">
        <v>46107</v>
      </c>
      <c r="B229" s="56">
        <v>46105</v>
      </c>
      <c r="C229" s="1">
        <v>60011</v>
      </c>
      <c r="D229" s="7" t="s">
        <v>33</v>
      </c>
      <c r="E229" s="1" t="s">
        <v>2745</v>
      </c>
      <c r="F229" s="1" t="s">
        <v>2744</v>
      </c>
      <c r="G229" s="1" t="s">
        <v>38</v>
      </c>
      <c r="H229" s="1" t="s">
        <v>2495</v>
      </c>
      <c r="I229" s="1" t="s">
        <v>892</v>
      </c>
      <c r="J229" s="1">
        <v>750</v>
      </c>
      <c r="K229" s="1">
        <v>326.20999999999998</v>
      </c>
      <c r="L229" s="1">
        <v>244657.5</v>
      </c>
      <c r="M229" s="7" t="s">
        <v>892</v>
      </c>
      <c r="N229" s="1" t="s">
        <v>2222</v>
      </c>
      <c r="O229" s="1">
        <v>9121</v>
      </c>
    </row>
    <row r="230" spans="1:15">
      <c r="A230" s="56">
        <v>46107</v>
      </c>
      <c r="B230" s="56">
        <v>46105</v>
      </c>
      <c r="C230" s="1">
        <v>60011</v>
      </c>
      <c r="D230" s="7" t="s">
        <v>33</v>
      </c>
      <c r="E230" s="1" t="s">
        <v>2745</v>
      </c>
      <c r="F230" s="1" t="s">
        <v>2744</v>
      </c>
      <c r="G230" s="1" t="s">
        <v>38</v>
      </c>
      <c r="H230" s="1" t="s">
        <v>2747</v>
      </c>
      <c r="I230" s="1" t="s">
        <v>893</v>
      </c>
      <c r="J230" s="1">
        <v>500</v>
      </c>
      <c r="K230" s="1">
        <v>340.59</v>
      </c>
      <c r="L230" s="1">
        <v>170295</v>
      </c>
      <c r="M230" s="7" t="s">
        <v>893</v>
      </c>
      <c r="N230" s="1" t="s">
        <v>2222</v>
      </c>
      <c r="O230" s="1">
        <v>9121</v>
      </c>
    </row>
    <row r="231" spans="1:15">
      <c r="A231" s="56">
        <v>46108</v>
      </c>
      <c r="B231" s="56">
        <v>46104</v>
      </c>
      <c r="C231" s="1">
        <v>60010</v>
      </c>
      <c r="D231" s="7" t="s">
        <v>36</v>
      </c>
      <c r="E231" s="1" t="s">
        <v>2749</v>
      </c>
      <c r="F231" s="1" t="s">
        <v>2748</v>
      </c>
      <c r="G231" s="1" t="s">
        <v>39</v>
      </c>
      <c r="H231" s="1" t="s">
        <v>2750</v>
      </c>
      <c r="I231" s="1" t="s">
        <v>646</v>
      </c>
      <c r="J231" s="1">
        <v>6800</v>
      </c>
      <c r="K231" s="1">
        <v>0.6</v>
      </c>
      <c r="L231" s="1">
        <v>4080</v>
      </c>
      <c r="M231" s="7" t="s">
        <v>646</v>
      </c>
      <c r="N231" s="1" t="s">
        <v>2225</v>
      </c>
      <c r="O231" s="1">
        <v>8033</v>
      </c>
    </row>
    <row r="232" spans="1:15">
      <c r="A232" s="56">
        <v>46108</v>
      </c>
      <c r="B232" s="56">
        <v>46104</v>
      </c>
      <c r="C232" s="1">
        <v>60010</v>
      </c>
      <c r="D232" s="7" t="s">
        <v>36</v>
      </c>
      <c r="E232" s="1" t="s">
        <v>2749</v>
      </c>
      <c r="F232" s="1" t="s">
        <v>2748</v>
      </c>
      <c r="G232" s="1" t="s">
        <v>39</v>
      </c>
      <c r="H232" s="1" t="s">
        <v>2751</v>
      </c>
      <c r="I232" s="1" t="s">
        <v>649</v>
      </c>
      <c r="J232" s="1">
        <v>3400</v>
      </c>
      <c r="K232" s="1">
        <v>1.0900000000000001</v>
      </c>
      <c r="L232" s="1">
        <v>3706</v>
      </c>
      <c r="M232" s="7" t="s">
        <v>649</v>
      </c>
      <c r="N232" s="1" t="s">
        <v>2225</v>
      </c>
      <c r="O232" s="1">
        <v>8033</v>
      </c>
    </row>
    <row r="233" spans="1:15">
      <c r="A233" s="56">
        <v>46108</v>
      </c>
      <c r="B233" s="56">
        <v>46104</v>
      </c>
      <c r="C233" s="1">
        <v>60010</v>
      </c>
      <c r="D233" s="7" t="s">
        <v>36</v>
      </c>
      <c r="E233" s="1" t="s">
        <v>2749</v>
      </c>
      <c r="F233" s="1" t="s">
        <v>2748</v>
      </c>
      <c r="G233" s="1" t="s">
        <v>39</v>
      </c>
      <c r="H233" s="1" t="s">
        <v>2753</v>
      </c>
      <c r="I233" s="1" t="s">
        <v>2752</v>
      </c>
      <c r="J233" s="1">
        <v>3400</v>
      </c>
      <c r="K233" s="1">
        <v>0.6</v>
      </c>
      <c r="L233" s="1">
        <v>2040</v>
      </c>
      <c r="M233" s="7" t="s">
        <v>2752</v>
      </c>
      <c r="N233" s="1" t="s">
        <v>2222</v>
      </c>
      <c r="O233" s="1">
        <v>8033</v>
      </c>
    </row>
    <row r="234" spans="1:15">
      <c r="A234" s="56">
        <v>46108</v>
      </c>
      <c r="B234" s="56">
        <v>46104</v>
      </c>
      <c r="C234" s="1">
        <v>60010</v>
      </c>
      <c r="D234" s="7" t="s">
        <v>36</v>
      </c>
      <c r="E234" s="1" t="s">
        <v>2749</v>
      </c>
      <c r="F234" s="1" t="s">
        <v>2748</v>
      </c>
      <c r="G234" s="1" t="s">
        <v>39</v>
      </c>
      <c r="H234" s="1" t="s">
        <v>2637</v>
      </c>
      <c r="I234" s="1" t="s">
        <v>2754</v>
      </c>
      <c r="J234" s="1">
        <v>432</v>
      </c>
      <c r="K234" s="1">
        <v>149.35</v>
      </c>
      <c r="L234" s="1">
        <v>64519.199999999997</v>
      </c>
      <c r="M234" s="7" t="s">
        <v>2754</v>
      </c>
      <c r="N234" s="1" t="s">
        <v>2222</v>
      </c>
      <c r="O234" s="1">
        <v>8033</v>
      </c>
    </row>
    <row r="235" spans="1:15">
      <c r="A235" s="56">
        <v>46108</v>
      </c>
      <c r="B235" s="56">
        <v>46104</v>
      </c>
      <c r="C235" s="1">
        <v>60010</v>
      </c>
      <c r="D235" s="7" t="s">
        <v>36</v>
      </c>
      <c r="E235" s="1" t="s">
        <v>2749</v>
      </c>
      <c r="F235" s="1" t="s">
        <v>2748</v>
      </c>
      <c r="G235" s="1" t="s">
        <v>39</v>
      </c>
      <c r="H235" s="1" t="s">
        <v>2755</v>
      </c>
      <c r="I235" s="1" t="s">
        <v>313</v>
      </c>
      <c r="J235" s="1">
        <v>300</v>
      </c>
      <c r="K235" s="1">
        <v>119.22</v>
      </c>
      <c r="L235" s="1">
        <v>35766</v>
      </c>
      <c r="M235" s="7" t="s">
        <v>313</v>
      </c>
      <c r="N235" s="1" t="s">
        <v>2225</v>
      </c>
      <c r="O235" s="1">
        <v>8033</v>
      </c>
    </row>
    <row r="236" spans="1:15">
      <c r="A236" s="56">
        <v>46108</v>
      </c>
      <c r="B236" s="56">
        <v>46104</v>
      </c>
      <c r="C236" s="1">
        <v>60010</v>
      </c>
      <c r="D236" s="7" t="s">
        <v>36</v>
      </c>
      <c r="E236" s="1" t="s">
        <v>2749</v>
      </c>
      <c r="F236" s="1" t="s">
        <v>2748</v>
      </c>
      <c r="G236" s="1" t="s">
        <v>39</v>
      </c>
      <c r="H236" s="1" t="s">
        <v>2756</v>
      </c>
      <c r="I236" s="1" t="s">
        <v>825</v>
      </c>
      <c r="J236" s="1">
        <v>1000</v>
      </c>
      <c r="K236" s="1">
        <v>115.32</v>
      </c>
      <c r="L236" s="1">
        <v>115320</v>
      </c>
      <c r="M236" s="7" t="s">
        <v>825</v>
      </c>
      <c r="N236" s="1" t="s">
        <v>2225</v>
      </c>
      <c r="O236" s="1">
        <v>8033</v>
      </c>
    </row>
    <row r="237" spans="1:15">
      <c r="A237" s="56">
        <v>46108</v>
      </c>
      <c r="B237" s="56">
        <v>46104</v>
      </c>
      <c r="C237" s="1">
        <v>60010</v>
      </c>
      <c r="D237" s="7" t="s">
        <v>36</v>
      </c>
      <c r="E237" s="1" t="s">
        <v>2749</v>
      </c>
      <c r="F237" s="1" t="s">
        <v>2748</v>
      </c>
      <c r="G237" s="1" t="s">
        <v>39</v>
      </c>
      <c r="H237" s="1" t="s">
        <v>2641</v>
      </c>
      <c r="I237" s="1" t="s">
        <v>390</v>
      </c>
      <c r="J237" s="1">
        <v>190</v>
      </c>
      <c r="K237" s="1">
        <v>137.58000000000001</v>
      </c>
      <c r="L237" s="1">
        <v>26140.2</v>
      </c>
      <c r="M237" s="7" t="s">
        <v>390</v>
      </c>
      <c r="N237" s="1" t="s">
        <v>2225</v>
      </c>
      <c r="O237" s="1">
        <v>8033</v>
      </c>
    </row>
    <row r="238" spans="1:15">
      <c r="A238" s="56">
        <v>46108</v>
      </c>
      <c r="B238" s="56">
        <v>46104</v>
      </c>
      <c r="C238" s="1">
        <v>60010</v>
      </c>
      <c r="D238" s="7" t="s">
        <v>36</v>
      </c>
      <c r="E238" s="1" t="s">
        <v>2749</v>
      </c>
      <c r="F238" s="1" t="s">
        <v>2748</v>
      </c>
      <c r="G238" s="1" t="s">
        <v>39</v>
      </c>
      <c r="H238" s="1" t="s">
        <v>2629</v>
      </c>
      <c r="I238" s="1" t="s">
        <v>799</v>
      </c>
      <c r="J238" s="1">
        <v>690</v>
      </c>
      <c r="K238" s="1">
        <v>137.03</v>
      </c>
      <c r="L238" s="1">
        <v>94550.700000000012</v>
      </c>
      <c r="M238" s="7" t="s">
        <v>799</v>
      </c>
      <c r="N238" s="1" t="s">
        <v>2225</v>
      </c>
      <c r="O238" s="1">
        <v>8033</v>
      </c>
    </row>
    <row r="239" spans="1:15">
      <c r="A239" s="56">
        <v>46108</v>
      </c>
      <c r="B239" s="56">
        <v>46104</v>
      </c>
      <c r="C239" s="1">
        <v>60010</v>
      </c>
      <c r="D239" s="7" t="s">
        <v>36</v>
      </c>
      <c r="E239" s="1" t="s">
        <v>2749</v>
      </c>
      <c r="F239" s="1" t="s">
        <v>2748</v>
      </c>
      <c r="G239" s="1" t="s">
        <v>39</v>
      </c>
      <c r="H239" s="1" t="s">
        <v>2630</v>
      </c>
      <c r="I239" s="1" t="s">
        <v>802</v>
      </c>
      <c r="J239" s="1">
        <v>300</v>
      </c>
      <c r="K239" s="1">
        <v>141.93</v>
      </c>
      <c r="L239" s="1">
        <v>42579</v>
      </c>
      <c r="M239" s="7" t="s">
        <v>802</v>
      </c>
      <c r="N239" s="1" t="s">
        <v>2225</v>
      </c>
      <c r="O239" s="1">
        <v>8033</v>
      </c>
    </row>
    <row r="240" spans="1:15">
      <c r="A240" s="56">
        <v>46108</v>
      </c>
      <c r="B240" s="56">
        <v>46104</v>
      </c>
      <c r="C240" s="1">
        <v>60010</v>
      </c>
      <c r="D240" s="7" t="s">
        <v>36</v>
      </c>
      <c r="E240" s="1" t="s">
        <v>2749</v>
      </c>
      <c r="F240" s="1" t="s">
        <v>2748</v>
      </c>
      <c r="G240" s="1" t="s">
        <v>39</v>
      </c>
      <c r="H240" s="1" t="s">
        <v>2757</v>
      </c>
      <c r="I240" s="1" t="s">
        <v>730</v>
      </c>
      <c r="J240" s="1">
        <v>1920</v>
      </c>
      <c r="K240" s="1">
        <v>9.18</v>
      </c>
      <c r="L240" s="1">
        <v>17625.599999999999</v>
      </c>
      <c r="M240" s="7" t="s">
        <v>730</v>
      </c>
      <c r="N240" s="1" t="s">
        <v>2225</v>
      </c>
      <c r="O240" s="1">
        <v>8033</v>
      </c>
    </row>
    <row r="241" spans="1:15">
      <c r="A241" s="56">
        <v>46108</v>
      </c>
      <c r="B241" s="56">
        <v>46104</v>
      </c>
      <c r="C241" s="1">
        <v>60010</v>
      </c>
      <c r="D241" s="7" t="s">
        <v>36</v>
      </c>
      <c r="E241" s="1" t="s">
        <v>2749</v>
      </c>
      <c r="F241" s="1" t="s">
        <v>2748</v>
      </c>
      <c r="G241" s="1" t="s">
        <v>39</v>
      </c>
      <c r="H241" s="1" t="s">
        <v>2758</v>
      </c>
      <c r="I241" s="1" t="s">
        <v>718</v>
      </c>
      <c r="J241" s="1">
        <v>1320</v>
      </c>
      <c r="K241" s="1">
        <v>9.6999999999999993</v>
      </c>
      <c r="L241" s="1">
        <v>12804</v>
      </c>
      <c r="M241" s="7" t="s">
        <v>718</v>
      </c>
      <c r="N241" s="1" t="s">
        <v>2225</v>
      </c>
      <c r="O241" s="1">
        <v>8033</v>
      </c>
    </row>
    <row r="242" spans="1:15">
      <c r="A242" s="56">
        <v>46108</v>
      </c>
      <c r="B242" s="56">
        <v>46104</v>
      </c>
      <c r="C242" s="1">
        <v>60010</v>
      </c>
      <c r="D242" s="7" t="s">
        <v>36</v>
      </c>
      <c r="E242" s="1" t="s">
        <v>2749</v>
      </c>
      <c r="F242" s="1" t="s">
        <v>2748</v>
      </c>
      <c r="G242" s="1" t="s">
        <v>39</v>
      </c>
      <c r="H242" s="1" t="s">
        <v>2673</v>
      </c>
      <c r="I242" s="1" t="s">
        <v>560</v>
      </c>
      <c r="J242" s="1">
        <v>320</v>
      </c>
      <c r="K242" s="1">
        <v>2.81</v>
      </c>
      <c r="L242" s="1">
        <v>899.2</v>
      </c>
      <c r="M242" s="7" t="s">
        <v>560</v>
      </c>
      <c r="N242" s="1" t="s">
        <v>2225</v>
      </c>
      <c r="O242" s="1">
        <v>8033</v>
      </c>
    </row>
    <row r="243" spans="1:15">
      <c r="A243" s="56">
        <v>46108</v>
      </c>
      <c r="B243" s="56">
        <v>46104</v>
      </c>
      <c r="C243" s="1">
        <v>60010</v>
      </c>
      <c r="D243" s="7" t="s">
        <v>36</v>
      </c>
      <c r="E243" s="1" t="s">
        <v>2749</v>
      </c>
      <c r="F243" s="1" t="s">
        <v>2748</v>
      </c>
      <c r="G243" s="1" t="s">
        <v>39</v>
      </c>
      <c r="H243" s="1" t="s">
        <v>2447</v>
      </c>
      <c r="I243" s="1" t="s">
        <v>2446</v>
      </c>
      <c r="J243" s="1">
        <v>160</v>
      </c>
      <c r="K243" s="1">
        <v>2.52</v>
      </c>
      <c r="L243" s="1">
        <v>403.2</v>
      </c>
      <c r="M243" s="7" t="s">
        <v>2446</v>
      </c>
      <c r="N243" s="1" t="s">
        <v>2222</v>
      </c>
      <c r="O243" s="1">
        <v>8033</v>
      </c>
    </row>
    <row r="244" spans="1:15">
      <c r="A244" s="56">
        <v>46108</v>
      </c>
      <c r="B244" s="56">
        <v>46105</v>
      </c>
      <c r="C244" s="1">
        <v>60010</v>
      </c>
      <c r="D244" s="7" t="s">
        <v>36</v>
      </c>
      <c r="E244" s="1" t="s">
        <v>2760</v>
      </c>
      <c r="F244" s="1" t="s">
        <v>2759</v>
      </c>
      <c r="G244" s="1" t="s">
        <v>39</v>
      </c>
      <c r="H244" s="1" t="s">
        <v>2589</v>
      </c>
      <c r="I244" s="1" t="s">
        <v>590</v>
      </c>
      <c r="J244" s="1">
        <v>190</v>
      </c>
      <c r="K244" s="1">
        <v>71.86</v>
      </c>
      <c r="L244" s="1">
        <v>13653.4</v>
      </c>
      <c r="M244" s="7" t="s">
        <v>590</v>
      </c>
      <c r="N244" s="1" t="s">
        <v>2225</v>
      </c>
      <c r="O244" s="1">
        <v>8033</v>
      </c>
    </row>
    <row r="245" spans="1:15">
      <c r="A245" s="56">
        <v>46108</v>
      </c>
      <c r="B245" s="56">
        <v>46105</v>
      </c>
      <c r="C245" s="1">
        <v>60010</v>
      </c>
      <c r="D245" s="7" t="s">
        <v>36</v>
      </c>
      <c r="E245" s="1" t="s">
        <v>2760</v>
      </c>
      <c r="F245" s="1" t="s">
        <v>2759</v>
      </c>
      <c r="G245" s="1" t="s">
        <v>39</v>
      </c>
      <c r="H245" s="1" t="s">
        <v>2592</v>
      </c>
      <c r="I245" s="1" t="s">
        <v>2591</v>
      </c>
      <c r="J245" s="1">
        <v>393</v>
      </c>
      <c r="K245" s="1">
        <v>56.98</v>
      </c>
      <c r="L245" s="1">
        <v>22393.14</v>
      </c>
      <c r="M245" s="7" t="s">
        <v>2591</v>
      </c>
      <c r="N245" s="1" t="s">
        <v>2222</v>
      </c>
      <c r="O245" s="1">
        <v>8033</v>
      </c>
    </row>
    <row r="246" spans="1:15">
      <c r="A246" s="56">
        <v>46108</v>
      </c>
      <c r="B246" s="56">
        <v>46105</v>
      </c>
      <c r="C246" s="1">
        <v>60010</v>
      </c>
      <c r="D246" s="7" t="s">
        <v>36</v>
      </c>
      <c r="E246" s="1" t="s">
        <v>2760</v>
      </c>
      <c r="F246" s="1" t="s">
        <v>2759</v>
      </c>
      <c r="G246" s="1" t="s">
        <v>39</v>
      </c>
      <c r="H246" s="1" t="s">
        <v>2762</v>
      </c>
      <c r="I246" s="1" t="s">
        <v>2761</v>
      </c>
      <c r="J246" s="1">
        <v>27</v>
      </c>
      <c r="K246" s="1">
        <v>230</v>
      </c>
      <c r="L246" s="1">
        <v>6210</v>
      </c>
      <c r="M246" s="7" t="s">
        <v>2761</v>
      </c>
      <c r="N246" s="1" t="s">
        <v>2222</v>
      </c>
      <c r="O246" s="1">
        <v>8033</v>
      </c>
    </row>
    <row r="247" spans="1:15">
      <c r="A247" s="56">
        <v>46108</v>
      </c>
      <c r="B247" s="56">
        <v>46105</v>
      </c>
      <c r="C247" s="1">
        <v>60010</v>
      </c>
      <c r="D247" s="7" t="s">
        <v>36</v>
      </c>
      <c r="E247" s="1" t="s">
        <v>2760</v>
      </c>
      <c r="F247" s="1" t="s">
        <v>2759</v>
      </c>
      <c r="G247" s="1" t="s">
        <v>39</v>
      </c>
      <c r="H247" s="1" t="s">
        <v>2764</v>
      </c>
      <c r="I247" s="1" t="s">
        <v>2763</v>
      </c>
      <c r="J247" s="1">
        <v>27</v>
      </c>
      <c r="K247" s="1">
        <v>230</v>
      </c>
      <c r="L247" s="1">
        <v>6210</v>
      </c>
      <c r="M247" s="7" t="s">
        <v>2763</v>
      </c>
      <c r="N247" s="1" t="s">
        <v>2222</v>
      </c>
      <c r="O247" s="1">
        <v>8033</v>
      </c>
    </row>
    <row r="248" spans="1:15">
      <c r="A248" s="56">
        <v>46108</v>
      </c>
      <c r="B248" s="56">
        <v>46105</v>
      </c>
      <c r="C248" s="1">
        <v>60010</v>
      </c>
      <c r="D248" s="7" t="s">
        <v>36</v>
      </c>
      <c r="E248" s="1" t="s">
        <v>2760</v>
      </c>
      <c r="F248" s="1" t="s">
        <v>2759</v>
      </c>
      <c r="G248" s="1" t="s">
        <v>39</v>
      </c>
      <c r="H248" s="1" t="s">
        <v>2766</v>
      </c>
      <c r="I248" s="1" t="s">
        <v>2765</v>
      </c>
      <c r="J248" s="1">
        <v>20</v>
      </c>
      <c r="K248" s="1">
        <v>10</v>
      </c>
      <c r="L248" s="1">
        <v>200</v>
      </c>
      <c r="M248" s="7" t="s">
        <v>2765</v>
      </c>
      <c r="N248" s="1" t="s">
        <v>2222</v>
      </c>
      <c r="O248" s="1">
        <v>8033</v>
      </c>
    </row>
    <row r="249" spans="1:15">
      <c r="A249" s="56">
        <v>46108</v>
      </c>
      <c r="B249" s="56">
        <v>46105</v>
      </c>
      <c r="C249" s="1">
        <v>60010</v>
      </c>
      <c r="D249" s="7" t="s">
        <v>36</v>
      </c>
      <c r="E249" s="1" t="s">
        <v>2760</v>
      </c>
      <c r="F249" s="1" t="s">
        <v>2759</v>
      </c>
      <c r="G249" s="1" t="s">
        <v>39</v>
      </c>
      <c r="H249" s="1" t="s">
        <v>2768</v>
      </c>
      <c r="I249" s="1" t="s">
        <v>2767</v>
      </c>
      <c r="J249" s="1">
        <v>20</v>
      </c>
      <c r="K249" s="1">
        <v>10</v>
      </c>
      <c r="L249" s="1">
        <v>200</v>
      </c>
      <c r="M249" s="7" t="s">
        <v>2767</v>
      </c>
      <c r="N249" s="1" t="s">
        <v>2222</v>
      </c>
      <c r="O249" s="1">
        <v>8033</v>
      </c>
    </row>
    <row r="250" spans="1:15">
      <c r="A250" s="56">
        <v>46111</v>
      </c>
      <c r="B250" s="56">
        <v>46106</v>
      </c>
      <c r="C250" s="1">
        <v>60011</v>
      </c>
      <c r="D250" s="7" t="s">
        <v>33</v>
      </c>
      <c r="E250" s="1" t="s">
        <v>2770</v>
      </c>
      <c r="F250" s="1" t="s">
        <v>2769</v>
      </c>
      <c r="G250" s="1" t="s">
        <v>38</v>
      </c>
      <c r="H250" s="1" t="s">
        <v>2494</v>
      </c>
      <c r="I250" s="1">
        <v>108230131</v>
      </c>
      <c r="J250" s="1">
        <v>560</v>
      </c>
      <c r="K250" s="1">
        <v>202.33</v>
      </c>
      <c r="L250" s="1">
        <v>113304.8</v>
      </c>
      <c r="M250" s="7" t="s">
        <v>875</v>
      </c>
      <c r="N250" s="1" t="s">
        <v>2222</v>
      </c>
      <c r="O250" s="1">
        <v>9121</v>
      </c>
    </row>
    <row r="251" spans="1:15">
      <c r="A251" s="56">
        <v>46111</v>
      </c>
      <c r="B251" s="56">
        <v>46106</v>
      </c>
      <c r="C251" s="1">
        <v>60011</v>
      </c>
      <c r="D251" s="7" t="s">
        <v>33</v>
      </c>
      <c r="E251" s="1" t="s">
        <v>2770</v>
      </c>
      <c r="F251" s="1" t="s">
        <v>2769</v>
      </c>
      <c r="G251" s="1" t="s">
        <v>38</v>
      </c>
      <c r="H251" s="1" t="s">
        <v>2771</v>
      </c>
      <c r="I251" s="1" t="s">
        <v>894</v>
      </c>
      <c r="J251" s="1">
        <v>1000</v>
      </c>
      <c r="K251" s="1">
        <v>373.9</v>
      </c>
      <c r="L251" s="1">
        <v>373900</v>
      </c>
      <c r="M251" s="7" t="s">
        <v>894</v>
      </c>
      <c r="N251" s="1" t="s">
        <v>2222</v>
      </c>
      <c r="O251" s="1">
        <v>9121</v>
      </c>
    </row>
    <row r="252" spans="1:15">
      <c r="A252" s="56">
        <v>46111</v>
      </c>
      <c r="B252" s="56">
        <v>46106</v>
      </c>
      <c r="C252" s="1">
        <v>60011</v>
      </c>
      <c r="D252" s="7" t="s">
        <v>33</v>
      </c>
      <c r="E252" s="1" t="s">
        <v>2770</v>
      </c>
      <c r="F252" s="1" t="s">
        <v>2769</v>
      </c>
      <c r="G252" s="1" t="s">
        <v>38</v>
      </c>
      <c r="H252" s="1" t="s">
        <v>2746</v>
      </c>
      <c r="I252" s="1" t="s">
        <v>895</v>
      </c>
      <c r="J252" s="1">
        <v>500</v>
      </c>
      <c r="K252" s="1">
        <v>389.98</v>
      </c>
      <c r="L252" s="1">
        <v>194990</v>
      </c>
      <c r="M252" s="7" t="s">
        <v>895</v>
      </c>
      <c r="N252" s="1" t="s">
        <v>2222</v>
      </c>
      <c r="O252" s="1">
        <v>9121</v>
      </c>
    </row>
    <row r="253" spans="1:15">
      <c r="A253" s="56">
        <v>46111</v>
      </c>
      <c r="B253" s="56">
        <v>46106</v>
      </c>
      <c r="C253" s="1">
        <v>60011</v>
      </c>
      <c r="D253" s="7" t="s">
        <v>33</v>
      </c>
      <c r="E253" s="1" t="s">
        <v>2770</v>
      </c>
      <c r="F253" s="1" t="s">
        <v>2769</v>
      </c>
      <c r="G253" s="1" t="s">
        <v>38</v>
      </c>
      <c r="H253" s="1" t="s">
        <v>2747</v>
      </c>
      <c r="I253" s="1" t="s">
        <v>893</v>
      </c>
      <c r="J253" s="1">
        <v>500</v>
      </c>
      <c r="K253" s="1">
        <v>340.59</v>
      </c>
      <c r="L253" s="1">
        <v>170295</v>
      </c>
      <c r="M253" s="7" t="s">
        <v>893</v>
      </c>
      <c r="N253" s="1" t="s">
        <v>2222</v>
      </c>
      <c r="O253" s="1">
        <v>9121</v>
      </c>
    </row>
    <row r="254" spans="1:15">
      <c r="A254" s="56">
        <v>46111</v>
      </c>
      <c r="B254" s="56">
        <v>46109</v>
      </c>
      <c r="C254" s="1">
        <v>60011</v>
      </c>
      <c r="D254" s="7" t="s">
        <v>33</v>
      </c>
      <c r="E254" s="1" t="s">
        <v>2773</v>
      </c>
      <c r="F254" s="1" t="s">
        <v>2772</v>
      </c>
      <c r="G254" s="1" t="s">
        <v>38</v>
      </c>
      <c r="H254" s="1" t="s">
        <v>2494</v>
      </c>
      <c r="I254" s="1">
        <v>108230131</v>
      </c>
      <c r="J254" s="1">
        <v>314</v>
      </c>
      <c r="K254" s="1">
        <v>202.33</v>
      </c>
      <c r="L254" s="1">
        <v>63531.62</v>
      </c>
      <c r="M254" s="7" t="s">
        <v>875</v>
      </c>
      <c r="N254" s="1" t="s">
        <v>2222</v>
      </c>
      <c r="O254" s="1">
        <v>9121</v>
      </c>
    </row>
    <row r="255" spans="1:15">
      <c r="A255" s="56">
        <v>46111</v>
      </c>
      <c r="B255" s="56">
        <v>46109</v>
      </c>
      <c r="C255" s="1">
        <v>60011</v>
      </c>
      <c r="D255" s="7" t="s">
        <v>33</v>
      </c>
      <c r="E255" s="1" t="s">
        <v>2773</v>
      </c>
      <c r="F255" s="1" t="s">
        <v>2772</v>
      </c>
      <c r="G255" s="1" t="s">
        <v>38</v>
      </c>
      <c r="H255" s="1" t="s">
        <v>2774</v>
      </c>
      <c r="I255" s="1">
        <v>111250103</v>
      </c>
      <c r="J255" s="1">
        <v>996</v>
      </c>
      <c r="K255" s="1">
        <v>293.67</v>
      </c>
      <c r="L255" s="1">
        <v>292495.31999999995</v>
      </c>
      <c r="M255" s="7" t="s">
        <v>880</v>
      </c>
      <c r="N255" s="1" t="s">
        <v>2222</v>
      </c>
      <c r="O255" s="1">
        <v>9121</v>
      </c>
    </row>
    <row r="256" spans="1:15">
      <c r="A256" s="56">
        <v>46111</v>
      </c>
      <c r="B256" s="56">
        <v>46109</v>
      </c>
      <c r="C256" s="1">
        <v>60011</v>
      </c>
      <c r="D256" s="7" t="s">
        <v>33</v>
      </c>
      <c r="E256" s="1" t="s">
        <v>2773</v>
      </c>
      <c r="F256" s="1" t="s">
        <v>2772</v>
      </c>
      <c r="G256" s="1" t="s">
        <v>38</v>
      </c>
      <c r="H256" s="1" t="s">
        <v>960</v>
      </c>
      <c r="I256" s="1" t="s">
        <v>902</v>
      </c>
      <c r="J256" s="1">
        <v>1000</v>
      </c>
      <c r="K256" s="1">
        <v>469.15</v>
      </c>
      <c r="L256" s="1">
        <v>469150</v>
      </c>
      <c r="M256" s="7" t="s">
        <v>902</v>
      </c>
      <c r="N256" s="1" t="s">
        <v>2222</v>
      </c>
      <c r="O256" s="1">
        <v>9121</v>
      </c>
    </row>
    <row r="257" spans="1:16">
      <c r="A257" s="56">
        <v>46111</v>
      </c>
      <c r="B257" s="56">
        <v>46109</v>
      </c>
      <c r="C257" s="1">
        <v>60011</v>
      </c>
      <c r="D257" s="7" t="s">
        <v>33</v>
      </c>
      <c r="E257" s="1" t="s">
        <v>2776</v>
      </c>
      <c r="F257" s="1" t="s">
        <v>2775</v>
      </c>
      <c r="G257" s="1" t="s">
        <v>38</v>
      </c>
      <c r="H257" s="1" t="s">
        <v>2494</v>
      </c>
      <c r="I257" s="1">
        <v>108230131</v>
      </c>
      <c r="J257" s="1">
        <v>2164</v>
      </c>
      <c r="K257" s="1">
        <v>202.33</v>
      </c>
      <c r="L257" s="1">
        <v>437842.12</v>
      </c>
      <c r="M257" s="7" t="s">
        <v>875</v>
      </c>
      <c r="N257" s="1" t="s">
        <v>2222</v>
      </c>
      <c r="O257" s="1">
        <v>9121</v>
      </c>
    </row>
    <row r="258" spans="1:16">
      <c r="A258" s="56">
        <v>46111</v>
      </c>
      <c r="B258" s="56">
        <v>46109</v>
      </c>
      <c r="C258" s="1">
        <v>60011</v>
      </c>
      <c r="D258" s="7" t="s">
        <v>33</v>
      </c>
      <c r="E258" s="1" t="s">
        <v>2776</v>
      </c>
      <c r="F258" s="1" t="s">
        <v>2775</v>
      </c>
      <c r="G258" s="1" t="s">
        <v>38</v>
      </c>
      <c r="H258" s="1" t="s">
        <v>2495</v>
      </c>
      <c r="I258" s="1" t="s">
        <v>892</v>
      </c>
      <c r="J258" s="1">
        <v>500</v>
      </c>
      <c r="K258" s="1">
        <v>326.20999999999998</v>
      </c>
      <c r="L258" s="1">
        <v>163105</v>
      </c>
      <c r="M258" s="7" t="s">
        <v>892</v>
      </c>
      <c r="N258" s="1" t="s">
        <v>2222</v>
      </c>
      <c r="O258" s="1">
        <v>9121</v>
      </c>
    </row>
    <row r="259" spans="1:16">
      <c r="A259" s="56">
        <v>46112</v>
      </c>
      <c r="B259" s="56">
        <v>46108</v>
      </c>
      <c r="C259" s="1">
        <v>60011</v>
      </c>
      <c r="D259" s="7" t="s">
        <v>35</v>
      </c>
      <c r="E259" s="1" t="s">
        <v>2778</v>
      </c>
      <c r="F259" s="1" t="s">
        <v>2777</v>
      </c>
      <c r="G259" s="1" t="s">
        <v>38</v>
      </c>
      <c r="H259" s="1" t="s">
        <v>2667</v>
      </c>
      <c r="I259" s="1" t="s">
        <v>2172</v>
      </c>
      <c r="J259" s="1">
        <v>1872</v>
      </c>
      <c r="K259" s="1">
        <v>161.30000000000001</v>
      </c>
      <c r="L259" s="1">
        <v>301953.59999999998</v>
      </c>
      <c r="M259" s="7" t="s">
        <v>2172</v>
      </c>
      <c r="N259" s="1" t="s">
        <v>2222</v>
      </c>
      <c r="O259" s="1">
        <v>9121</v>
      </c>
    </row>
    <row r="260" spans="1:16">
      <c r="A260" s="56">
        <v>46112</v>
      </c>
      <c r="B260" s="56">
        <v>46108</v>
      </c>
      <c r="C260" s="1">
        <v>60011</v>
      </c>
      <c r="D260" s="7" t="s">
        <v>35</v>
      </c>
      <c r="E260" s="1" t="s">
        <v>2778</v>
      </c>
      <c r="F260" s="1" t="s">
        <v>2777</v>
      </c>
      <c r="G260" s="1" t="s">
        <v>38</v>
      </c>
      <c r="H260" s="1" t="s">
        <v>2603</v>
      </c>
      <c r="I260" s="1" t="s">
        <v>2173</v>
      </c>
      <c r="J260" s="1">
        <v>666</v>
      </c>
      <c r="K260" s="1">
        <v>166.61</v>
      </c>
      <c r="L260" s="1">
        <v>110962.26</v>
      </c>
      <c r="M260" s="7" t="s">
        <v>2173</v>
      </c>
      <c r="N260" s="1" t="s">
        <v>2222</v>
      </c>
      <c r="O260" s="1">
        <v>9121</v>
      </c>
    </row>
    <row r="261" spans="1:16">
      <c r="A261" s="56">
        <v>46113</v>
      </c>
      <c r="B261" s="56">
        <v>46092</v>
      </c>
      <c r="C261" s="1">
        <v>60010</v>
      </c>
      <c r="D261" s="7" t="s">
        <v>33</v>
      </c>
      <c r="E261" s="1" t="s">
        <v>2780</v>
      </c>
      <c r="F261" s="1" t="s">
        <v>2779</v>
      </c>
      <c r="G261" s="1" t="s">
        <v>38</v>
      </c>
      <c r="H261" s="1" t="s">
        <v>2783</v>
      </c>
      <c r="I261" s="1" t="s">
        <v>1083</v>
      </c>
      <c r="J261" s="1">
        <v>3</v>
      </c>
      <c r="K261" s="1">
        <v>150</v>
      </c>
      <c r="L261" s="1">
        <v>450</v>
      </c>
      <c r="M261" s="7" t="s">
        <v>1083</v>
      </c>
      <c r="N261" s="1" t="s">
        <v>2222</v>
      </c>
      <c r="O261" s="1">
        <v>8033</v>
      </c>
    </row>
    <row r="262" spans="1:16">
      <c r="A262" s="56">
        <v>46113</v>
      </c>
      <c r="B262" s="56">
        <v>46092</v>
      </c>
      <c r="C262" s="1">
        <v>60010</v>
      </c>
      <c r="D262" s="7" t="s">
        <v>33</v>
      </c>
      <c r="E262" s="1" t="s">
        <v>2780</v>
      </c>
      <c r="F262" s="1" t="s">
        <v>2779</v>
      </c>
      <c r="G262" s="1" t="s">
        <v>38</v>
      </c>
      <c r="H262" s="1" t="s">
        <v>2782</v>
      </c>
      <c r="I262" s="1" t="s">
        <v>2781</v>
      </c>
      <c r="J262" s="1">
        <v>10</v>
      </c>
      <c r="K262" s="1">
        <v>10</v>
      </c>
      <c r="L262" s="1">
        <v>100</v>
      </c>
      <c r="M262" s="7" t="s">
        <v>2781</v>
      </c>
      <c r="N262" s="1" t="s">
        <v>2222</v>
      </c>
      <c r="O262" s="1">
        <v>8033</v>
      </c>
    </row>
    <row r="263" spans="1:16">
      <c r="A263" s="56">
        <v>46114</v>
      </c>
      <c r="B263" s="56">
        <v>46107</v>
      </c>
      <c r="C263" s="1">
        <v>60010</v>
      </c>
      <c r="D263" s="7" t="s">
        <v>36</v>
      </c>
      <c r="E263" s="1" t="s">
        <v>2785</v>
      </c>
      <c r="F263" s="1" t="s">
        <v>2784</v>
      </c>
      <c r="G263" s="1" t="s">
        <v>39</v>
      </c>
      <c r="H263" s="1" t="s">
        <v>2637</v>
      </c>
      <c r="I263" s="1" t="s">
        <v>2754</v>
      </c>
      <c r="J263" s="1">
        <v>646</v>
      </c>
      <c r="K263" s="1">
        <v>149.35</v>
      </c>
      <c r="L263" s="1">
        <v>96480.1</v>
      </c>
      <c r="M263" s="7" t="s">
        <v>2754</v>
      </c>
      <c r="N263" s="1" t="s">
        <v>2222</v>
      </c>
      <c r="O263" s="1">
        <v>8033</v>
      </c>
    </row>
    <row r="264" spans="1:16">
      <c r="A264" s="56">
        <v>46114</v>
      </c>
      <c r="B264" s="56">
        <v>46107</v>
      </c>
      <c r="C264" s="1">
        <v>60010</v>
      </c>
      <c r="D264" s="7" t="s">
        <v>36</v>
      </c>
      <c r="E264" s="1" t="s">
        <v>2785</v>
      </c>
      <c r="F264" s="1" t="s">
        <v>2784</v>
      </c>
      <c r="G264" s="1" t="s">
        <v>39</v>
      </c>
      <c r="H264" s="1" t="s">
        <v>690</v>
      </c>
      <c r="I264" s="1" t="s">
        <v>688</v>
      </c>
      <c r="J264" s="1">
        <v>7500</v>
      </c>
      <c r="K264" s="1">
        <v>0.13</v>
      </c>
      <c r="L264" s="1">
        <v>975</v>
      </c>
      <c r="M264" s="7" t="s">
        <v>688</v>
      </c>
      <c r="N264" s="1" t="s">
        <v>2225</v>
      </c>
      <c r="O264" s="1">
        <v>8033</v>
      </c>
    </row>
    <row r="265" spans="1:16">
      <c r="A265" s="56">
        <v>46114</v>
      </c>
      <c r="B265" s="56">
        <v>46107</v>
      </c>
      <c r="C265" s="1">
        <v>60010</v>
      </c>
      <c r="D265" s="7" t="s">
        <v>36</v>
      </c>
      <c r="E265" s="1" t="s">
        <v>2785</v>
      </c>
      <c r="F265" s="1" t="s">
        <v>2784</v>
      </c>
      <c r="G265" s="1" t="s">
        <v>39</v>
      </c>
      <c r="H265" s="1" t="s">
        <v>2786</v>
      </c>
      <c r="I265" s="1" t="s">
        <v>691</v>
      </c>
      <c r="J265" s="1">
        <v>22000</v>
      </c>
      <c r="K265" s="1">
        <v>0.09</v>
      </c>
      <c r="L265" s="1">
        <v>1980</v>
      </c>
      <c r="M265" s="7" t="s">
        <v>691</v>
      </c>
      <c r="N265" s="1" t="s">
        <v>2225</v>
      </c>
      <c r="O265" s="1">
        <v>8033</v>
      </c>
    </row>
    <row r="266" spans="1:16">
      <c r="A266" s="56">
        <v>46114</v>
      </c>
      <c r="B266" s="56">
        <v>46107</v>
      </c>
      <c r="C266" s="1">
        <v>60010</v>
      </c>
      <c r="D266" s="7" t="s">
        <v>36</v>
      </c>
      <c r="E266" s="1" t="s">
        <v>2785</v>
      </c>
      <c r="F266" s="1" t="s">
        <v>2784</v>
      </c>
      <c r="G266" s="1" t="s">
        <v>39</v>
      </c>
      <c r="H266" s="1" t="s">
        <v>2722</v>
      </c>
      <c r="I266" s="1" t="s">
        <v>2721</v>
      </c>
      <c r="J266" s="1">
        <v>5200</v>
      </c>
      <c r="K266" s="1">
        <v>0.24</v>
      </c>
      <c r="L266" s="1">
        <v>1248</v>
      </c>
      <c r="M266" s="7" t="s">
        <v>2721</v>
      </c>
      <c r="N266" s="1" t="s">
        <v>2222</v>
      </c>
      <c r="O266" s="1">
        <v>8033</v>
      </c>
    </row>
    <row r="267" spans="1:16">
      <c r="A267" s="56">
        <v>46114</v>
      </c>
      <c r="B267" s="56">
        <v>46107</v>
      </c>
      <c r="C267" s="1">
        <v>60010</v>
      </c>
      <c r="D267" s="7" t="s">
        <v>36</v>
      </c>
      <c r="E267" s="1" t="s">
        <v>2785</v>
      </c>
      <c r="F267" s="1" t="s">
        <v>2784</v>
      </c>
      <c r="G267" s="1" t="s">
        <v>39</v>
      </c>
      <c r="H267" s="1" t="s">
        <v>2724</v>
      </c>
      <c r="I267" s="1" t="s">
        <v>2723</v>
      </c>
      <c r="J267" s="1">
        <v>5200</v>
      </c>
      <c r="K267" s="1">
        <v>0.24</v>
      </c>
      <c r="L267" s="1">
        <v>1248</v>
      </c>
      <c r="M267" s="7" t="s">
        <v>2723</v>
      </c>
      <c r="N267" s="1" t="s">
        <v>2222</v>
      </c>
      <c r="O267" s="1">
        <v>8033</v>
      </c>
    </row>
    <row r="268" spans="1:16">
      <c r="A268" s="56">
        <v>46114</v>
      </c>
      <c r="B268" s="56">
        <v>46107</v>
      </c>
      <c r="C268" s="1">
        <v>60010</v>
      </c>
      <c r="D268" s="7" t="s">
        <v>36</v>
      </c>
      <c r="E268" s="1" t="s">
        <v>2785</v>
      </c>
      <c r="F268" s="1" t="s">
        <v>2784</v>
      </c>
      <c r="G268" s="1" t="s">
        <v>39</v>
      </c>
      <c r="H268" s="1" t="s">
        <v>2706</v>
      </c>
      <c r="I268" s="1" t="s">
        <v>2705</v>
      </c>
      <c r="J268" s="1">
        <v>4032</v>
      </c>
      <c r="K268" s="1">
        <v>2.13</v>
      </c>
      <c r="L268" s="1">
        <v>8588.16</v>
      </c>
      <c r="M268" s="7" t="s">
        <v>2705</v>
      </c>
      <c r="N268" s="1" t="s">
        <v>2222</v>
      </c>
      <c r="O268" s="1">
        <v>8033</v>
      </c>
    </row>
    <row r="269" spans="1:16">
      <c r="A269" s="56">
        <v>46114</v>
      </c>
      <c r="B269" s="56">
        <v>46107</v>
      </c>
      <c r="C269" s="1">
        <v>60010</v>
      </c>
      <c r="D269" s="7" t="s">
        <v>36</v>
      </c>
      <c r="E269" s="1" t="s">
        <v>2785</v>
      </c>
      <c r="F269" s="1" t="s">
        <v>2784</v>
      </c>
      <c r="G269" s="1" t="s">
        <v>39</v>
      </c>
      <c r="H269" s="1" t="s">
        <v>2787</v>
      </c>
      <c r="I269" s="1" t="s">
        <v>643</v>
      </c>
      <c r="J269" s="1">
        <v>8027</v>
      </c>
      <c r="K269" s="1">
        <v>2.4700000000000002</v>
      </c>
      <c r="L269" s="1">
        <v>19826.689999999999</v>
      </c>
      <c r="M269" s="7" t="s">
        <v>643</v>
      </c>
      <c r="N269" s="1" t="s">
        <v>2225</v>
      </c>
      <c r="O269" s="1">
        <v>8033</v>
      </c>
    </row>
    <row r="270" spans="1:16">
      <c r="A270" s="56">
        <v>46114</v>
      </c>
      <c r="B270" s="56">
        <v>46107</v>
      </c>
      <c r="C270" s="1">
        <v>60010</v>
      </c>
      <c r="D270" s="7" t="s">
        <v>36</v>
      </c>
      <c r="E270" s="1" t="s">
        <v>2785</v>
      </c>
      <c r="F270" s="1" t="s">
        <v>2784</v>
      </c>
      <c r="G270" s="1" t="s">
        <v>39</v>
      </c>
      <c r="H270" s="1" t="s">
        <v>2638</v>
      </c>
      <c r="I270" s="1" t="s">
        <v>365</v>
      </c>
      <c r="J270" s="1">
        <v>2640</v>
      </c>
      <c r="K270" s="1">
        <v>129.30000000000001</v>
      </c>
      <c r="L270" s="1">
        <v>341352</v>
      </c>
      <c r="M270" s="7" t="s">
        <v>365</v>
      </c>
      <c r="N270" s="1" t="s">
        <v>2225</v>
      </c>
      <c r="O270" s="1">
        <v>8033</v>
      </c>
    </row>
    <row r="271" spans="1:16">
      <c r="A271" s="56">
        <v>46114</v>
      </c>
      <c r="B271" s="56">
        <v>46107</v>
      </c>
      <c r="C271" s="1">
        <v>60010</v>
      </c>
      <c r="D271" s="7" t="s">
        <v>36</v>
      </c>
      <c r="E271" s="1" t="s">
        <v>2785</v>
      </c>
      <c r="F271" s="1" t="s">
        <v>2784</v>
      </c>
      <c r="G271" s="1" t="s">
        <v>39</v>
      </c>
      <c r="H271" s="1" t="s">
        <v>2672</v>
      </c>
      <c r="I271" s="1" t="s">
        <v>296</v>
      </c>
      <c r="J271" s="1">
        <v>1000</v>
      </c>
      <c r="K271" s="1">
        <v>116.4</v>
      </c>
      <c r="L271" s="1">
        <v>116400</v>
      </c>
      <c r="M271" s="7" t="s">
        <v>296</v>
      </c>
      <c r="N271" s="1" t="s">
        <v>2225</v>
      </c>
      <c r="O271" s="1">
        <v>8033</v>
      </c>
    </row>
    <row r="272" spans="1:16">
      <c r="A272" s="167">
        <v>46114</v>
      </c>
      <c r="B272" s="167">
        <v>46107</v>
      </c>
      <c r="C272" s="165">
        <v>60010</v>
      </c>
      <c r="D272" s="166" t="s">
        <v>36</v>
      </c>
      <c r="E272" s="165" t="s">
        <v>2785</v>
      </c>
      <c r="F272" s="165" t="s">
        <v>2784</v>
      </c>
      <c r="G272" s="165" t="s">
        <v>39</v>
      </c>
      <c r="H272" s="165" t="s">
        <v>2626</v>
      </c>
      <c r="I272" s="165" t="s">
        <v>378</v>
      </c>
      <c r="J272" s="165">
        <v>70</v>
      </c>
      <c r="K272" s="165">
        <v>122.37</v>
      </c>
      <c r="L272" s="165">
        <v>8565.9</v>
      </c>
      <c r="M272" s="166" t="s">
        <v>378</v>
      </c>
      <c r="N272" s="165" t="s">
        <v>2225</v>
      </c>
      <c r="O272" s="165">
        <v>8033</v>
      </c>
      <c r="P272" s="165"/>
    </row>
    <row r="273" spans="1:15">
      <c r="A273" s="56">
        <v>46114</v>
      </c>
      <c r="B273" s="56">
        <v>46107</v>
      </c>
      <c r="C273" s="1">
        <v>60010</v>
      </c>
      <c r="D273" s="7" t="s">
        <v>36</v>
      </c>
      <c r="E273" s="1" t="s">
        <v>2785</v>
      </c>
      <c r="F273" s="1" t="s">
        <v>2784</v>
      </c>
      <c r="G273" s="1" t="s">
        <v>39</v>
      </c>
      <c r="H273" s="1" t="s">
        <v>2627</v>
      </c>
      <c r="I273" s="1" t="s">
        <v>381</v>
      </c>
      <c r="J273" s="1">
        <v>80</v>
      </c>
      <c r="K273" s="1">
        <v>122.37</v>
      </c>
      <c r="L273" s="1">
        <v>9789.6</v>
      </c>
      <c r="M273" s="7" t="s">
        <v>381</v>
      </c>
      <c r="N273" s="1" t="s">
        <v>2225</v>
      </c>
      <c r="O273" s="1">
        <v>8033</v>
      </c>
    </row>
    <row r="274" spans="1:15">
      <c r="A274" s="56">
        <v>46114</v>
      </c>
      <c r="B274" s="56">
        <v>46107</v>
      </c>
      <c r="C274" s="1">
        <v>60010</v>
      </c>
      <c r="D274" s="7" t="s">
        <v>36</v>
      </c>
      <c r="E274" s="1" t="s">
        <v>2785</v>
      </c>
      <c r="F274" s="1" t="s">
        <v>2784</v>
      </c>
      <c r="G274" s="1" t="s">
        <v>39</v>
      </c>
      <c r="H274" s="1" t="s">
        <v>2444</v>
      </c>
      <c r="I274" s="1" t="s">
        <v>787</v>
      </c>
      <c r="J274" s="1">
        <v>2300</v>
      </c>
      <c r="K274" s="1">
        <v>121.79</v>
      </c>
      <c r="L274" s="1">
        <v>280117</v>
      </c>
      <c r="M274" s="7" t="s">
        <v>787</v>
      </c>
      <c r="N274" s="1" t="s">
        <v>2225</v>
      </c>
      <c r="O274" s="1">
        <v>8033</v>
      </c>
    </row>
    <row r="275" spans="1:15">
      <c r="A275" s="56">
        <v>46114</v>
      </c>
      <c r="B275" s="56">
        <v>46107</v>
      </c>
      <c r="C275" s="1">
        <v>60010</v>
      </c>
      <c r="D275" s="7" t="s">
        <v>36</v>
      </c>
      <c r="E275" s="1" t="s">
        <v>2785</v>
      </c>
      <c r="F275" s="1" t="s">
        <v>2784</v>
      </c>
      <c r="G275" s="1" t="s">
        <v>39</v>
      </c>
      <c r="H275" s="1" t="s">
        <v>2628</v>
      </c>
      <c r="I275" s="1" t="s">
        <v>384</v>
      </c>
      <c r="J275" s="1">
        <v>20</v>
      </c>
      <c r="K275" s="1">
        <v>122.34</v>
      </c>
      <c r="L275" s="1">
        <v>2446.8000000000002</v>
      </c>
      <c r="M275" s="7" t="s">
        <v>384</v>
      </c>
      <c r="N275" s="1" t="s">
        <v>2225</v>
      </c>
      <c r="O275" s="1">
        <v>8033</v>
      </c>
    </row>
    <row r="276" spans="1:15">
      <c r="A276" s="56">
        <v>46114</v>
      </c>
      <c r="B276" s="56">
        <v>46107</v>
      </c>
      <c r="C276" s="1">
        <v>60010</v>
      </c>
      <c r="D276" s="7" t="s">
        <v>36</v>
      </c>
      <c r="E276" s="1" t="s">
        <v>2785</v>
      </c>
      <c r="F276" s="1" t="s">
        <v>2784</v>
      </c>
      <c r="G276" s="1" t="s">
        <v>39</v>
      </c>
      <c r="H276" s="1" t="s">
        <v>2629</v>
      </c>
      <c r="I276" s="1" t="s">
        <v>799</v>
      </c>
      <c r="J276" s="1">
        <v>310</v>
      </c>
      <c r="K276" s="1">
        <v>137.03</v>
      </c>
      <c r="L276" s="1">
        <v>42479.3</v>
      </c>
      <c r="M276" s="7" t="s">
        <v>799</v>
      </c>
      <c r="N276" s="1" t="s">
        <v>2225</v>
      </c>
      <c r="O276" s="1">
        <v>8033</v>
      </c>
    </row>
    <row r="277" spans="1:15">
      <c r="A277" s="56">
        <v>46114</v>
      </c>
      <c r="B277" s="56">
        <v>46107</v>
      </c>
      <c r="C277" s="1">
        <v>60010</v>
      </c>
      <c r="D277" s="7" t="s">
        <v>36</v>
      </c>
      <c r="E277" s="1" t="s">
        <v>2785</v>
      </c>
      <c r="F277" s="1" t="s">
        <v>2784</v>
      </c>
      <c r="G277" s="1" t="s">
        <v>39</v>
      </c>
      <c r="H277" s="1" t="s">
        <v>2642</v>
      </c>
      <c r="I277" s="1" t="s">
        <v>805</v>
      </c>
      <c r="J277" s="1">
        <v>210</v>
      </c>
      <c r="K277" s="1">
        <v>141.94999999999999</v>
      </c>
      <c r="L277" s="1">
        <v>29809.5</v>
      </c>
      <c r="M277" s="7" t="s">
        <v>805</v>
      </c>
      <c r="N277" s="1" t="s">
        <v>2225</v>
      </c>
      <c r="O277" s="1">
        <v>8033</v>
      </c>
    </row>
    <row r="278" spans="1:15">
      <c r="A278" s="56">
        <v>46114</v>
      </c>
      <c r="B278" s="56">
        <v>46107</v>
      </c>
      <c r="C278" s="1">
        <v>60010</v>
      </c>
      <c r="D278" s="7" t="s">
        <v>36</v>
      </c>
      <c r="E278" s="1" t="s">
        <v>2785</v>
      </c>
      <c r="F278" s="1" t="s">
        <v>2784</v>
      </c>
      <c r="G278" s="1" t="s">
        <v>39</v>
      </c>
      <c r="H278" s="1" t="s">
        <v>756</v>
      </c>
      <c r="I278" s="1" t="s">
        <v>754</v>
      </c>
      <c r="J278" s="1">
        <v>3600</v>
      </c>
      <c r="K278" s="1">
        <v>3.23</v>
      </c>
      <c r="L278" s="1">
        <v>11628</v>
      </c>
      <c r="M278" s="7" t="s">
        <v>754</v>
      </c>
      <c r="N278" s="1" t="s">
        <v>2225</v>
      </c>
      <c r="O278" s="1">
        <v>8033</v>
      </c>
    </row>
    <row r="279" spans="1:15">
      <c r="A279" s="56">
        <v>46114</v>
      </c>
      <c r="B279" s="56">
        <v>46107</v>
      </c>
      <c r="C279" s="1">
        <v>60010</v>
      </c>
      <c r="D279" s="7" t="s">
        <v>36</v>
      </c>
      <c r="E279" s="1" t="s">
        <v>2785</v>
      </c>
      <c r="F279" s="1" t="s">
        <v>2784</v>
      </c>
      <c r="G279" s="1" t="s">
        <v>39</v>
      </c>
      <c r="H279" s="1" t="s">
        <v>2788</v>
      </c>
      <c r="I279" s="1" t="s">
        <v>760</v>
      </c>
      <c r="J279" s="1">
        <v>1800</v>
      </c>
      <c r="K279" s="1">
        <v>3.23</v>
      </c>
      <c r="L279" s="1">
        <v>5814</v>
      </c>
      <c r="M279" s="7" t="s">
        <v>760</v>
      </c>
      <c r="N279" s="1" t="s">
        <v>2225</v>
      </c>
      <c r="O279" s="1">
        <v>8033</v>
      </c>
    </row>
    <row r="280" spans="1:15">
      <c r="A280" s="56">
        <v>46114</v>
      </c>
      <c r="B280" s="56">
        <v>46107</v>
      </c>
      <c r="C280" s="1">
        <v>60010</v>
      </c>
      <c r="D280" s="7" t="s">
        <v>36</v>
      </c>
      <c r="E280" s="1" t="s">
        <v>2785</v>
      </c>
      <c r="F280" s="1" t="s">
        <v>2784</v>
      </c>
      <c r="G280" s="1" t="s">
        <v>39</v>
      </c>
      <c r="H280" s="1" t="s">
        <v>2757</v>
      </c>
      <c r="I280" s="1" t="s">
        <v>730</v>
      </c>
      <c r="J280" s="1">
        <v>900</v>
      </c>
      <c r="K280" s="1">
        <v>9.18</v>
      </c>
      <c r="L280" s="1">
        <v>8262</v>
      </c>
      <c r="M280" s="7" t="s">
        <v>730</v>
      </c>
      <c r="N280" s="1" t="s">
        <v>2225</v>
      </c>
      <c r="O280" s="1">
        <v>8033</v>
      </c>
    </row>
    <row r="281" spans="1:15">
      <c r="A281" s="56">
        <v>46114</v>
      </c>
      <c r="B281" s="56">
        <v>46107</v>
      </c>
      <c r="C281" s="1">
        <v>60010</v>
      </c>
      <c r="D281" s="7" t="s">
        <v>36</v>
      </c>
      <c r="E281" s="1" t="s">
        <v>2785</v>
      </c>
      <c r="F281" s="1" t="s">
        <v>2784</v>
      </c>
      <c r="G281" s="1" t="s">
        <v>39</v>
      </c>
      <c r="H281" s="1" t="s">
        <v>2789</v>
      </c>
      <c r="I281" s="1" t="s">
        <v>721</v>
      </c>
      <c r="J281" s="1">
        <v>197</v>
      </c>
      <c r="K281" s="1">
        <v>8.39</v>
      </c>
      <c r="L281" s="1">
        <v>1652.83</v>
      </c>
      <c r="M281" s="7" t="s">
        <v>721</v>
      </c>
      <c r="N281" s="1" t="s">
        <v>2225</v>
      </c>
      <c r="O281" s="1">
        <v>8033</v>
      </c>
    </row>
    <row r="282" spans="1:15">
      <c r="A282" s="56">
        <v>46114</v>
      </c>
      <c r="B282" s="56">
        <v>46107</v>
      </c>
      <c r="C282" s="1">
        <v>60010</v>
      </c>
      <c r="D282" s="7" t="s">
        <v>36</v>
      </c>
      <c r="E282" s="1" t="s">
        <v>2785</v>
      </c>
      <c r="F282" s="1" t="s">
        <v>2784</v>
      </c>
      <c r="G282" s="1" t="s">
        <v>39</v>
      </c>
      <c r="H282" s="1" t="s">
        <v>831</v>
      </c>
      <c r="I282" s="1" t="s">
        <v>829</v>
      </c>
      <c r="J282" s="1">
        <v>2400</v>
      </c>
      <c r="K282" s="1">
        <v>7.98</v>
      </c>
      <c r="L282" s="1">
        <v>19152</v>
      </c>
      <c r="M282" s="7" t="s">
        <v>829</v>
      </c>
      <c r="N282" s="1" t="s">
        <v>2225</v>
      </c>
      <c r="O282" s="1">
        <v>8033</v>
      </c>
    </row>
    <row r="283" spans="1:15">
      <c r="A283" s="56">
        <v>46114</v>
      </c>
      <c r="B283" s="56">
        <v>46107</v>
      </c>
      <c r="C283" s="1">
        <v>60010</v>
      </c>
      <c r="D283" s="7" t="s">
        <v>36</v>
      </c>
      <c r="E283" s="1" t="s">
        <v>2785</v>
      </c>
      <c r="F283" s="1" t="s">
        <v>2784</v>
      </c>
      <c r="G283" s="1" t="s">
        <v>39</v>
      </c>
      <c r="H283" s="1" t="s">
        <v>2677</v>
      </c>
      <c r="I283" s="1" t="s">
        <v>784</v>
      </c>
      <c r="J283" s="1">
        <v>1000</v>
      </c>
      <c r="K283" s="1">
        <v>0.68</v>
      </c>
      <c r="L283" s="1">
        <v>680</v>
      </c>
      <c r="M283" s="7" t="s">
        <v>784</v>
      </c>
      <c r="N283" s="1" t="s">
        <v>2225</v>
      </c>
      <c r="O283" s="1">
        <v>8033</v>
      </c>
    </row>
    <row r="284" spans="1:15">
      <c r="A284" s="56">
        <v>46114</v>
      </c>
      <c r="B284" s="56">
        <v>46112</v>
      </c>
      <c r="C284" s="1">
        <v>60011</v>
      </c>
      <c r="D284" s="7" t="s">
        <v>33</v>
      </c>
      <c r="E284" s="1" t="s">
        <v>2791</v>
      </c>
      <c r="F284" s="1" t="s">
        <v>2790</v>
      </c>
      <c r="G284" s="1" t="s">
        <v>38</v>
      </c>
      <c r="H284" s="1" t="s">
        <v>2493</v>
      </c>
      <c r="I284" s="1">
        <v>108222129</v>
      </c>
      <c r="J284" s="1">
        <v>372</v>
      </c>
      <c r="K284" s="1">
        <v>197.34</v>
      </c>
      <c r="L284" s="1">
        <v>73410.48</v>
      </c>
      <c r="M284" s="7" t="s">
        <v>874</v>
      </c>
      <c r="N284" s="1" t="s">
        <v>2222</v>
      </c>
      <c r="O284" s="1">
        <v>9121</v>
      </c>
    </row>
    <row r="285" spans="1:15">
      <c r="A285" s="56">
        <v>46114</v>
      </c>
      <c r="B285" s="56">
        <v>46112</v>
      </c>
      <c r="C285" s="1">
        <v>60011</v>
      </c>
      <c r="D285" s="7" t="s">
        <v>33</v>
      </c>
      <c r="E285" s="1" t="s">
        <v>2791</v>
      </c>
      <c r="F285" s="1" t="s">
        <v>2790</v>
      </c>
      <c r="G285" s="1" t="s">
        <v>38</v>
      </c>
      <c r="H285" s="1" t="s">
        <v>2774</v>
      </c>
      <c r="I285" s="1">
        <v>111250103</v>
      </c>
      <c r="J285" s="1">
        <v>4</v>
      </c>
      <c r="K285" s="1">
        <v>293.67</v>
      </c>
      <c r="L285" s="1">
        <v>1174.68</v>
      </c>
      <c r="M285" s="7" t="s">
        <v>880</v>
      </c>
      <c r="N285" s="1" t="s">
        <v>2222</v>
      </c>
      <c r="O285" s="1">
        <v>9121</v>
      </c>
    </row>
    <row r="286" spans="1:15">
      <c r="A286" s="56">
        <v>46114</v>
      </c>
      <c r="B286" s="56">
        <v>46112</v>
      </c>
      <c r="C286" s="1">
        <v>60011</v>
      </c>
      <c r="D286" s="7" t="s">
        <v>33</v>
      </c>
      <c r="E286" s="1" t="s">
        <v>2791</v>
      </c>
      <c r="F286" s="1" t="s">
        <v>2790</v>
      </c>
      <c r="G286" s="1" t="s">
        <v>38</v>
      </c>
      <c r="H286" s="1" t="s">
        <v>2495</v>
      </c>
      <c r="I286" s="1" t="s">
        <v>892</v>
      </c>
      <c r="J286" s="1">
        <v>500</v>
      </c>
      <c r="K286" s="1">
        <v>326.20999999999998</v>
      </c>
      <c r="L286" s="1">
        <v>163105</v>
      </c>
      <c r="M286" s="7" t="s">
        <v>892</v>
      </c>
      <c r="N286" s="1" t="s">
        <v>2222</v>
      </c>
      <c r="O286" s="1">
        <v>9121</v>
      </c>
    </row>
    <row r="287" spans="1:15">
      <c r="A287" s="56">
        <v>46114</v>
      </c>
      <c r="B287" s="56">
        <v>46112</v>
      </c>
      <c r="C287" s="1">
        <v>60011</v>
      </c>
      <c r="D287" s="7" t="s">
        <v>33</v>
      </c>
      <c r="E287" s="1" t="s">
        <v>2791</v>
      </c>
      <c r="F287" s="1" t="s">
        <v>2790</v>
      </c>
      <c r="G287" s="1" t="s">
        <v>38</v>
      </c>
      <c r="H287" s="1" t="s">
        <v>2792</v>
      </c>
      <c r="I287" s="1" t="s">
        <v>914</v>
      </c>
      <c r="J287" s="1">
        <v>1000</v>
      </c>
      <c r="K287" s="1">
        <v>348.39</v>
      </c>
      <c r="L287" s="1">
        <v>348390</v>
      </c>
      <c r="M287" s="7" t="s">
        <v>914</v>
      </c>
      <c r="N287" s="1" t="s">
        <v>2222</v>
      </c>
      <c r="O287" s="1">
        <v>9121</v>
      </c>
    </row>
    <row r="288" spans="1:15">
      <c r="A288" s="56">
        <v>46114</v>
      </c>
      <c r="B288" s="56">
        <v>46112</v>
      </c>
      <c r="C288" s="1">
        <v>60010</v>
      </c>
      <c r="D288" s="7" t="s">
        <v>33</v>
      </c>
      <c r="E288" s="1" t="s">
        <v>2791</v>
      </c>
      <c r="F288" s="1" t="s">
        <v>2790</v>
      </c>
      <c r="G288" s="1" t="s">
        <v>38</v>
      </c>
      <c r="H288" s="1" t="s">
        <v>1540</v>
      </c>
      <c r="I288" s="1" t="s">
        <v>987</v>
      </c>
      <c r="J288" s="1">
        <v>1497</v>
      </c>
      <c r="K288" s="1">
        <v>101.04</v>
      </c>
      <c r="L288" s="1">
        <v>151256.88</v>
      </c>
      <c r="M288" s="7" t="s">
        <v>987</v>
      </c>
      <c r="N288" s="1" t="s">
        <v>2222</v>
      </c>
      <c r="O288" s="1">
        <v>8033</v>
      </c>
    </row>
    <row r="289" spans="1:15">
      <c r="A289" s="56">
        <v>46114</v>
      </c>
      <c r="B289" s="56">
        <v>46112</v>
      </c>
      <c r="C289" s="1">
        <v>60010</v>
      </c>
      <c r="D289" s="7" t="s">
        <v>33</v>
      </c>
      <c r="E289" s="1" t="s">
        <v>2791</v>
      </c>
      <c r="F289" s="1" t="s">
        <v>2790</v>
      </c>
      <c r="G289" s="1" t="s">
        <v>38</v>
      </c>
      <c r="H289" s="1" t="s">
        <v>2793</v>
      </c>
      <c r="I289" s="1" t="s">
        <v>1222</v>
      </c>
      <c r="J289" s="1">
        <v>2000</v>
      </c>
      <c r="K289" s="1">
        <v>10.58</v>
      </c>
      <c r="L289" s="1">
        <v>21160</v>
      </c>
      <c r="M289" s="7" t="s">
        <v>1222</v>
      </c>
      <c r="N289" s="1" t="s">
        <v>2222</v>
      </c>
      <c r="O289" s="1">
        <v>8033</v>
      </c>
    </row>
    <row r="290" spans="1:15">
      <c r="A290" s="56">
        <v>46114</v>
      </c>
      <c r="B290" s="56">
        <v>46113</v>
      </c>
      <c r="C290" s="1">
        <v>60011</v>
      </c>
      <c r="D290" s="7" t="s">
        <v>33</v>
      </c>
      <c r="E290" s="1" t="s">
        <v>2795</v>
      </c>
      <c r="F290" s="1" t="s">
        <v>2794</v>
      </c>
      <c r="G290" s="1" t="s">
        <v>38</v>
      </c>
      <c r="H290" s="1" t="s">
        <v>2494</v>
      </c>
      <c r="I290" s="1">
        <v>108230131</v>
      </c>
      <c r="J290" s="1">
        <v>1068</v>
      </c>
      <c r="K290" s="1">
        <v>202.33</v>
      </c>
      <c r="L290" s="1">
        <v>216088.44</v>
      </c>
      <c r="M290" s="7" t="s">
        <v>875</v>
      </c>
      <c r="N290" s="1" t="s">
        <v>2222</v>
      </c>
      <c r="O290" s="1">
        <v>9121</v>
      </c>
    </row>
    <row r="291" spans="1:15">
      <c r="A291" s="56">
        <v>46114</v>
      </c>
      <c r="B291" s="56">
        <v>46113</v>
      </c>
      <c r="C291" s="1">
        <v>60011</v>
      </c>
      <c r="D291" s="7" t="s">
        <v>33</v>
      </c>
      <c r="E291" s="1" t="s">
        <v>2795</v>
      </c>
      <c r="F291" s="1" t="s">
        <v>2794</v>
      </c>
      <c r="G291" s="1" t="s">
        <v>38</v>
      </c>
      <c r="H291" s="1" t="s">
        <v>2796</v>
      </c>
      <c r="I291" s="1" t="s">
        <v>912</v>
      </c>
      <c r="J291" s="1">
        <v>500</v>
      </c>
      <c r="K291" s="1">
        <v>308.35000000000002</v>
      </c>
      <c r="L291" s="1">
        <v>154175</v>
      </c>
      <c r="M291" s="7" t="s">
        <v>912</v>
      </c>
      <c r="N291" s="1" t="s">
        <v>2222</v>
      </c>
      <c r="O291" s="1">
        <v>9121</v>
      </c>
    </row>
    <row r="292" spans="1:15">
      <c r="A292" s="56">
        <v>46114</v>
      </c>
      <c r="B292" s="56">
        <v>46113</v>
      </c>
      <c r="C292" s="1">
        <v>60011</v>
      </c>
      <c r="D292" s="7" t="s">
        <v>33</v>
      </c>
      <c r="E292" s="1" t="s">
        <v>2795</v>
      </c>
      <c r="F292" s="1" t="s">
        <v>2794</v>
      </c>
      <c r="G292" s="1" t="s">
        <v>38</v>
      </c>
      <c r="H292" s="1" t="s">
        <v>2543</v>
      </c>
      <c r="I292" s="1" t="s">
        <v>887</v>
      </c>
      <c r="J292" s="1">
        <v>1000</v>
      </c>
      <c r="K292" s="1">
        <v>349.77</v>
      </c>
      <c r="L292" s="1">
        <v>349770</v>
      </c>
      <c r="M292" s="7" t="s">
        <v>887</v>
      </c>
      <c r="N292" s="1" t="s">
        <v>2222</v>
      </c>
      <c r="O292" s="1">
        <v>9121</v>
      </c>
    </row>
    <row r="293" spans="1:15">
      <c r="A293" s="56">
        <v>46114</v>
      </c>
      <c r="B293" s="56">
        <v>46113</v>
      </c>
      <c r="C293" s="1">
        <v>60010</v>
      </c>
      <c r="D293" s="7" t="s">
        <v>33</v>
      </c>
      <c r="E293" s="1" t="s">
        <v>2795</v>
      </c>
      <c r="F293" s="1" t="s">
        <v>2794</v>
      </c>
      <c r="G293" s="1" t="s">
        <v>38</v>
      </c>
      <c r="H293" s="1" t="s">
        <v>2797</v>
      </c>
      <c r="I293" s="1" t="s">
        <v>769</v>
      </c>
      <c r="J293" s="1">
        <v>3900</v>
      </c>
      <c r="K293" s="1">
        <v>10.93</v>
      </c>
      <c r="L293" s="1">
        <v>42627</v>
      </c>
      <c r="M293" s="7" t="s">
        <v>769</v>
      </c>
      <c r="N293" s="1" t="s">
        <v>2222</v>
      </c>
      <c r="O293" s="1">
        <v>8033</v>
      </c>
    </row>
    <row r="294" spans="1:15">
      <c r="A294" s="56">
        <v>46115</v>
      </c>
      <c r="B294" s="56">
        <v>46112</v>
      </c>
      <c r="C294" s="1">
        <v>60010</v>
      </c>
      <c r="D294" s="7" t="s">
        <v>36</v>
      </c>
      <c r="E294" s="1" t="s">
        <v>2799</v>
      </c>
      <c r="F294" s="1" t="s">
        <v>2798</v>
      </c>
      <c r="G294" s="1" t="s">
        <v>39</v>
      </c>
      <c r="H294" s="1" t="s">
        <v>2637</v>
      </c>
      <c r="I294" s="1" t="s">
        <v>2754</v>
      </c>
      <c r="J294" s="1">
        <v>420</v>
      </c>
      <c r="K294" s="1">
        <v>149.35</v>
      </c>
      <c r="L294" s="1">
        <v>62727</v>
      </c>
      <c r="M294" s="7" t="s">
        <v>2754</v>
      </c>
      <c r="N294" s="1" t="s">
        <v>2222</v>
      </c>
      <c r="O294" s="1">
        <v>8033</v>
      </c>
    </row>
    <row r="295" spans="1:15">
      <c r="A295" s="56">
        <v>46115</v>
      </c>
      <c r="B295" s="56">
        <v>46112</v>
      </c>
      <c r="C295" s="1">
        <v>60010</v>
      </c>
      <c r="D295" s="7" t="s">
        <v>36</v>
      </c>
      <c r="E295" s="1" t="s">
        <v>2799</v>
      </c>
      <c r="F295" s="1" t="s">
        <v>2798</v>
      </c>
      <c r="G295" s="1" t="s">
        <v>39</v>
      </c>
      <c r="H295" s="1" t="s">
        <v>2530</v>
      </c>
      <c r="I295" s="1" t="s">
        <v>2529</v>
      </c>
      <c r="J295" s="1">
        <v>1920</v>
      </c>
      <c r="K295" s="1">
        <v>49.57</v>
      </c>
      <c r="L295" s="1">
        <v>95174.399999999994</v>
      </c>
      <c r="M295" s="7" t="s">
        <v>2529</v>
      </c>
      <c r="N295" s="1" t="s">
        <v>2222</v>
      </c>
      <c r="O295" s="1">
        <v>8033</v>
      </c>
    </row>
    <row r="296" spans="1:15">
      <c r="A296" s="56">
        <v>46115</v>
      </c>
      <c r="B296" s="56">
        <v>46112</v>
      </c>
      <c r="C296" s="1">
        <v>60010</v>
      </c>
      <c r="D296" s="7" t="s">
        <v>36</v>
      </c>
      <c r="E296" s="1" t="s">
        <v>2799</v>
      </c>
      <c r="F296" s="1" t="s">
        <v>2798</v>
      </c>
      <c r="G296" s="1" t="s">
        <v>39</v>
      </c>
      <c r="H296" s="1" t="s">
        <v>2801</v>
      </c>
      <c r="I296" s="1" t="s">
        <v>2800</v>
      </c>
      <c r="J296" s="1">
        <v>4116</v>
      </c>
      <c r="K296" s="1">
        <v>2.89</v>
      </c>
      <c r="L296" s="1">
        <v>11895.24</v>
      </c>
      <c r="M296" s="7" t="s">
        <v>2800</v>
      </c>
      <c r="N296" s="1" t="s">
        <v>2222</v>
      </c>
      <c r="O296" s="1">
        <v>8033</v>
      </c>
    </row>
    <row r="297" spans="1:15">
      <c r="A297" s="56">
        <v>46115</v>
      </c>
      <c r="B297" s="56">
        <v>46112</v>
      </c>
      <c r="C297" s="1">
        <v>60010</v>
      </c>
      <c r="D297" s="7" t="s">
        <v>36</v>
      </c>
      <c r="E297" s="1" t="s">
        <v>2799</v>
      </c>
      <c r="F297" s="1" t="s">
        <v>2798</v>
      </c>
      <c r="G297" s="1" t="s">
        <v>39</v>
      </c>
      <c r="H297" s="1" t="s">
        <v>2522</v>
      </c>
      <c r="I297" s="1" t="s">
        <v>375</v>
      </c>
      <c r="J297" s="1">
        <v>1008</v>
      </c>
      <c r="K297" s="1">
        <v>128.85</v>
      </c>
      <c r="L297" s="1">
        <v>129880.8</v>
      </c>
      <c r="M297" s="7" t="s">
        <v>375</v>
      </c>
      <c r="N297" s="1" t="s">
        <v>2225</v>
      </c>
      <c r="O297" s="1">
        <v>8033</v>
      </c>
    </row>
    <row r="298" spans="1:15">
      <c r="A298" s="56">
        <v>46115</v>
      </c>
      <c r="B298" s="56">
        <v>46112</v>
      </c>
      <c r="C298" s="1">
        <v>60010</v>
      </c>
      <c r="D298" s="7" t="s">
        <v>36</v>
      </c>
      <c r="E298" s="1" t="s">
        <v>2799</v>
      </c>
      <c r="F298" s="1" t="s">
        <v>2798</v>
      </c>
      <c r="G298" s="1" t="s">
        <v>39</v>
      </c>
      <c r="H298" s="1" t="s">
        <v>2623</v>
      </c>
      <c r="I298" s="1" t="s">
        <v>417</v>
      </c>
      <c r="J298" s="1">
        <v>450</v>
      </c>
      <c r="K298" s="1">
        <v>185.88</v>
      </c>
      <c r="L298" s="1">
        <v>83646</v>
      </c>
      <c r="M298" s="7" t="s">
        <v>417</v>
      </c>
      <c r="N298" s="1" t="s">
        <v>2225</v>
      </c>
      <c r="O298" s="1">
        <v>8033</v>
      </c>
    </row>
    <row r="299" spans="1:15">
      <c r="A299" s="56">
        <v>46115</v>
      </c>
      <c r="B299" s="56">
        <v>46112</v>
      </c>
      <c r="C299" s="1">
        <v>60010</v>
      </c>
      <c r="D299" s="7" t="s">
        <v>36</v>
      </c>
      <c r="E299" s="1" t="s">
        <v>2799</v>
      </c>
      <c r="F299" s="1" t="s">
        <v>2798</v>
      </c>
      <c r="G299" s="1" t="s">
        <v>39</v>
      </c>
      <c r="H299" s="1" t="s">
        <v>2638</v>
      </c>
      <c r="I299" s="1" t="s">
        <v>365</v>
      </c>
      <c r="J299" s="1">
        <v>360</v>
      </c>
      <c r="K299" s="1">
        <v>129.30000000000001</v>
      </c>
      <c r="L299" s="1">
        <v>46548</v>
      </c>
      <c r="M299" s="7" t="s">
        <v>365</v>
      </c>
      <c r="N299" s="1" t="s">
        <v>2225</v>
      </c>
      <c r="O299" s="1">
        <v>8033</v>
      </c>
    </row>
    <row r="300" spans="1:15">
      <c r="A300" s="56">
        <v>46115</v>
      </c>
      <c r="B300" s="56">
        <v>46112</v>
      </c>
      <c r="C300" s="1">
        <v>60010</v>
      </c>
      <c r="D300" s="7" t="s">
        <v>36</v>
      </c>
      <c r="E300" s="1" t="s">
        <v>2799</v>
      </c>
      <c r="F300" s="1" t="s">
        <v>2798</v>
      </c>
      <c r="G300" s="1" t="s">
        <v>39</v>
      </c>
      <c r="H300" s="1" t="s">
        <v>2672</v>
      </c>
      <c r="I300" s="1" t="s">
        <v>296</v>
      </c>
      <c r="J300" s="1">
        <v>2080</v>
      </c>
      <c r="K300" s="1">
        <v>116.4</v>
      </c>
      <c r="L300" s="1">
        <v>242112</v>
      </c>
      <c r="M300" s="7" t="s">
        <v>296</v>
      </c>
      <c r="N300" s="1" t="s">
        <v>2225</v>
      </c>
      <c r="O300" s="1">
        <v>8033</v>
      </c>
    </row>
    <row r="301" spans="1:15">
      <c r="A301" s="56">
        <v>46115</v>
      </c>
      <c r="B301" s="56">
        <v>46112</v>
      </c>
      <c r="C301" s="1">
        <v>60010</v>
      </c>
      <c r="D301" s="7" t="s">
        <v>36</v>
      </c>
      <c r="E301" s="1" t="s">
        <v>2799</v>
      </c>
      <c r="F301" s="1" t="s">
        <v>2798</v>
      </c>
      <c r="G301" s="1" t="s">
        <v>39</v>
      </c>
      <c r="H301" s="1" t="s">
        <v>2629</v>
      </c>
      <c r="I301" s="1" t="s">
        <v>799</v>
      </c>
      <c r="J301" s="1">
        <v>1160</v>
      </c>
      <c r="K301" s="1">
        <v>137.03</v>
      </c>
      <c r="L301" s="1">
        <v>158954.79999999999</v>
      </c>
      <c r="M301" s="7" t="s">
        <v>799</v>
      </c>
      <c r="N301" s="1" t="s">
        <v>2225</v>
      </c>
      <c r="O301" s="1">
        <v>8033</v>
      </c>
    </row>
    <row r="302" spans="1:15">
      <c r="A302" s="56">
        <v>46115</v>
      </c>
      <c r="B302" s="56">
        <v>46112</v>
      </c>
      <c r="C302" s="1">
        <v>60010</v>
      </c>
      <c r="D302" s="7" t="s">
        <v>36</v>
      </c>
      <c r="E302" s="1" t="s">
        <v>2799</v>
      </c>
      <c r="F302" s="1" t="s">
        <v>2798</v>
      </c>
      <c r="G302" s="1" t="s">
        <v>39</v>
      </c>
      <c r="H302" s="1" t="s">
        <v>2630</v>
      </c>
      <c r="I302" s="1" t="s">
        <v>802</v>
      </c>
      <c r="J302" s="1">
        <v>1200</v>
      </c>
      <c r="K302" s="1">
        <v>141.93</v>
      </c>
      <c r="L302" s="1">
        <v>170316</v>
      </c>
      <c r="M302" s="7" t="s">
        <v>802</v>
      </c>
      <c r="N302" s="1" t="s">
        <v>2225</v>
      </c>
      <c r="O302" s="1">
        <v>8033</v>
      </c>
    </row>
    <row r="303" spans="1:15">
      <c r="A303" s="56">
        <v>46115</v>
      </c>
      <c r="B303" s="56">
        <v>46112</v>
      </c>
      <c r="C303" s="1">
        <v>60010</v>
      </c>
      <c r="D303" s="7" t="s">
        <v>36</v>
      </c>
      <c r="E303" s="1" t="s">
        <v>2799</v>
      </c>
      <c r="F303" s="1" t="s">
        <v>2798</v>
      </c>
      <c r="G303" s="1" t="s">
        <v>39</v>
      </c>
      <c r="H303" s="1" t="s">
        <v>2642</v>
      </c>
      <c r="I303" s="1" t="s">
        <v>805</v>
      </c>
      <c r="J303" s="1">
        <v>390</v>
      </c>
      <c r="K303" s="1">
        <v>141.94999999999999</v>
      </c>
      <c r="L303" s="1">
        <v>55360.5</v>
      </c>
      <c r="M303" s="7" t="s">
        <v>805</v>
      </c>
      <c r="N303" s="1" t="s">
        <v>2225</v>
      </c>
      <c r="O303" s="1">
        <v>8033</v>
      </c>
    </row>
    <row r="304" spans="1:15">
      <c r="A304" s="56">
        <v>46115</v>
      </c>
      <c r="B304" s="56">
        <v>46112</v>
      </c>
      <c r="C304" s="1">
        <v>60010</v>
      </c>
      <c r="D304" s="7" t="s">
        <v>36</v>
      </c>
      <c r="E304" s="1" t="s">
        <v>2799</v>
      </c>
      <c r="F304" s="1" t="s">
        <v>2798</v>
      </c>
      <c r="G304" s="1" t="s">
        <v>39</v>
      </c>
      <c r="H304" s="1" t="s">
        <v>846</v>
      </c>
      <c r="I304" s="1" t="s">
        <v>844</v>
      </c>
      <c r="J304" s="1">
        <v>2067</v>
      </c>
      <c r="K304" s="1">
        <v>8.7799999999999994</v>
      </c>
      <c r="L304" s="1">
        <v>18148.259999999998</v>
      </c>
      <c r="M304" s="7" t="s">
        <v>844</v>
      </c>
      <c r="N304" s="1" t="s">
        <v>2225</v>
      </c>
      <c r="O304" s="1">
        <v>8033</v>
      </c>
    </row>
    <row r="305" spans="1:15">
      <c r="A305" s="56">
        <v>46115</v>
      </c>
      <c r="B305" s="56">
        <v>46114</v>
      </c>
      <c r="C305" s="1">
        <v>60010</v>
      </c>
      <c r="D305" s="7" t="s">
        <v>36</v>
      </c>
      <c r="E305" s="1" t="s">
        <v>2803</v>
      </c>
      <c r="F305" s="1" t="s">
        <v>2802</v>
      </c>
      <c r="G305" s="1" t="s">
        <v>39</v>
      </c>
      <c r="H305" s="1" t="s">
        <v>2726</v>
      </c>
      <c r="I305" s="1" t="s">
        <v>2725</v>
      </c>
      <c r="J305" s="1">
        <v>3200</v>
      </c>
      <c r="K305" s="1">
        <v>0.71</v>
      </c>
      <c r="L305" s="1">
        <v>2272</v>
      </c>
      <c r="M305" s="7" t="s">
        <v>2725</v>
      </c>
      <c r="N305" s="1" t="s">
        <v>2222</v>
      </c>
      <c r="O305" s="1">
        <v>8033</v>
      </c>
    </row>
    <row r="306" spans="1:15">
      <c r="A306" s="56">
        <v>46115</v>
      </c>
      <c r="B306" s="56">
        <v>46114</v>
      </c>
      <c r="C306" s="1">
        <v>60010</v>
      </c>
      <c r="D306" s="7" t="s">
        <v>36</v>
      </c>
      <c r="E306" s="1" t="s">
        <v>2803</v>
      </c>
      <c r="F306" s="1" t="s">
        <v>2802</v>
      </c>
      <c r="G306" s="1" t="s">
        <v>39</v>
      </c>
      <c r="H306" s="1" t="s">
        <v>2728</v>
      </c>
      <c r="I306" s="1" t="s">
        <v>2727</v>
      </c>
      <c r="J306" s="1">
        <v>4000</v>
      </c>
      <c r="K306" s="1">
        <v>0.89</v>
      </c>
      <c r="L306" s="1">
        <v>3560</v>
      </c>
      <c r="M306" s="7" t="s">
        <v>2727</v>
      </c>
      <c r="N306" s="1" t="s">
        <v>2222</v>
      </c>
      <c r="O306" s="1">
        <v>8033</v>
      </c>
    </row>
    <row r="307" spans="1:15">
      <c r="A307" s="56">
        <v>46115</v>
      </c>
      <c r="B307" s="56">
        <v>46114</v>
      </c>
      <c r="C307" s="1">
        <v>60010</v>
      </c>
      <c r="D307" s="7" t="s">
        <v>36</v>
      </c>
      <c r="E307" s="1" t="s">
        <v>2803</v>
      </c>
      <c r="F307" s="1" t="s">
        <v>2802</v>
      </c>
      <c r="G307" s="1" t="s">
        <v>39</v>
      </c>
      <c r="H307" s="1" t="s">
        <v>2530</v>
      </c>
      <c r="I307" s="1" t="s">
        <v>2529</v>
      </c>
      <c r="J307" s="1">
        <v>1760</v>
      </c>
      <c r="K307" s="1">
        <v>49.57</v>
      </c>
      <c r="L307" s="1">
        <v>87243.199999999997</v>
      </c>
      <c r="M307" s="7" t="s">
        <v>2529</v>
      </c>
      <c r="N307" s="1" t="s">
        <v>2222</v>
      </c>
      <c r="O307" s="1">
        <v>8033</v>
      </c>
    </row>
    <row r="308" spans="1:15">
      <c r="A308" s="56">
        <v>46115</v>
      </c>
      <c r="B308" s="56">
        <v>46114</v>
      </c>
      <c r="C308" s="1">
        <v>60010</v>
      </c>
      <c r="D308" s="7" t="s">
        <v>36</v>
      </c>
      <c r="E308" s="1" t="s">
        <v>2803</v>
      </c>
      <c r="F308" s="1" t="s">
        <v>2802</v>
      </c>
      <c r="G308" s="1" t="s">
        <v>39</v>
      </c>
      <c r="H308" s="1" t="s">
        <v>2524</v>
      </c>
      <c r="I308" s="1" t="s">
        <v>2523</v>
      </c>
      <c r="J308" s="1">
        <v>84</v>
      </c>
      <c r="K308" s="1">
        <v>295.20999999999998</v>
      </c>
      <c r="L308" s="1">
        <v>24797.64</v>
      </c>
      <c r="M308" s="7" t="s">
        <v>2523</v>
      </c>
      <c r="N308" s="1" t="s">
        <v>2222</v>
      </c>
      <c r="O308" s="1">
        <v>8033</v>
      </c>
    </row>
    <row r="309" spans="1:15">
      <c r="A309" s="56">
        <v>46115</v>
      </c>
      <c r="B309" s="56">
        <v>46114</v>
      </c>
      <c r="C309" s="1">
        <v>60010</v>
      </c>
      <c r="D309" s="7" t="s">
        <v>36</v>
      </c>
      <c r="E309" s="1" t="s">
        <v>2803</v>
      </c>
      <c r="F309" s="1" t="s">
        <v>2802</v>
      </c>
      <c r="G309" s="1" t="s">
        <v>39</v>
      </c>
      <c r="H309" s="1" t="s">
        <v>2640</v>
      </c>
      <c r="I309" s="1" t="s">
        <v>815</v>
      </c>
      <c r="J309" s="1">
        <v>600</v>
      </c>
      <c r="K309" s="1">
        <v>111.75</v>
      </c>
      <c r="L309" s="1">
        <v>67050</v>
      </c>
      <c r="M309" s="7" t="s">
        <v>815</v>
      </c>
      <c r="N309" s="1" t="s">
        <v>2225</v>
      </c>
      <c r="O309" s="1">
        <v>8033</v>
      </c>
    </row>
    <row r="310" spans="1:15">
      <c r="A310" s="56">
        <v>46115</v>
      </c>
      <c r="B310" s="56">
        <v>46114</v>
      </c>
      <c r="C310" s="1">
        <v>60010</v>
      </c>
      <c r="D310" s="7" t="s">
        <v>36</v>
      </c>
      <c r="E310" s="1" t="s">
        <v>2803</v>
      </c>
      <c r="F310" s="1" t="s">
        <v>2802</v>
      </c>
      <c r="G310" s="1" t="s">
        <v>39</v>
      </c>
      <c r="H310" s="1" t="s">
        <v>2629</v>
      </c>
      <c r="I310" s="1" t="s">
        <v>799</v>
      </c>
      <c r="J310" s="1">
        <v>540</v>
      </c>
      <c r="K310" s="1">
        <v>137.03</v>
      </c>
      <c r="L310" s="1">
        <v>73996.2</v>
      </c>
      <c r="M310" s="7" t="s">
        <v>799</v>
      </c>
      <c r="N310" s="1" t="s">
        <v>2225</v>
      </c>
      <c r="O310" s="1">
        <v>8033</v>
      </c>
    </row>
    <row r="311" spans="1:15">
      <c r="A311" s="56">
        <v>46115</v>
      </c>
      <c r="B311" s="56">
        <v>46114</v>
      </c>
      <c r="C311" s="1">
        <v>60010</v>
      </c>
      <c r="D311" s="7" t="s">
        <v>36</v>
      </c>
      <c r="E311" s="1" t="s">
        <v>2803</v>
      </c>
      <c r="F311" s="1" t="s">
        <v>2802</v>
      </c>
      <c r="G311" s="1" t="s">
        <v>39</v>
      </c>
      <c r="H311" s="1" t="s">
        <v>2805</v>
      </c>
      <c r="I311" s="1" t="s">
        <v>2804</v>
      </c>
      <c r="J311" s="1">
        <v>700</v>
      </c>
      <c r="K311" s="1">
        <v>126</v>
      </c>
      <c r="L311" s="1">
        <v>88200</v>
      </c>
      <c r="M311" s="7" t="s">
        <v>2804</v>
      </c>
      <c r="N311" s="1" t="s">
        <v>2222</v>
      </c>
      <c r="O311" s="1">
        <v>8033</v>
      </c>
    </row>
    <row r="312" spans="1:15">
      <c r="A312" s="56">
        <v>46115</v>
      </c>
      <c r="B312" s="56">
        <v>46114</v>
      </c>
      <c r="C312" s="1">
        <v>60010</v>
      </c>
      <c r="D312" s="7" t="s">
        <v>36</v>
      </c>
      <c r="E312" s="1" t="s">
        <v>2803</v>
      </c>
      <c r="F312" s="1" t="s">
        <v>2802</v>
      </c>
      <c r="G312" s="1" t="s">
        <v>39</v>
      </c>
      <c r="H312" s="1" t="s">
        <v>2631</v>
      </c>
      <c r="I312" s="1" t="s">
        <v>862</v>
      </c>
      <c r="J312" s="1">
        <v>13200</v>
      </c>
      <c r="K312" s="1">
        <v>1.6</v>
      </c>
      <c r="L312" s="1">
        <v>21120</v>
      </c>
      <c r="M312" s="7" t="s">
        <v>862</v>
      </c>
      <c r="N312" s="1" t="s">
        <v>2225</v>
      </c>
      <c r="O312" s="1">
        <v>8033</v>
      </c>
    </row>
    <row r="313" spans="1:15">
      <c r="A313" s="56">
        <v>46115</v>
      </c>
      <c r="B313" s="56">
        <v>46114</v>
      </c>
      <c r="C313" s="1">
        <v>60010</v>
      </c>
      <c r="D313" s="7" t="s">
        <v>36</v>
      </c>
      <c r="E313" s="1" t="s">
        <v>2803</v>
      </c>
      <c r="F313" s="1" t="s">
        <v>2802</v>
      </c>
      <c r="G313" s="1" t="s">
        <v>39</v>
      </c>
      <c r="H313" s="1" t="s">
        <v>756</v>
      </c>
      <c r="I313" s="1" t="s">
        <v>754</v>
      </c>
      <c r="J313" s="1">
        <v>5700</v>
      </c>
      <c r="K313" s="1">
        <v>3.23</v>
      </c>
      <c r="L313" s="1">
        <v>18411</v>
      </c>
      <c r="M313" s="7" t="s">
        <v>754</v>
      </c>
      <c r="N313" s="1" t="s">
        <v>2225</v>
      </c>
      <c r="O313" s="1">
        <v>8033</v>
      </c>
    </row>
    <row r="314" spans="1:15">
      <c r="A314" s="56">
        <v>46115</v>
      </c>
      <c r="B314" s="56">
        <v>46114</v>
      </c>
      <c r="C314" s="1">
        <v>60010</v>
      </c>
      <c r="D314" s="7" t="s">
        <v>36</v>
      </c>
      <c r="E314" s="1" t="s">
        <v>2803</v>
      </c>
      <c r="F314" s="1" t="s">
        <v>2802</v>
      </c>
      <c r="G314" s="1" t="s">
        <v>39</v>
      </c>
      <c r="H314" s="1" t="s">
        <v>2789</v>
      </c>
      <c r="I314" s="1" t="s">
        <v>721</v>
      </c>
      <c r="J314" s="1">
        <v>11</v>
      </c>
      <c r="K314" s="1">
        <v>8.39</v>
      </c>
      <c r="L314" s="1">
        <v>92.29</v>
      </c>
      <c r="M314" s="7" t="s">
        <v>721</v>
      </c>
      <c r="N314" s="1" t="s">
        <v>2225</v>
      </c>
      <c r="O314" s="1">
        <v>8033</v>
      </c>
    </row>
    <row r="315" spans="1:15">
      <c r="A315" s="56">
        <v>46115</v>
      </c>
      <c r="B315" s="56">
        <v>46114</v>
      </c>
      <c r="C315" s="1">
        <v>60010</v>
      </c>
      <c r="D315" s="7" t="s">
        <v>36</v>
      </c>
      <c r="E315" s="1" t="s">
        <v>2803</v>
      </c>
      <c r="F315" s="1" t="s">
        <v>2802</v>
      </c>
      <c r="G315" s="1" t="s">
        <v>39</v>
      </c>
      <c r="H315" s="1" t="s">
        <v>2632</v>
      </c>
      <c r="I315" s="1" t="s">
        <v>847</v>
      </c>
      <c r="J315" s="1">
        <v>13000</v>
      </c>
      <c r="K315" s="1">
        <v>0.82</v>
      </c>
      <c r="L315" s="1">
        <v>10660</v>
      </c>
      <c r="M315" s="7" t="s">
        <v>847</v>
      </c>
      <c r="N315" s="1" t="s">
        <v>2225</v>
      </c>
      <c r="O315" s="1">
        <v>8033</v>
      </c>
    </row>
    <row r="316" spans="1:15">
      <c r="A316" s="56">
        <v>46115</v>
      </c>
      <c r="B316" s="56">
        <v>46114</v>
      </c>
      <c r="C316" s="1">
        <v>60010</v>
      </c>
      <c r="D316" s="7" t="s">
        <v>36</v>
      </c>
      <c r="E316" s="1" t="s">
        <v>2803</v>
      </c>
      <c r="F316" s="1" t="s">
        <v>2802</v>
      </c>
      <c r="G316" s="1" t="s">
        <v>39</v>
      </c>
      <c r="H316" s="1" t="s">
        <v>783</v>
      </c>
      <c r="I316" s="1" t="s">
        <v>781</v>
      </c>
      <c r="J316" s="1">
        <v>25200</v>
      </c>
      <c r="K316" s="1">
        <v>0.57999999999999996</v>
      </c>
      <c r="L316" s="1">
        <v>14616</v>
      </c>
      <c r="M316" s="7" t="s">
        <v>781</v>
      </c>
      <c r="N316" s="1" t="s">
        <v>2225</v>
      </c>
      <c r="O316" s="1">
        <v>8033</v>
      </c>
    </row>
    <row r="317" spans="1:15">
      <c r="A317" s="56">
        <v>46115</v>
      </c>
      <c r="B317" s="56">
        <v>46114</v>
      </c>
      <c r="C317" s="1">
        <v>60010</v>
      </c>
      <c r="D317" s="7" t="s">
        <v>36</v>
      </c>
      <c r="E317" s="1" t="s">
        <v>2803</v>
      </c>
      <c r="F317" s="1" t="s">
        <v>2802</v>
      </c>
      <c r="G317" s="1" t="s">
        <v>39</v>
      </c>
      <c r="H317" s="1" t="s">
        <v>837</v>
      </c>
      <c r="I317" s="1" t="s">
        <v>835</v>
      </c>
      <c r="J317" s="1">
        <v>12800</v>
      </c>
      <c r="K317" s="1">
        <v>0.81</v>
      </c>
      <c r="L317" s="1">
        <v>10368</v>
      </c>
      <c r="M317" s="7" t="s">
        <v>835</v>
      </c>
      <c r="N317" s="1" t="s">
        <v>2225</v>
      </c>
      <c r="O317" s="1">
        <v>8033</v>
      </c>
    </row>
    <row r="318" spans="1:15">
      <c r="A318" s="56">
        <v>46115</v>
      </c>
      <c r="B318" s="56">
        <v>46114</v>
      </c>
      <c r="C318" s="1">
        <v>60010</v>
      </c>
      <c r="D318" s="7" t="s">
        <v>36</v>
      </c>
      <c r="E318" s="1" t="s">
        <v>2803</v>
      </c>
      <c r="F318" s="1" t="s">
        <v>2802</v>
      </c>
      <c r="G318" s="1" t="s">
        <v>39</v>
      </c>
      <c r="H318" s="1" t="s">
        <v>831</v>
      </c>
      <c r="I318" s="1" t="s">
        <v>829</v>
      </c>
      <c r="J318" s="1">
        <v>707</v>
      </c>
      <c r="K318" s="1">
        <v>7.98</v>
      </c>
      <c r="L318" s="1">
        <v>5641.86</v>
      </c>
      <c r="M318" s="7" t="s">
        <v>829</v>
      </c>
      <c r="N318" s="1" t="s">
        <v>2225</v>
      </c>
      <c r="O318" s="1">
        <v>8033</v>
      </c>
    </row>
    <row r="319" spans="1:15">
      <c r="A319" s="56">
        <v>46115</v>
      </c>
      <c r="B319" s="56">
        <v>46114</v>
      </c>
      <c r="C319" s="1">
        <v>60010</v>
      </c>
      <c r="D319" s="7" t="s">
        <v>36</v>
      </c>
      <c r="E319" s="1" t="s">
        <v>2803</v>
      </c>
      <c r="F319" s="1" t="s">
        <v>2802</v>
      </c>
      <c r="G319" s="1" t="s">
        <v>39</v>
      </c>
      <c r="H319" s="1" t="s">
        <v>843</v>
      </c>
      <c r="I319" s="1" t="s">
        <v>841</v>
      </c>
      <c r="J319" s="1">
        <v>1000</v>
      </c>
      <c r="K319" s="1">
        <v>10.4</v>
      </c>
      <c r="L319" s="1">
        <v>10400</v>
      </c>
      <c r="M319" s="7" t="s">
        <v>841</v>
      </c>
      <c r="N319" s="1" t="s">
        <v>2225</v>
      </c>
      <c r="O319" s="1">
        <v>8033</v>
      </c>
    </row>
    <row r="320" spans="1:15">
      <c r="A320" s="56">
        <v>46115</v>
      </c>
      <c r="B320" s="56">
        <v>46115</v>
      </c>
      <c r="C320" s="1">
        <v>60010</v>
      </c>
      <c r="D320" s="7" t="s">
        <v>36</v>
      </c>
      <c r="E320" s="1" t="s">
        <v>2807</v>
      </c>
      <c r="F320" s="1" t="s">
        <v>2806</v>
      </c>
      <c r="G320" s="1" t="s">
        <v>39</v>
      </c>
      <c r="H320" s="1" t="s">
        <v>2443</v>
      </c>
      <c r="I320" s="1" t="s">
        <v>422</v>
      </c>
      <c r="J320" s="1">
        <v>240</v>
      </c>
      <c r="K320" s="1">
        <v>146.57</v>
      </c>
      <c r="L320" s="1">
        <v>35176.800000000003</v>
      </c>
      <c r="M320" s="7" t="s">
        <v>422</v>
      </c>
      <c r="N320" s="1" t="s">
        <v>2225</v>
      </c>
      <c r="O320" s="1">
        <v>8033</v>
      </c>
    </row>
    <row r="321" spans="1:15">
      <c r="A321" s="56">
        <v>46115</v>
      </c>
      <c r="B321" s="56">
        <v>46115</v>
      </c>
      <c r="C321" s="1">
        <v>60010</v>
      </c>
      <c r="D321" s="7" t="s">
        <v>36</v>
      </c>
      <c r="E321" s="1" t="s">
        <v>2807</v>
      </c>
      <c r="F321" s="1" t="s">
        <v>2806</v>
      </c>
      <c r="G321" s="1" t="s">
        <v>39</v>
      </c>
      <c r="H321" s="1" t="s">
        <v>2672</v>
      </c>
      <c r="I321" s="1" t="s">
        <v>296</v>
      </c>
      <c r="J321" s="1">
        <v>270</v>
      </c>
      <c r="K321" s="1">
        <v>116.4</v>
      </c>
      <c r="L321" s="1">
        <v>31428</v>
      </c>
      <c r="M321" s="7" t="s">
        <v>296</v>
      </c>
      <c r="N321" s="1" t="s">
        <v>2225</v>
      </c>
      <c r="O321" s="1">
        <v>8033</v>
      </c>
    </row>
    <row r="322" spans="1:15">
      <c r="A322" s="56">
        <v>46115</v>
      </c>
      <c r="B322" s="56">
        <v>46115</v>
      </c>
      <c r="C322" s="1">
        <v>60010</v>
      </c>
      <c r="D322" s="7" t="s">
        <v>36</v>
      </c>
      <c r="E322" s="1" t="s">
        <v>2807</v>
      </c>
      <c r="F322" s="1" t="s">
        <v>2806</v>
      </c>
      <c r="G322" s="1" t="s">
        <v>39</v>
      </c>
      <c r="H322" s="1" t="s">
        <v>2755</v>
      </c>
      <c r="I322" s="1" t="s">
        <v>315</v>
      </c>
      <c r="J322" s="1">
        <v>500</v>
      </c>
      <c r="K322" s="1">
        <v>123.34</v>
      </c>
      <c r="L322" s="1">
        <v>61670</v>
      </c>
      <c r="M322" s="7" t="s">
        <v>315</v>
      </c>
      <c r="N322" s="1" t="s">
        <v>2225</v>
      </c>
      <c r="O322" s="1">
        <v>8033</v>
      </c>
    </row>
    <row r="323" spans="1:15">
      <c r="A323" s="56">
        <v>46115</v>
      </c>
      <c r="B323" s="56">
        <v>46115</v>
      </c>
      <c r="C323" s="1">
        <v>60010</v>
      </c>
      <c r="D323" s="7" t="s">
        <v>36</v>
      </c>
      <c r="E323" s="1" t="s">
        <v>2807</v>
      </c>
      <c r="F323" s="1" t="s">
        <v>2806</v>
      </c>
      <c r="G323" s="1" t="s">
        <v>39</v>
      </c>
      <c r="H323" s="1" t="s">
        <v>2756</v>
      </c>
      <c r="I323" s="1" t="s">
        <v>827</v>
      </c>
      <c r="J323" s="1">
        <v>900</v>
      </c>
      <c r="K323" s="1">
        <v>112.57</v>
      </c>
      <c r="L323" s="1">
        <v>101313</v>
      </c>
      <c r="M323" s="7" t="s">
        <v>827</v>
      </c>
      <c r="N323" s="1" t="s">
        <v>2225</v>
      </c>
      <c r="O323" s="1">
        <v>8033</v>
      </c>
    </row>
    <row r="324" spans="1:15">
      <c r="A324" s="56">
        <v>46115</v>
      </c>
      <c r="B324" s="56">
        <v>46115</v>
      </c>
      <c r="C324" s="1">
        <v>60010</v>
      </c>
      <c r="D324" s="7" t="s">
        <v>36</v>
      </c>
      <c r="E324" s="1" t="s">
        <v>2807</v>
      </c>
      <c r="F324" s="1" t="s">
        <v>2806</v>
      </c>
      <c r="G324" s="1" t="s">
        <v>39</v>
      </c>
      <c r="H324" s="1" t="s">
        <v>2445</v>
      </c>
      <c r="I324" s="1" t="s">
        <v>793</v>
      </c>
      <c r="J324" s="1">
        <v>1280</v>
      </c>
      <c r="K324" s="1">
        <v>127.44</v>
      </c>
      <c r="L324" s="1">
        <v>163123.20000000001</v>
      </c>
      <c r="M324" s="7" t="s">
        <v>793</v>
      </c>
      <c r="N324" s="1" t="s">
        <v>2225</v>
      </c>
      <c r="O324" s="1">
        <v>8033</v>
      </c>
    </row>
    <row r="325" spans="1:15">
      <c r="A325" s="56">
        <v>46119</v>
      </c>
      <c r="B325" s="56">
        <v>46114</v>
      </c>
      <c r="C325" s="1">
        <v>60011</v>
      </c>
      <c r="D325" s="7" t="s">
        <v>35</v>
      </c>
      <c r="E325" s="1" t="s">
        <v>2809</v>
      </c>
      <c r="F325" s="1" t="s">
        <v>2808</v>
      </c>
      <c r="G325" s="1" t="s">
        <v>38</v>
      </c>
      <c r="H325" s="1" t="s">
        <v>2518</v>
      </c>
      <c r="I325" s="1" t="s">
        <v>2171</v>
      </c>
      <c r="J325" s="1">
        <v>1200</v>
      </c>
      <c r="K325" s="1">
        <v>157.02000000000001</v>
      </c>
      <c r="L325" s="1">
        <v>188424</v>
      </c>
      <c r="M325" s="7" t="s">
        <v>2171</v>
      </c>
      <c r="N325" s="1" t="s">
        <v>2222</v>
      </c>
      <c r="O325" s="1">
        <v>9121</v>
      </c>
    </row>
    <row r="326" spans="1:15">
      <c r="A326" s="56">
        <v>46119</v>
      </c>
      <c r="B326" s="56">
        <v>46114</v>
      </c>
      <c r="C326" s="1">
        <v>60011</v>
      </c>
      <c r="D326" s="7" t="s">
        <v>35</v>
      </c>
      <c r="E326" s="1" t="s">
        <v>2809</v>
      </c>
      <c r="F326" s="1" t="s">
        <v>2808</v>
      </c>
      <c r="G326" s="1" t="s">
        <v>38</v>
      </c>
      <c r="H326" s="1" t="s">
        <v>2667</v>
      </c>
      <c r="I326" s="1" t="s">
        <v>2172</v>
      </c>
      <c r="J326" s="1">
        <v>228</v>
      </c>
      <c r="K326" s="1">
        <v>161.30000000000001</v>
      </c>
      <c r="L326" s="1">
        <v>36776.400000000001</v>
      </c>
      <c r="M326" s="7" t="s">
        <v>2172</v>
      </c>
      <c r="N326" s="1" t="s">
        <v>2222</v>
      </c>
      <c r="O326" s="1">
        <v>9121</v>
      </c>
    </row>
    <row r="327" spans="1:15">
      <c r="A327" s="56">
        <v>46119</v>
      </c>
      <c r="B327" s="56">
        <v>46114</v>
      </c>
      <c r="C327" s="1">
        <v>60011</v>
      </c>
      <c r="D327" s="7" t="s">
        <v>35</v>
      </c>
      <c r="E327" s="1" t="s">
        <v>2809</v>
      </c>
      <c r="F327" s="1" t="s">
        <v>2808</v>
      </c>
      <c r="G327" s="1" t="s">
        <v>38</v>
      </c>
      <c r="H327" s="1" t="s">
        <v>2603</v>
      </c>
      <c r="I327" s="1" t="s">
        <v>2173</v>
      </c>
      <c r="J327" s="1">
        <v>306</v>
      </c>
      <c r="K327" s="1">
        <v>166.61</v>
      </c>
      <c r="L327" s="1">
        <v>50982.66</v>
      </c>
      <c r="M327" s="7" t="s">
        <v>2173</v>
      </c>
      <c r="N327" s="1" t="s">
        <v>2222</v>
      </c>
      <c r="O327" s="1">
        <v>9121</v>
      </c>
    </row>
    <row r="328" spans="1:15">
      <c r="A328" s="56">
        <v>46119</v>
      </c>
      <c r="B328" s="56">
        <v>46114</v>
      </c>
      <c r="C328" s="1">
        <v>60011</v>
      </c>
      <c r="D328" s="7" t="s">
        <v>35</v>
      </c>
      <c r="E328" s="1" t="s">
        <v>2809</v>
      </c>
      <c r="F328" s="1" t="s">
        <v>2808</v>
      </c>
      <c r="G328" s="1" t="s">
        <v>38</v>
      </c>
      <c r="H328" s="1" t="s">
        <v>2810</v>
      </c>
      <c r="I328" s="1" t="s">
        <v>2152</v>
      </c>
      <c r="J328" s="1">
        <v>1152</v>
      </c>
      <c r="K328" s="1">
        <v>122.08</v>
      </c>
      <c r="L328" s="1">
        <v>140636.16</v>
      </c>
      <c r="M328" s="7" t="s">
        <v>2152</v>
      </c>
      <c r="N328" s="1" t="s">
        <v>2222</v>
      </c>
      <c r="O328" s="1">
        <v>9121</v>
      </c>
    </row>
    <row r="329" spans="1:15">
      <c r="A329" s="56">
        <v>46119</v>
      </c>
      <c r="B329" s="56">
        <v>46114</v>
      </c>
      <c r="C329" s="1">
        <v>60010</v>
      </c>
      <c r="D329" s="7" t="s">
        <v>35</v>
      </c>
      <c r="E329" s="1" t="s">
        <v>2809</v>
      </c>
      <c r="F329" s="1" t="s">
        <v>2808</v>
      </c>
      <c r="G329" s="1" t="s">
        <v>38</v>
      </c>
      <c r="H329" s="1" t="s">
        <v>2812</v>
      </c>
      <c r="I329" s="1" t="s">
        <v>2811</v>
      </c>
      <c r="J329" s="1">
        <v>300</v>
      </c>
      <c r="K329" s="1">
        <v>1.1299999999999999</v>
      </c>
      <c r="L329" s="1">
        <v>339</v>
      </c>
      <c r="M329" s="7" t="s">
        <v>2811</v>
      </c>
      <c r="N329" s="1" t="s">
        <v>2222</v>
      </c>
      <c r="O329" s="1">
        <v>8033</v>
      </c>
    </row>
    <row r="330" spans="1:15">
      <c r="A330" s="56">
        <v>46119</v>
      </c>
      <c r="B330" s="56">
        <v>46114</v>
      </c>
      <c r="C330" s="1">
        <v>60010</v>
      </c>
      <c r="D330" s="7" t="s">
        <v>35</v>
      </c>
      <c r="E330" s="1" t="s">
        <v>2809</v>
      </c>
      <c r="F330" s="1" t="s">
        <v>2808</v>
      </c>
      <c r="G330" s="1" t="s">
        <v>38</v>
      </c>
      <c r="H330" s="1" t="s">
        <v>2814</v>
      </c>
      <c r="I330" s="1" t="s">
        <v>2813</v>
      </c>
      <c r="J330" s="1">
        <v>300</v>
      </c>
      <c r="K330" s="1">
        <v>7.37</v>
      </c>
      <c r="L330" s="1">
        <v>2211</v>
      </c>
      <c r="M330" s="7" t="s">
        <v>2813</v>
      </c>
      <c r="N330" s="1" t="s">
        <v>2222</v>
      </c>
      <c r="O330" s="1">
        <v>8033</v>
      </c>
    </row>
    <row r="331" spans="1:15">
      <c r="A331" s="56">
        <v>46119</v>
      </c>
      <c r="B331" s="56">
        <v>46114</v>
      </c>
      <c r="C331" s="1">
        <v>60010</v>
      </c>
      <c r="D331" s="7" t="s">
        <v>35</v>
      </c>
      <c r="E331" s="1" t="s">
        <v>2809</v>
      </c>
      <c r="F331" s="1" t="s">
        <v>2808</v>
      </c>
      <c r="G331" s="1" t="s">
        <v>38</v>
      </c>
      <c r="H331" s="1" t="s">
        <v>2816</v>
      </c>
      <c r="I331" s="1" t="s">
        <v>2815</v>
      </c>
      <c r="J331" s="1">
        <v>100</v>
      </c>
      <c r="K331" s="1">
        <v>58.62</v>
      </c>
      <c r="L331" s="1">
        <v>5862</v>
      </c>
      <c r="M331" s="7" t="s">
        <v>2815</v>
      </c>
      <c r="N331" s="1" t="s">
        <v>2222</v>
      </c>
      <c r="O331" s="1">
        <v>8033</v>
      </c>
    </row>
    <row r="332" spans="1:15">
      <c r="A332" s="56">
        <v>46119</v>
      </c>
      <c r="B332" s="56">
        <v>46114</v>
      </c>
      <c r="C332" s="1">
        <v>60010</v>
      </c>
      <c r="D332" s="7" t="s">
        <v>35</v>
      </c>
      <c r="E332" s="1" t="s">
        <v>2809</v>
      </c>
      <c r="F332" s="1" t="s">
        <v>2808</v>
      </c>
      <c r="G332" s="1" t="s">
        <v>38</v>
      </c>
      <c r="H332" s="1" t="s">
        <v>2818</v>
      </c>
      <c r="I332" s="1" t="s">
        <v>2817</v>
      </c>
      <c r="J332" s="1">
        <v>50</v>
      </c>
      <c r="K332" s="1">
        <v>0.68</v>
      </c>
      <c r="L332" s="1">
        <v>34</v>
      </c>
      <c r="M332" s="7" t="s">
        <v>2817</v>
      </c>
      <c r="N332" s="1" t="s">
        <v>2222</v>
      </c>
      <c r="O332" s="1">
        <v>8033</v>
      </c>
    </row>
    <row r="333" spans="1:15">
      <c r="A333" s="56">
        <v>46119</v>
      </c>
      <c r="B333" s="56">
        <v>46113</v>
      </c>
      <c r="C333" s="1">
        <v>60010</v>
      </c>
      <c r="D333" s="7" t="s">
        <v>35</v>
      </c>
      <c r="E333" s="1" t="s">
        <v>2822</v>
      </c>
      <c r="F333" s="1" t="s">
        <v>2821</v>
      </c>
      <c r="G333" s="1" t="s">
        <v>38</v>
      </c>
      <c r="H333" s="1" t="s">
        <v>2824</v>
      </c>
      <c r="I333" s="1" t="s">
        <v>2823</v>
      </c>
      <c r="J333" s="1">
        <v>100</v>
      </c>
      <c r="K333" s="1">
        <v>10.39</v>
      </c>
      <c r="L333" s="1">
        <v>1039</v>
      </c>
      <c r="M333" s="7" t="s">
        <v>2823</v>
      </c>
      <c r="N333" s="1" t="s">
        <v>2222</v>
      </c>
      <c r="O333" s="1">
        <v>8033</v>
      </c>
    </row>
    <row r="334" spans="1:15">
      <c r="A334" s="56">
        <v>46120</v>
      </c>
      <c r="B334" s="56">
        <v>46120</v>
      </c>
      <c r="C334" s="1">
        <v>60010</v>
      </c>
      <c r="D334" s="7" t="s">
        <v>36</v>
      </c>
      <c r="E334" s="1" t="s">
        <v>2826</v>
      </c>
      <c r="F334" s="1" t="s">
        <v>2825</v>
      </c>
      <c r="G334" s="1" t="s">
        <v>39</v>
      </c>
      <c r="H334" s="1" t="s">
        <v>2827</v>
      </c>
      <c r="I334" s="1" t="s">
        <v>1151</v>
      </c>
      <c r="J334" s="1">
        <v>20</v>
      </c>
      <c r="K334" s="1">
        <v>20</v>
      </c>
      <c r="L334" s="1">
        <v>400</v>
      </c>
      <c r="M334" s="7" t="s">
        <v>1151</v>
      </c>
      <c r="N334" s="1" t="s">
        <v>2225</v>
      </c>
      <c r="O334" s="1">
        <v>8033</v>
      </c>
    </row>
    <row r="335" spans="1:15">
      <c r="A335" s="56">
        <v>46120</v>
      </c>
      <c r="B335" s="56">
        <v>46120</v>
      </c>
      <c r="C335" s="1">
        <v>60010</v>
      </c>
      <c r="D335" s="7" t="s">
        <v>36</v>
      </c>
      <c r="E335" s="1" t="s">
        <v>2826</v>
      </c>
      <c r="F335" s="1" t="s">
        <v>2825</v>
      </c>
      <c r="G335" s="1" t="s">
        <v>39</v>
      </c>
      <c r="H335" s="1" t="s">
        <v>2829</v>
      </c>
      <c r="I335" s="1" t="s">
        <v>2828</v>
      </c>
      <c r="J335" s="1">
        <v>12</v>
      </c>
      <c r="K335" s="1">
        <v>5</v>
      </c>
      <c r="L335" s="1">
        <v>60</v>
      </c>
      <c r="M335" s="7" t="s">
        <v>2828</v>
      </c>
      <c r="N335" s="1" t="s">
        <v>2222</v>
      </c>
      <c r="O335" s="1">
        <v>8033</v>
      </c>
    </row>
    <row r="336" spans="1:15">
      <c r="A336" s="56">
        <v>46121</v>
      </c>
      <c r="B336" s="56">
        <v>46115</v>
      </c>
      <c r="C336" s="1">
        <v>60011</v>
      </c>
      <c r="D336" s="7" t="s">
        <v>33</v>
      </c>
      <c r="E336" s="1" t="s">
        <v>2831</v>
      </c>
      <c r="F336" s="1" t="s">
        <v>2830</v>
      </c>
      <c r="G336" s="1" t="s">
        <v>38</v>
      </c>
      <c r="H336" s="1" t="s">
        <v>2493</v>
      </c>
      <c r="I336" s="1">
        <v>108222129</v>
      </c>
      <c r="J336" s="1">
        <v>902</v>
      </c>
      <c r="K336" s="1">
        <v>197.34</v>
      </c>
      <c r="L336" s="1">
        <v>178000.68</v>
      </c>
      <c r="M336" s="7" t="s">
        <v>874</v>
      </c>
      <c r="N336" s="1" t="s">
        <v>2222</v>
      </c>
      <c r="O336" s="1">
        <v>9121</v>
      </c>
    </row>
    <row r="337" spans="1:15">
      <c r="A337" s="56">
        <v>46121</v>
      </c>
      <c r="B337" s="56">
        <v>46115</v>
      </c>
      <c r="C337" s="1">
        <v>60011</v>
      </c>
      <c r="D337" s="7" t="s">
        <v>33</v>
      </c>
      <c r="E337" s="1" t="s">
        <v>2831</v>
      </c>
      <c r="F337" s="1" t="s">
        <v>2830</v>
      </c>
      <c r="G337" s="1" t="s">
        <v>38</v>
      </c>
      <c r="H337" s="1" t="s">
        <v>2494</v>
      </c>
      <c r="I337" s="1">
        <v>108230131</v>
      </c>
      <c r="J337" s="1">
        <v>748</v>
      </c>
      <c r="K337" s="1">
        <v>202.33</v>
      </c>
      <c r="L337" s="1">
        <v>151342.84</v>
      </c>
      <c r="M337" s="7" t="s">
        <v>875</v>
      </c>
      <c r="N337" s="1" t="s">
        <v>2222</v>
      </c>
      <c r="O337" s="1">
        <v>9121</v>
      </c>
    </row>
    <row r="338" spans="1:15">
      <c r="A338" s="56">
        <v>46121</v>
      </c>
      <c r="B338" s="56">
        <v>46115</v>
      </c>
      <c r="C338" s="1">
        <v>60011</v>
      </c>
      <c r="D338" s="7" t="s">
        <v>33</v>
      </c>
      <c r="E338" s="1" t="s">
        <v>2831</v>
      </c>
      <c r="F338" s="1" t="s">
        <v>2830</v>
      </c>
      <c r="G338" s="1" t="s">
        <v>38</v>
      </c>
      <c r="H338" s="1" t="s">
        <v>2746</v>
      </c>
      <c r="I338" s="1" t="s">
        <v>895</v>
      </c>
      <c r="J338" s="1">
        <v>500</v>
      </c>
      <c r="K338" s="1">
        <v>389.98</v>
      </c>
      <c r="L338" s="1">
        <v>194990</v>
      </c>
      <c r="M338" s="7" t="s">
        <v>895</v>
      </c>
      <c r="N338" s="1" t="s">
        <v>2222</v>
      </c>
      <c r="O338" s="1">
        <v>9121</v>
      </c>
    </row>
    <row r="339" spans="1:15">
      <c r="A339" s="56">
        <v>46121</v>
      </c>
      <c r="B339" s="56">
        <v>46115</v>
      </c>
      <c r="C339" s="1">
        <v>60011</v>
      </c>
      <c r="D339" s="7" t="s">
        <v>33</v>
      </c>
      <c r="E339" s="1" t="s">
        <v>2831</v>
      </c>
      <c r="F339" s="1" t="s">
        <v>2830</v>
      </c>
      <c r="G339" s="1" t="s">
        <v>38</v>
      </c>
      <c r="H339" s="1" t="s">
        <v>2747</v>
      </c>
      <c r="I339" s="1" t="s">
        <v>893</v>
      </c>
      <c r="J339" s="1">
        <v>500</v>
      </c>
      <c r="K339" s="1">
        <v>340.59</v>
      </c>
      <c r="L339" s="1">
        <v>170295</v>
      </c>
      <c r="M339" s="7" t="s">
        <v>893</v>
      </c>
      <c r="N339" s="1" t="s">
        <v>2222</v>
      </c>
      <c r="O339" s="1">
        <v>9121</v>
      </c>
    </row>
    <row r="340" spans="1:15">
      <c r="A340" s="56">
        <v>46121</v>
      </c>
      <c r="B340" s="56">
        <v>46119</v>
      </c>
      <c r="C340" s="1">
        <v>60011</v>
      </c>
      <c r="D340" s="7" t="s">
        <v>35</v>
      </c>
      <c r="E340" s="1" t="s">
        <v>2835</v>
      </c>
      <c r="F340" s="1" t="s">
        <v>2834</v>
      </c>
      <c r="G340" s="1" t="s">
        <v>38</v>
      </c>
      <c r="H340" s="1" t="s">
        <v>2603</v>
      </c>
      <c r="I340" s="1" t="s">
        <v>2173</v>
      </c>
      <c r="J340" s="1">
        <v>600</v>
      </c>
      <c r="K340" s="1">
        <v>166.61</v>
      </c>
      <c r="L340" s="1">
        <v>99966</v>
      </c>
      <c r="M340" s="7" t="s">
        <v>2173</v>
      </c>
      <c r="N340" s="1" t="s">
        <v>2222</v>
      </c>
      <c r="O340" s="1">
        <v>9121</v>
      </c>
    </row>
    <row r="341" spans="1:15">
      <c r="A341" s="56">
        <v>46121</v>
      </c>
      <c r="B341" s="56">
        <v>46119</v>
      </c>
      <c r="C341" s="1">
        <v>60011</v>
      </c>
      <c r="D341" s="7" t="s">
        <v>35</v>
      </c>
      <c r="E341" s="1" t="s">
        <v>2835</v>
      </c>
      <c r="F341" s="1" t="s">
        <v>2834</v>
      </c>
      <c r="G341" s="1" t="s">
        <v>38</v>
      </c>
      <c r="H341" s="1" t="s">
        <v>2839</v>
      </c>
      <c r="I341" s="1" t="s">
        <v>2165</v>
      </c>
      <c r="J341" s="1">
        <v>750</v>
      </c>
      <c r="K341" s="1">
        <v>152.37</v>
      </c>
      <c r="L341" s="1">
        <v>114277.5</v>
      </c>
      <c r="M341" s="7" t="s">
        <v>2165</v>
      </c>
      <c r="N341" s="1" t="s">
        <v>2222</v>
      </c>
      <c r="O341" s="1">
        <v>9121</v>
      </c>
    </row>
    <row r="342" spans="1:15">
      <c r="A342" s="56">
        <v>46121</v>
      </c>
      <c r="B342" s="56">
        <v>46119</v>
      </c>
      <c r="C342" s="1">
        <v>60011</v>
      </c>
      <c r="D342" s="7" t="s">
        <v>35</v>
      </c>
      <c r="E342" s="1" t="s">
        <v>2835</v>
      </c>
      <c r="F342" s="1" t="s">
        <v>2834</v>
      </c>
      <c r="G342" s="1" t="s">
        <v>38</v>
      </c>
      <c r="H342" s="1" t="s">
        <v>2840</v>
      </c>
      <c r="I342" s="1" t="s">
        <v>2158</v>
      </c>
      <c r="J342" s="1">
        <v>960</v>
      </c>
      <c r="K342" s="1">
        <v>129.91999999999999</v>
      </c>
      <c r="L342" s="1">
        <v>124723.2</v>
      </c>
      <c r="M342" s="7" t="s">
        <v>2158</v>
      </c>
      <c r="N342" s="1" t="s">
        <v>2222</v>
      </c>
      <c r="O342" s="1">
        <v>9121</v>
      </c>
    </row>
    <row r="343" spans="1:15">
      <c r="A343" s="56">
        <v>46121</v>
      </c>
      <c r="B343" s="56">
        <v>46119</v>
      </c>
      <c r="C343" s="1">
        <v>60011</v>
      </c>
      <c r="D343" s="7" t="s">
        <v>35</v>
      </c>
      <c r="E343" s="1" t="s">
        <v>2835</v>
      </c>
      <c r="F343" s="1" t="s">
        <v>2834</v>
      </c>
      <c r="G343" s="1" t="s">
        <v>38</v>
      </c>
      <c r="H343" s="1" t="s">
        <v>2432</v>
      </c>
      <c r="I343" s="1" t="s">
        <v>2157</v>
      </c>
      <c r="J343" s="1">
        <v>210</v>
      </c>
      <c r="K343" s="1">
        <v>129.66999999999999</v>
      </c>
      <c r="L343" s="1">
        <v>27230.7</v>
      </c>
      <c r="M343" s="7" t="s">
        <v>2157</v>
      </c>
      <c r="N343" s="1" t="s">
        <v>2222</v>
      </c>
      <c r="O343" s="1">
        <v>9121</v>
      </c>
    </row>
  </sheetData>
  <autoFilter ref="A5:P339" xr:uid="{00000000-0001-0000-0200-000000000000}"/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F3D06-A59D-4677-9647-10805E25DF67}">
  <sheetPr codeName="Sheet6">
    <tabColor rgb="FFFFC000"/>
  </sheetPr>
  <dimension ref="A1:J7"/>
  <sheetViews>
    <sheetView workbookViewId="0">
      <pane ySplit="3" topLeftCell="A4" activePane="bottomLeft" state="frozen"/>
      <selection pane="bottomLeft" activeCell="L13" sqref="L13"/>
    </sheetView>
  </sheetViews>
  <sheetFormatPr defaultColWidth="9" defaultRowHeight="16.5"/>
  <cols>
    <col min="1" max="1" width="12.625" style="121" customWidth="1"/>
    <col min="2" max="2" width="10.625" style="121" customWidth="1"/>
    <col min="3" max="3" width="16.625" style="121" customWidth="1"/>
    <col min="4" max="4" width="10.625" style="121" customWidth="1"/>
    <col min="5" max="5" width="12.625" style="121" customWidth="1"/>
    <col min="6" max="6" width="10.625" style="121" customWidth="1"/>
    <col min="7" max="7" width="22.625" style="121" customWidth="1"/>
    <col min="8" max="8" width="14.625" style="121" customWidth="1"/>
    <col min="9" max="9" width="16.625" style="121" customWidth="1"/>
    <col min="10" max="10" width="10.625" style="121" customWidth="1"/>
    <col min="11" max="16384" width="9" style="121"/>
  </cols>
  <sheetData>
    <row r="1" spans="1:10" ht="33.75" customHeight="1">
      <c r="A1" s="172" t="s">
        <v>2433</v>
      </c>
      <c r="B1" s="172"/>
      <c r="C1" s="172"/>
      <c r="D1" s="172"/>
      <c r="E1" s="172"/>
      <c r="F1" s="172"/>
      <c r="G1" s="172"/>
      <c r="H1" s="172"/>
      <c r="I1" s="172"/>
      <c r="J1" s="172"/>
    </row>
    <row r="2" spans="1:10" ht="18" customHeight="1">
      <c r="A2" s="122" t="s">
        <v>2841</v>
      </c>
    </row>
    <row r="3" spans="1:10" ht="20.100000000000001" customHeight="1">
      <c r="A3" s="124" t="s">
        <v>2421</v>
      </c>
      <c r="B3" s="124" t="s">
        <v>2422</v>
      </c>
      <c r="C3" s="124" t="s">
        <v>2419</v>
      </c>
      <c r="D3" s="124" t="s">
        <v>2423</v>
      </c>
      <c r="E3" s="124" t="s">
        <v>2424</v>
      </c>
      <c r="F3" s="124" t="s">
        <v>2425</v>
      </c>
      <c r="G3" s="124" t="s">
        <v>2426</v>
      </c>
      <c r="H3" s="124" t="s">
        <v>2427</v>
      </c>
      <c r="I3" s="124" t="s">
        <v>2428</v>
      </c>
      <c r="J3" s="124" t="s">
        <v>2429</v>
      </c>
    </row>
    <row r="4" spans="1:10">
      <c r="A4" s="125" t="s">
        <v>2834</v>
      </c>
      <c r="B4" s="125" t="s">
        <v>2668</v>
      </c>
      <c r="C4" s="125" t="s">
        <v>2838</v>
      </c>
      <c r="D4" s="125" t="s">
        <v>2606</v>
      </c>
      <c r="E4" s="126">
        <v>46134</v>
      </c>
      <c r="F4" s="125" t="s">
        <v>30</v>
      </c>
      <c r="G4" s="125" t="s">
        <v>2372</v>
      </c>
      <c r="H4" s="125"/>
      <c r="I4" s="125" t="s">
        <v>2322</v>
      </c>
      <c r="J4" s="125" t="s">
        <v>2430</v>
      </c>
    </row>
    <row r="6" spans="1:10">
      <c r="A6" s="123" t="s">
        <v>2431</v>
      </c>
    </row>
    <row r="7" spans="1:10">
      <c r="A7" s="122" t="s">
        <v>2434</v>
      </c>
    </row>
  </sheetData>
  <mergeCells count="1">
    <mergeCell ref="A1:J1"/>
  </mergeCells>
  <phoneticPr fontId="2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6" r:id="rId4" name="btnLoadPastData">
              <controlPr defaultSize="0" print="0" autoFill="0" autoPict="0" macro="[0]!LoadPastDataForKintone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561975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6FCE-C1D3-4CBB-801E-372A697B470F}">
  <sheetPr codeName="Sheet10">
    <tabColor theme="0" tint="-0.249977111117893"/>
  </sheetPr>
  <dimension ref="A1:E127"/>
  <sheetViews>
    <sheetView workbookViewId="0">
      <pane ySplit="1" topLeftCell="A125" activePane="bottomLeft" state="frozen"/>
      <selection pane="bottomLeft" activeCell="D71" sqref="D71"/>
    </sheetView>
  </sheetViews>
  <sheetFormatPr defaultColWidth="9" defaultRowHeight="16.5"/>
  <cols>
    <col min="1" max="1" width="32" style="145" customWidth="1"/>
    <col min="2" max="2" width="98.5" style="145" bestFit="1" customWidth="1"/>
    <col min="3" max="3" width="35" style="145" customWidth="1"/>
    <col min="4" max="4" width="15" style="145" customWidth="1"/>
    <col min="5" max="5" width="25.5" style="145" bestFit="1" customWidth="1"/>
    <col min="6" max="6" width="9" style="145" customWidth="1"/>
    <col min="7" max="16384" width="9" style="145"/>
  </cols>
  <sheetData>
    <row r="1" spans="1:5" ht="20.25" customHeight="1">
      <c r="A1" s="177" t="s">
        <v>2278</v>
      </c>
      <c r="B1" s="174"/>
      <c r="C1" s="174"/>
      <c r="D1" s="174"/>
      <c r="E1" s="174"/>
    </row>
    <row r="3" spans="1:5">
      <c r="A3" s="178" t="s">
        <v>9</v>
      </c>
      <c r="B3" s="174"/>
      <c r="C3" s="174"/>
    </row>
    <row r="5" spans="1:5">
      <c r="A5" s="146" t="s">
        <v>2279</v>
      </c>
      <c r="B5" s="146" t="s">
        <v>2280</v>
      </c>
      <c r="C5" s="146" t="s">
        <v>2281</v>
      </c>
    </row>
    <row r="6" spans="1:5">
      <c r="A6" s="147" t="s">
        <v>2282</v>
      </c>
      <c r="B6" s="148" t="s">
        <v>2283</v>
      </c>
      <c r="C6" s="147" t="s">
        <v>2284</v>
      </c>
    </row>
    <row r="7" spans="1:5">
      <c r="A7" s="147" t="s">
        <v>2285</v>
      </c>
      <c r="B7" s="148" t="s">
        <v>2286</v>
      </c>
      <c r="C7" s="147" t="s">
        <v>2287</v>
      </c>
    </row>
    <row r="8" spans="1:5">
      <c r="A8" s="147" t="s">
        <v>2288</v>
      </c>
      <c r="B8" s="148" t="s">
        <v>2289</v>
      </c>
      <c r="C8" s="147" t="s">
        <v>2290</v>
      </c>
    </row>
    <row r="9" spans="1:5">
      <c r="A9" s="147" t="s">
        <v>2291</v>
      </c>
      <c r="B9" s="148" t="s">
        <v>2292</v>
      </c>
      <c r="C9" s="147" t="s">
        <v>2293</v>
      </c>
    </row>
    <row r="10" spans="1:5">
      <c r="A10" s="147" t="s">
        <v>2294</v>
      </c>
      <c r="B10" s="148" t="s">
        <v>2295</v>
      </c>
      <c r="C10" s="147" t="s">
        <v>2296</v>
      </c>
    </row>
    <row r="11" spans="1:5">
      <c r="A11" s="147" t="s">
        <v>2297</v>
      </c>
      <c r="B11" s="148" t="s">
        <v>2298</v>
      </c>
      <c r="C11" s="147" t="s">
        <v>2299</v>
      </c>
    </row>
    <row r="12" spans="1:5">
      <c r="A12" s="147" t="s">
        <v>2496</v>
      </c>
      <c r="B12" s="148" t="s">
        <v>2532</v>
      </c>
      <c r="C12" s="147" t="s">
        <v>2300</v>
      </c>
    </row>
    <row r="13" spans="1:5">
      <c r="A13" s="147" t="s">
        <v>10</v>
      </c>
      <c r="B13" s="162" t="s">
        <v>2536</v>
      </c>
      <c r="C13" s="147" t="s">
        <v>2301</v>
      </c>
    </row>
    <row r="14" spans="1:5">
      <c r="A14" s="147" t="s">
        <v>2144</v>
      </c>
      <c r="B14" s="148" t="s">
        <v>2302</v>
      </c>
      <c r="C14" s="147" t="s">
        <v>2303</v>
      </c>
    </row>
    <row r="17" spans="1:5">
      <c r="A17" s="178" t="s">
        <v>11</v>
      </c>
      <c r="B17" s="174"/>
      <c r="C17" s="174"/>
    </row>
    <row r="18" spans="1:5">
      <c r="A18" s="146" t="s">
        <v>12</v>
      </c>
      <c r="B18" s="146" t="s">
        <v>13</v>
      </c>
      <c r="C18" s="146" t="s">
        <v>2304</v>
      </c>
    </row>
    <row r="19" spans="1:5">
      <c r="A19" s="148" t="s">
        <v>2497</v>
      </c>
      <c r="B19" s="148" t="s">
        <v>14</v>
      </c>
      <c r="C19" s="148" t="s">
        <v>2305</v>
      </c>
    </row>
    <row r="20" spans="1:5">
      <c r="A20" s="148" t="s">
        <v>2453</v>
      </c>
      <c r="B20" s="148" t="s">
        <v>15</v>
      </c>
      <c r="C20" s="148" t="s">
        <v>2306</v>
      </c>
    </row>
    <row r="24" spans="1:5">
      <c r="A24" s="178" t="s">
        <v>16</v>
      </c>
      <c r="B24" s="174"/>
      <c r="C24" s="174"/>
      <c r="D24" s="174"/>
      <c r="E24" s="174"/>
    </row>
    <row r="25" spans="1:5">
      <c r="A25" s="146" t="s">
        <v>17</v>
      </c>
      <c r="B25" s="146" t="s">
        <v>18</v>
      </c>
      <c r="C25" s="146" t="s">
        <v>19</v>
      </c>
      <c r="D25" s="146" t="s">
        <v>2307</v>
      </c>
      <c r="E25" s="146" t="s">
        <v>2281</v>
      </c>
    </row>
    <row r="26" spans="1:5">
      <c r="A26" s="148" t="s">
        <v>2227</v>
      </c>
      <c r="B26" s="148" t="s">
        <v>20</v>
      </c>
      <c r="C26" s="148"/>
      <c r="D26" s="148" t="s">
        <v>2308</v>
      </c>
      <c r="E26" s="148" t="s">
        <v>2309</v>
      </c>
    </row>
    <row r="27" spans="1:5">
      <c r="A27" s="148" t="s">
        <v>2277</v>
      </c>
      <c r="B27" s="148" t="s">
        <v>21</v>
      </c>
      <c r="C27" s="148"/>
      <c r="D27" s="148" t="s">
        <v>2310</v>
      </c>
      <c r="E27" s="148" t="s">
        <v>2311</v>
      </c>
    </row>
    <row r="28" spans="1:5">
      <c r="A28" s="148" t="s">
        <v>22</v>
      </c>
      <c r="B28" s="148" t="s">
        <v>23</v>
      </c>
      <c r="C28" s="148"/>
      <c r="D28" s="148"/>
      <c r="E28" s="148" t="s">
        <v>2312</v>
      </c>
    </row>
    <row r="32" spans="1:5">
      <c r="A32" s="178" t="s">
        <v>2313</v>
      </c>
      <c r="B32" s="174"/>
      <c r="C32" s="174"/>
      <c r="D32" s="174"/>
    </row>
    <row r="33" spans="1:5">
      <c r="A33" s="146" t="s">
        <v>1</v>
      </c>
      <c r="B33" s="146" t="s">
        <v>24</v>
      </c>
      <c r="C33" s="146" t="s">
        <v>25</v>
      </c>
      <c r="D33" s="146" t="s">
        <v>2314</v>
      </c>
    </row>
    <row r="34" spans="1:5">
      <c r="A34" s="148" t="s">
        <v>2315</v>
      </c>
      <c r="B34" s="148" t="s">
        <v>26</v>
      </c>
      <c r="C34" s="148" t="s">
        <v>27</v>
      </c>
      <c r="D34" s="148" t="s">
        <v>2316</v>
      </c>
    </row>
    <row r="35" spans="1:5">
      <c r="A35" s="148" t="s">
        <v>2317</v>
      </c>
      <c r="B35" s="148" t="s">
        <v>28</v>
      </c>
      <c r="C35" s="148" t="s">
        <v>2318</v>
      </c>
      <c r="D35" s="148" t="s">
        <v>2319</v>
      </c>
    </row>
    <row r="36" spans="1:5">
      <c r="A36" s="148" t="s">
        <v>2320</v>
      </c>
      <c r="B36" s="148" t="s">
        <v>29</v>
      </c>
      <c r="C36" s="148" t="s">
        <v>27</v>
      </c>
      <c r="D36" s="148" t="s">
        <v>2321</v>
      </c>
    </row>
    <row r="37" spans="1:5">
      <c r="A37" s="148" t="s">
        <v>2322</v>
      </c>
      <c r="B37" s="148" t="s">
        <v>30</v>
      </c>
      <c r="C37" s="148" t="s">
        <v>27</v>
      </c>
      <c r="D37" s="148" t="s">
        <v>2323</v>
      </c>
    </row>
    <row r="38" spans="1:5">
      <c r="A38" s="148" t="s">
        <v>2324</v>
      </c>
      <c r="B38" s="148"/>
      <c r="C38" s="148"/>
      <c r="D38" s="148" t="s">
        <v>2325</v>
      </c>
    </row>
    <row r="42" spans="1:5">
      <c r="A42" s="176" t="s">
        <v>2326</v>
      </c>
      <c r="B42" s="174"/>
      <c r="C42" s="174"/>
      <c r="D42" s="174"/>
      <c r="E42" s="174"/>
    </row>
    <row r="43" spans="1:5">
      <c r="A43" s="146" t="s">
        <v>2279</v>
      </c>
      <c r="B43" s="146" t="s">
        <v>2280</v>
      </c>
      <c r="C43" s="146" t="s">
        <v>2281</v>
      </c>
    </row>
    <row r="44" spans="1:5">
      <c r="A44" s="147" t="s">
        <v>2327</v>
      </c>
      <c r="B44" s="148" t="s">
        <v>2328</v>
      </c>
      <c r="C44" s="147" t="s">
        <v>2329</v>
      </c>
    </row>
    <row r="45" spans="1:5">
      <c r="A45" s="147" t="s">
        <v>2330</v>
      </c>
      <c r="B45" s="148" t="s">
        <v>2283</v>
      </c>
      <c r="C45" s="147" t="s">
        <v>2331</v>
      </c>
    </row>
    <row r="46" spans="1:5">
      <c r="A46" s="147" t="s">
        <v>2332</v>
      </c>
      <c r="B46" s="148"/>
      <c r="C46" s="147" t="s">
        <v>2333</v>
      </c>
    </row>
    <row r="47" spans="1:5">
      <c r="A47" s="147"/>
      <c r="B47" s="147"/>
      <c r="C47" s="147"/>
    </row>
    <row r="48" spans="1:5">
      <c r="A48" s="147" t="s">
        <v>2334</v>
      </c>
      <c r="B48" s="147"/>
      <c r="C48" s="147"/>
    </row>
    <row r="49" spans="1:3">
      <c r="A49" s="147" t="s">
        <v>2335</v>
      </c>
      <c r="B49" s="148" t="s">
        <v>2336</v>
      </c>
      <c r="C49" s="147" t="s">
        <v>2337</v>
      </c>
    </row>
    <row r="50" spans="1:3">
      <c r="A50" s="147" t="s">
        <v>2338</v>
      </c>
      <c r="B50" s="148" t="s">
        <v>2415</v>
      </c>
      <c r="C50" s="147" t="s">
        <v>2339</v>
      </c>
    </row>
    <row r="51" spans="1:3">
      <c r="A51" s="147" t="s">
        <v>2340</v>
      </c>
      <c r="B51" s="148" t="s">
        <v>2341</v>
      </c>
      <c r="C51" s="147" t="s">
        <v>2342</v>
      </c>
    </row>
    <row r="52" spans="1:3">
      <c r="A52" s="147" t="s">
        <v>2343</v>
      </c>
      <c r="B52" s="148" t="s">
        <v>2344</v>
      </c>
      <c r="C52" s="147" t="s">
        <v>2345</v>
      </c>
    </row>
    <row r="53" spans="1:3">
      <c r="A53" s="147"/>
      <c r="B53" s="147"/>
      <c r="C53" s="147"/>
    </row>
    <row r="54" spans="1:3">
      <c r="A54" s="147" t="s">
        <v>2346</v>
      </c>
      <c r="B54" s="147"/>
      <c r="C54" s="147"/>
    </row>
    <row r="55" spans="1:3">
      <c r="A55" s="147" t="s">
        <v>2347</v>
      </c>
      <c r="B55" s="148" t="s">
        <v>2336</v>
      </c>
      <c r="C55" s="147" t="s">
        <v>2348</v>
      </c>
    </row>
    <row r="56" spans="1:3">
      <c r="A56" s="147" t="s">
        <v>2349</v>
      </c>
      <c r="B56" s="148" t="s">
        <v>2415</v>
      </c>
      <c r="C56" s="147" t="s">
        <v>2339</v>
      </c>
    </row>
    <row r="57" spans="1:3">
      <c r="A57" s="147" t="s">
        <v>2350</v>
      </c>
      <c r="B57" s="148" t="s">
        <v>2341</v>
      </c>
      <c r="C57" s="147" t="s">
        <v>2342</v>
      </c>
    </row>
    <row r="58" spans="1:3">
      <c r="A58" s="147" t="s">
        <v>2351</v>
      </c>
      <c r="B58" s="148" t="s">
        <v>2344</v>
      </c>
      <c r="C58" s="147" t="s">
        <v>2345</v>
      </c>
    </row>
    <row r="59" spans="1:3">
      <c r="A59" s="147"/>
      <c r="B59" s="147"/>
      <c r="C59" s="147"/>
    </row>
    <row r="60" spans="1:3">
      <c r="A60" s="147" t="s">
        <v>2531</v>
      </c>
      <c r="B60" s="147"/>
      <c r="C60" s="147"/>
    </row>
    <row r="61" spans="1:3">
      <c r="A61" s="147" t="s">
        <v>2352</v>
      </c>
      <c r="B61" s="148" t="s">
        <v>2412</v>
      </c>
      <c r="C61" s="147" t="s">
        <v>2353</v>
      </c>
    </row>
    <row r="62" spans="1:3">
      <c r="A62" s="147" t="s">
        <v>2354</v>
      </c>
      <c r="B62" s="148" t="s">
        <v>2413</v>
      </c>
      <c r="C62" s="147" t="s">
        <v>2355</v>
      </c>
    </row>
    <row r="63" spans="1:3">
      <c r="A63" s="147" t="s">
        <v>2356</v>
      </c>
      <c r="B63" s="148" t="s">
        <v>2498</v>
      </c>
      <c r="C63" s="147" t="s">
        <v>2357</v>
      </c>
    </row>
    <row r="64" spans="1:3">
      <c r="A64" s="147" t="s">
        <v>2358</v>
      </c>
      <c r="B64" s="148" t="s">
        <v>2499</v>
      </c>
      <c r="C64" s="147"/>
    </row>
    <row r="65" spans="1:3">
      <c r="A65" s="147" t="s">
        <v>2359</v>
      </c>
      <c r="B65" s="148" t="s">
        <v>29</v>
      </c>
      <c r="C65" s="147" t="s">
        <v>2360</v>
      </c>
    </row>
    <row r="66" spans="1:3">
      <c r="A66" s="147" t="s">
        <v>2361</v>
      </c>
      <c r="B66" s="148" t="s">
        <v>2362</v>
      </c>
      <c r="C66" s="147" t="s">
        <v>2363</v>
      </c>
    </row>
    <row r="67" spans="1:3">
      <c r="A67" s="147"/>
      <c r="B67" s="147"/>
      <c r="C67" s="147"/>
    </row>
    <row r="68" spans="1:3">
      <c r="A68" s="147" t="s">
        <v>2364</v>
      </c>
      <c r="B68" s="147"/>
      <c r="C68" s="147"/>
    </row>
    <row r="69" spans="1:3">
      <c r="A69" s="147" t="s">
        <v>2365</v>
      </c>
      <c r="B69" s="148" t="s">
        <v>2414</v>
      </c>
      <c r="C69" s="147" t="s">
        <v>2366</v>
      </c>
    </row>
    <row r="70" spans="1:3">
      <c r="A70" s="147" t="s">
        <v>2367</v>
      </c>
      <c r="B70" s="148" t="s">
        <v>2500</v>
      </c>
      <c r="C70" s="147" t="s">
        <v>2368</v>
      </c>
    </row>
    <row r="71" spans="1:3">
      <c r="A71" s="147" t="s">
        <v>2369</v>
      </c>
      <c r="B71" s="148" t="s">
        <v>30</v>
      </c>
      <c r="C71" s="147" t="s">
        <v>2370</v>
      </c>
    </row>
    <row r="72" spans="1:3">
      <c r="A72" s="147" t="s">
        <v>2371</v>
      </c>
      <c r="B72" s="148" t="s">
        <v>2372</v>
      </c>
      <c r="C72" s="147" t="s">
        <v>2373</v>
      </c>
    </row>
    <row r="73" spans="1:3">
      <c r="A73" s="147" t="s">
        <v>2501</v>
      </c>
      <c r="B73" s="149"/>
      <c r="C73" s="149"/>
    </row>
    <row r="74" spans="1:3">
      <c r="A74" s="150" t="s">
        <v>2455</v>
      </c>
      <c r="B74" s="159" t="s">
        <v>2456</v>
      </c>
      <c r="C74" s="151" t="s">
        <v>2457</v>
      </c>
    </row>
    <row r="75" spans="1:3">
      <c r="A75" s="150" t="s">
        <v>2458</v>
      </c>
      <c r="B75" s="159" t="s">
        <v>2459</v>
      </c>
      <c r="C75" s="151" t="s">
        <v>2460</v>
      </c>
    </row>
    <row r="76" spans="1:3">
      <c r="A76" s="150" t="s">
        <v>2461</v>
      </c>
      <c r="B76" s="151" t="s">
        <v>2462</v>
      </c>
      <c r="C76" s="151" t="s">
        <v>2463</v>
      </c>
    </row>
    <row r="77" spans="1:3">
      <c r="A77" s="150" t="s">
        <v>2464</v>
      </c>
      <c r="B77" s="151" t="s">
        <v>2465</v>
      </c>
      <c r="C77" s="151" t="s">
        <v>2466</v>
      </c>
    </row>
    <row r="78" spans="1:3">
      <c r="A78" s="150" t="s">
        <v>2467</v>
      </c>
      <c r="B78" s="151"/>
      <c r="C78" s="151" t="s">
        <v>2468</v>
      </c>
    </row>
    <row r="79" spans="1:3" ht="18">
      <c r="A79" s="173" t="s">
        <v>2502</v>
      </c>
      <c r="B79" s="174"/>
      <c r="C79" s="174"/>
    </row>
    <row r="80" spans="1:3" ht="17.25">
      <c r="A80" s="160" t="s">
        <v>2503</v>
      </c>
      <c r="B80" s="163" t="s">
        <v>2538</v>
      </c>
      <c r="C80" s="160" t="s">
        <v>2504</v>
      </c>
    </row>
    <row r="81" spans="1:3" ht="17.25">
      <c r="A81" s="160" t="s">
        <v>2505</v>
      </c>
      <c r="B81" s="160" t="s">
        <v>2506</v>
      </c>
      <c r="C81" s="160" t="s">
        <v>2507</v>
      </c>
    </row>
    <row r="82" spans="1:3" ht="17.25">
      <c r="A82" s="160" t="s">
        <v>2508</v>
      </c>
      <c r="B82" s="160" t="s">
        <v>2537</v>
      </c>
      <c r="C82" s="160" t="s">
        <v>2509</v>
      </c>
    </row>
    <row r="83" spans="1:3" ht="17.25">
      <c r="A83" s="160" t="s">
        <v>2510</v>
      </c>
      <c r="B83" s="160" t="s">
        <v>2511</v>
      </c>
      <c r="C83" s="160" t="s">
        <v>2512</v>
      </c>
    </row>
    <row r="84" spans="1:3" ht="17.25">
      <c r="A84" s="160" t="s">
        <v>2513</v>
      </c>
      <c r="B84" s="160" t="s">
        <v>2514</v>
      </c>
      <c r="C84" s="160" t="s">
        <v>2515</v>
      </c>
    </row>
    <row r="85" spans="1:3" ht="17.25">
      <c r="A85" s="160" t="s">
        <v>2516</v>
      </c>
      <c r="B85" s="160"/>
      <c r="C85" s="160" t="s">
        <v>2517</v>
      </c>
    </row>
    <row r="89" spans="1:3">
      <c r="A89" s="158" t="s">
        <v>32</v>
      </c>
    </row>
    <row r="90" spans="1:3">
      <c r="A90" s="175" t="s">
        <v>2279</v>
      </c>
      <c r="B90" s="175" t="s">
        <v>2280</v>
      </c>
      <c r="C90" s="175" t="s">
        <v>2281</v>
      </c>
    </row>
    <row r="91" spans="1:3">
      <c r="A91" s="148" t="s">
        <v>2374</v>
      </c>
      <c r="B91" s="148" t="s">
        <v>33</v>
      </c>
      <c r="C91" s="147"/>
    </row>
    <row r="92" spans="1:3">
      <c r="A92" s="148" t="s">
        <v>2375</v>
      </c>
      <c r="B92" s="148" t="s">
        <v>34</v>
      </c>
      <c r="C92" s="147"/>
    </row>
    <row r="93" spans="1:3">
      <c r="A93" s="148" t="s">
        <v>2376</v>
      </c>
      <c r="B93" s="148" t="s">
        <v>35</v>
      </c>
      <c r="C93" s="147"/>
    </row>
    <row r="94" spans="1:3">
      <c r="A94" s="148" t="s">
        <v>2377</v>
      </c>
      <c r="B94" s="148" t="s">
        <v>36</v>
      </c>
      <c r="C94" s="147"/>
    </row>
    <row r="95" spans="1:3">
      <c r="A95" s="148" t="s">
        <v>2378</v>
      </c>
      <c r="B95" s="148" t="s">
        <v>37</v>
      </c>
      <c r="C95" s="147"/>
    </row>
    <row r="99" spans="1:3">
      <c r="A99" s="158" t="s">
        <v>2379</v>
      </c>
    </row>
    <row r="100" spans="1:3">
      <c r="A100" s="146" t="s">
        <v>2279</v>
      </c>
      <c r="B100" s="146" t="s">
        <v>2280</v>
      </c>
      <c r="C100" s="146" t="s">
        <v>2281</v>
      </c>
    </row>
    <row r="101" spans="1:3">
      <c r="A101" s="148" t="s">
        <v>2380</v>
      </c>
      <c r="B101" s="148" t="s">
        <v>38</v>
      </c>
      <c r="C101" s="147"/>
    </row>
    <row r="102" spans="1:3">
      <c r="A102" s="148" t="s">
        <v>2381</v>
      </c>
      <c r="B102" s="148" t="s">
        <v>39</v>
      </c>
      <c r="C102" s="147"/>
    </row>
    <row r="103" spans="1:3">
      <c r="A103" s="148" t="s">
        <v>2382</v>
      </c>
      <c r="B103" s="148" t="s">
        <v>2222</v>
      </c>
      <c r="C103" s="147"/>
    </row>
    <row r="104" spans="1:3">
      <c r="A104" s="148" t="s">
        <v>2383</v>
      </c>
      <c r="B104" s="148" t="s">
        <v>2225</v>
      </c>
      <c r="C104" s="147"/>
    </row>
    <row r="105" spans="1:3">
      <c r="A105" s="148" t="s">
        <v>2384</v>
      </c>
      <c r="B105" s="148" t="s">
        <v>2223</v>
      </c>
      <c r="C105" s="147"/>
    </row>
    <row r="106" spans="1:3">
      <c r="A106" s="148" t="s">
        <v>2385</v>
      </c>
      <c r="B106" s="148" t="s">
        <v>2224</v>
      </c>
      <c r="C106" s="147"/>
    </row>
    <row r="109" spans="1:3">
      <c r="A109" s="174"/>
      <c r="B109" s="174"/>
      <c r="C109" s="174"/>
    </row>
    <row r="110" spans="1:3">
      <c r="A110" s="158" t="s">
        <v>31</v>
      </c>
    </row>
    <row r="111" spans="1:3">
      <c r="A111" s="147" t="s">
        <v>2386</v>
      </c>
      <c r="B111" s="148" t="s">
        <v>2387</v>
      </c>
      <c r="C111" s="147" t="s">
        <v>2388</v>
      </c>
    </row>
    <row r="112" spans="1:3">
      <c r="A112" s="147" t="s">
        <v>2389</v>
      </c>
      <c r="B112" s="148" t="s">
        <v>2390</v>
      </c>
      <c r="C112" s="147" t="s">
        <v>2391</v>
      </c>
    </row>
    <row r="113" spans="1:3">
      <c r="A113" s="147" t="s">
        <v>2392</v>
      </c>
      <c r="B113" s="148"/>
      <c r="C113" s="147" t="s">
        <v>2393</v>
      </c>
    </row>
    <row r="114" spans="1:3">
      <c r="A114" s="147" t="s">
        <v>2394</v>
      </c>
      <c r="B114" s="148"/>
      <c r="C114" s="147" t="s">
        <v>2393</v>
      </c>
    </row>
    <row r="118" spans="1:3">
      <c r="A118" s="158" t="s">
        <v>41</v>
      </c>
    </row>
    <row r="119" spans="1:3">
      <c r="A119" s="146" t="s">
        <v>7</v>
      </c>
      <c r="B119" s="146" t="s">
        <v>40</v>
      </c>
      <c r="C119" s="146" t="s">
        <v>2281</v>
      </c>
    </row>
    <row r="120" spans="1:3">
      <c r="A120" s="148" t="s">
        <v>45</v>
      </c>
      <c r="B120" s="148" t="s">
        <v>2395</v>
      </c>
      <c r="C120" s="147" t="s">
        <v>2396</v>
      </c>
    </row>
    <row r="121" spans="1:3">
      <c r="A121" s="148" t="s">
        <v>42</v>
      </c>
      <c r="B121" s="148" t="s">
        <v>2319</v>
      </c>
      <c r="C121" s="147" t="s">
        <v>2226</v>
      </c>
    </row>
    <row r="122" spans="1:3">
      <c r="A122" s="148" t="s">
        <v>2397</v>
      </c>
      <c r="B122" s="148" t="s">
        <v>2398</v>
      </c>
      <c r="C122" s="147" t="s">
        <v>2399</v>
      </c>
    </row>
    <row r="123" spans="1:3">
      <c r="A123" s="148" t="s">
        <v>44</v>
      </c>
      <c r="B123" s="148" t="s">
        <v>2400</v>
      </c>
      <c r="C123" s="147" t="s">
        <v>2401</v>
      </c>
    </row>
    <row r="124" spans="1:3">
      <c r="A124" s="148" t="s">
        <v>43</v>
      </c>
      <c r="B124" s="148" t="s">
        <v>2325</v>
      </c>
      <c r="C124" s="147" t="s">
        <v>2402</v>
      </c>
    </row>
    <row r="125" spans="1:3">
      <c r="A125" s="148" t="s">
        <v>2403</v>
      </c>
      <c r="B125" s="148" t="s">
        <v>2404</v>
      </c>
      <c r="C125" s="147" t="s">
        <v>2405</v>
      </c>
    </row>
    <row r="126" spans="1:3">
      <c r="A126" s="148" t="s">
        <v>2406</v>
      </c>
      <c r="B126" s="148" t="s">
        <v>2407</v>
      </c>
      <c r="C126" s="147" t="s">
        <v>2408</v>
      </c>
    </row>
    <row r="127" spans="1:3">
      <c r="A127" s="148" t="s">
        <v>2409</v>
      </c>
      <c r="B127" s="148" t="s">
        <v>2410</v>
      </c>
      <c r="C127" s="147" t="s">
        <v>2411</v>
      </c>
    </row>
  </sheetData>
  <mergeCells count="9">
    <mergeCell ref="A79:C79"/>
    <mergeCell ref="A90:C90"/>
    <mergeCell ref="A109:C109"/>
    <mergeCell ref="A42:E42"/>
    <mergeCell ref="A1:E1"/>
    <mergeCell ref="A3:C3"/>
    <mergeCell ref="A17:C17"/>
    <mergeCell ref="A24:E24"/>
    <mergeCell ref="A32:D32"/>
  </mergeCells>
  <phoneticPr fontId="2"/>
  <hyperlinks>
    <hyperlink ref="B13" r:id="rId1" xr:uid="{18F03938-026A-46DC-9677-838B38856162}"/>
    <hyperlink ref="B74" r:id="rId2" display="mailto:ryosuke_nakagawa@tiger.co.jp" xr:uid="{A54B9514-91A7-432C-919A-2A83CBB20C40}"/>
    <hyperlink ref="B75" r:id="rId3" display="mailto:aya_matsuda@tiger.co.jp" xr:uid="{7EEB1AF6-5E12-456D-9BF0-9244CE339179}"/>
    <hyperlink ref="B80" r:id="rId4" xr:uid="{56971A93-4915-4E2F-8692-58489ACA208B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24"/>
  <sheetViews>
    <sheetView topLeftCell="A2" workbookViewId="0">
      <selection activeCell="E15" sqref="E15"/>
    </sheetView>
  </sheetViews>
  <sheetFormatPr defaultColWidth="9" defaultRowHeight="18.75"/>
  <cols>
    <col min="1" max="1" width="7.875" style="1" customWidth="1"/>
    <col min="2" max="2" width="71.125" style="1" customWidth="1"/>
    <col min="3" max="3" width="52" style="1" customWidth="1"/>
    <col min="4" max="4" width="9" style="1" customWidth="1"/>
    <col min="5" max="16384" width="9" style="1"/>
  </cols>
  <sheetData>
    <row r="1" spans="1:3" ht="39.950000000000003" customHeight="1">
      <c r="A1" s="182" t="s">
        <v>77</v>
      </c>
      <c r="B1" s="183"/>
      <c r="C1" s="40"/>
    </row>
    <row r="2" spans="1:3" ht="19.5">
      <c r="A2" s="186" t="s">
        <v>78</v>
      </c>
      <c r="B2" s="180"/>
    </row>
    <row r="3" spans="1:3">
      <c r="A3" s="2"/>
      <c r="B3" s="31"/>
    </row>
    <row r="4" spans="1:3" ht="19.5" customHeight="1">
      <c r="A4" s="184" t="s">
        <v>79</v>
      </c>
      <c r="B4" s="180"/>
    </row>
    <row r="5" spans="1:3" ht="19.5" customHeight="1">
      <c r="A5" s="41" t="s">
        <v>177</v>
      </c>
      <c r="B5" s="31" t="s">
        <v>80</v>
      </c>
    </row>
    <row r="6" spans="1:3" ht="19.5" customHeight="1">
      <c r="A6" s="41" t="s">
        <v>178</v>
      </c>
      <c r="B6" s="31" t="s">
        <v>81</v>
      </c>
    </row>
    <row r="7" spans="1:3" ht="19.5" customHeight="1">
      <c r="A7" s="41" t="s">
        <v>179</v>
      </c>
      <c r="B7" s="31" t="s">
        <v>82</v>
      </c>
    </row>
    <row r="8" spans="1:3" ht="19.5" customHeight="1">
      <c r="A8" s="41" t="s">
        <v>180</v>
      </c>
      <c r="B8" s="31" t="s">
        <v>83</v>
      </c>
    </row>
    <row r="9" spans="1:3">
      <c r="A9" s="41" t="s">
        <v>181</v>
      </c>
      <c r="B9" s="31" t="s">
        <v>84</v>
      </c>
    </row>
    <row r="10" spans="1:3">
      <c r="A10" s="41" t="s">
        <v>182</v>
      </c>
      <c r="B10" s="31" t="s">
        <v>85</v>
      </c>
    </row>
    <row r="11" spans="1:3" ht="19.5" customHeight="1">
      <c r="A11" s="3"/>
    </row>
    <row r="12" spans="1:3" ht="24">
      <c r="A12" s="185" t="s">
        <v>86</v>
      </c>
      <c r="B12" s="183"/>
    </row>
    <row r="13" spans="1:3">
      <c r="A13" s="179" t="s">
        <v>46</v>
      </c>
      <c r="B13" s="180"/>
    </row>
    <row r="14" spans="1:3">
      <c r="A14" s="179" t="s">
        <v>47</v>
      </c>
      <c r="B14" s="180"/>
    </row>
    <row r="15" spans="1:3">
      <c r="A15" s="31"/>
      <c r="B15" s="49"/>
    </row>
    <row r="16" spans="1:3" ht="19.5">
      <c r="A16" s="181" t="s">
        <v>87</v>
      </c>
      <c r="B16" s="180"/>
    </row>
    <row r="17" spans="1:2">
      <c r="A17" s="48" t="s">
        <v>88</v>
      </c>
      <c r="B17" s="51" t="s">
        <v>89</v>
      </c>
    </row>
    <row r="18" spans="1:2">
      <c r="A18" s="48" t="s">
        <v>88</v>
      </c>
      <c r="B18" s="51" t="s">
        <v>90</v>
      </c>
    </row>
    <row r="19" spans="1:2">
      <c r="A19" s="31"/>
      <c r="B19" s="49"/>
    </row>
    <row r="20" spans="1:2" ht="19.5">
      <c r="A20" s="181" t="s">
        <v>91</v>
      </c>
      <c r="B20" s="180"/>
    </row>
    <row r="21" spans="1:2">
      <c r="A21" s="54" t="s">
        <v>88</v>
      </c>
      <c r="B21" s="51" t="s">
        <v>92</v>
      </c>
    </row>
    <row r="22" spans="1:2">
      <c r="A22" s="54" t="s">
        <v>88</v>
      </c>
      <c r="B22" s="51" t="s">
        <v>93</v>
      </c>
    </row>
    <row r="23" spans="1:2">
      <c r="A23" s="54" t="s">
        <v>88</v>
      </c>
      <c r="B23" s="51" t="s">
        <v>94</v>
      </c>
    </row>
    <row r="24" spans="1:2">
      <c r="A24" s="54" t="s">
        <v>88</v>
      </c>
      <c r="B24" s="51" t="s">
        <v>95</v>
      </c>
    </row>
    <row r="25" spans="1:2">
      <c r="A25" s="54" t="s">
        <v>88</v>
      </c>
      <c r="B25" s="51" t="s">
        <v>96</v>
      </c>
    </row>
    <row r="26" spans="1:2">
      <c r="A26" s="54" t="s">
        <v>88</v>
      </c>
      <c r="B26" s="51" t="s">
        <v>97</v>
      </c>
    </row>
    <row r="27" spans="1:2">
      <c r="A27" s="54" t="s">
        <v>88</v>
      </c>
      <c r="B27" s="51" t="s">
        <v>98</v>
      </c>
    </row>
    <row r="28" spans="1:2">
      <c r="B28"/>
    </row>
    <row r="29" spans="1:2">
      <c r="A29" s="2"/>
      <c r="B29"/>
    </row>
    <row r="30" spans="1:2" ht="19.5" customHeight="1">
      <c r="A30" s="185" t="s">
        <v>99</v>
      </c>
      <c r="B30" s="183"/>
    </row>
    <row r="31" spans="1:2">
      <c r="A31" s="32" t="s">
        <v>100</v>
      </c>
      <c r="B31" s="52"/>
    </row>
    <row r="32" spans="1:2">
      <c r="A32" s="53" t="s">
        <v>183</v>
      </c>
      <c r="B32" s="52"/>
    </row>
    <row r="33" spans="1:2">
      <c r="A33" s="32" t="s">
        <v>101</v>
      </c>
      <c r="B33" s="52"/>
    </row>
    <row r="34" spans="1:2">
      <c r="A34" s="53" t="s">
        <v>184</v>
      </c>
      <c r="B34" s="52"/>
    </row>
    <row r="35" spans="1:2" ht="19.5" customHeight="1">
      <c r="A35" s="32" t="s">
        <v>102</v>
      </c>
      <c r="B35" s="31"/>
    </row>
    <row r="36" spans="1:2" ht="19.5" customHeight="1">
      <c r="A36" s="53" t="s">
        <v>185</v>
      </c>
      <c r="B36" s="52"/>
    </row>
    <row r="37" spans="1:2" ht="19.5" customHeight="1">
      <c r="A37" s="32" t="s">
        <v>103</v>
      </c>
      <c r="B37" s="31"/>
    </row>
    <row r="38" spans="1:2" ht="19.5" customHeight="1">
      <c r="A38" s="53" t="s">
        <v>186</v>
      </c>
      <c r="B38" s="52"/>
    </row>
    <row r="39" spans="1:2" ht="19.5" customHeight="1">
      <c r="A39" s="32" t="s">
        <v>104</v>
      </c>
      <c r="B39" s="52"/>
    </row>
    <row r="40" spans="1:2">
      <c r="A40" s="53" t="s">
        <v>187</v>
      </c>
      <c r="B40" s="49"/>
    </row>
    <row r="41" spans="1:2">
      <c r="A41" s="2"/>
      <c r="B41"/>
    </row>
    <row r="42" spans="1:2" ht="19.5" customHeight="1">
      <c r="A42" s="185" t="s">
        <v>105</v>
      </c>
      <c r="B42" s="183"/>
    </row>
    <row r="43" spans="1:2" ht="19.5" customHeight="1">
      <c r="A43" s="181" t="s">
        <v>106</v>
      </c>
      <c r="B43" s="183"/>
    </row>
    <row r="44" spans="1:2">
      <c r="A44" s="48" t="s">
        <v>177</v>
      </c>
      <c r="B44" s="47" t="s">
        <v>107</v>
      </c>
    </row>
    <row r="45" spans="1:2">
      <c r="A45" s="48" t="s">
        <v>178</v>
      </c>
      <c r="B45" s="47" t="s">
        <v>108</v>
      </c>
    </row>
    <row r="46" spans="1:2">
      <c r="A46" s="48" t="s">
        <v>179</v>
      </c>
      <c r="B46" s="47" t="s">
        <v>109</v>
      </c>
    </row>
    <row r="47" spans="1:2" ht="19.5" customHeight="1">
      <c r="A47" s="3"/>
      <c r="B47"/>
    </row>
    <row r="48" spans="1:2" ht="19.5">
      <c r="A48" s="181" t="s">
        <v>110</v>
      </c>
      <c r="B48" s="183"/>
    </row>
    <row r="49" spans="1:2">
      <c r="A49" s="48" t="s">
        <v>177</v>
      </c>
      <c r="B49" s="47" t="s">
        <v>111</v>
      </c>
    </row>
    <row r="50" spans="1:2">
      <c r="A50" s="48" t="s">
        <v>178</v>
      </c>
      <c r="B50" s="47" t="s">
        <v>112</v>
      </c>
    </row>
    <row r="51" spans="1:2">
      <c r="A51" s="48" t="s">
        <v>179</v>
      </c>
      <c r="B51" s="47" t="s">
        <v>113</v>
      </c>
    </row>
    <row r="52" spans="1:2">
      <c r="A52" s="191" t="s">
        <v>114</v>
      </c>
      <c r="B52" s="180"/>
    </row>
    <row r="53" spans="1:2">
      <c r="B53"/>
    </row>
    <row r="54" spans="1:2">
      <c r="B54"/>
    </row>
    <row r="55" spans="1:2" ht="24">
      <c r="A55" s="185" t="s">
        <v>115</v>
      </c>
      <c r="B55" s="183"/>
    </row>
    <row r="56" spans="1:2">
      <c r="A56" s="34" t="s">
        <v>120</v>
      </c>
      <c r="B56" s="33" t="s">
        <v>121</v>
      </c>
    </row>
    <row r="57" spans="1:2">
      <c r="A57" s="187" t="s">
        <v>122</v>
      </c>
      <c r="B57" s="180"/>
    </row>
    <row r="58" spans="1:2" ht="19.5">
      <c r="A58" s="46" t="s">
        <v>123</v>
      </c>
      <c r="B58" s="51" t="s">
        <v>124</v>
      </c>
    </row>
    <row r="59" spans="1:2" ht="19.5">
      <c r="A59" s="46" t="s">
        <v>123</v>
      </c>
      <c r="B59" s="51" t="s">
        <v>125</v>
      </c>
    </row>
    <row r="60" spans="1:2" ht="19.5">
      <c r="A60" s="46" t="s">
        <v>123</v>
      </c>
      <c r="B60" s="51" t="s">
        <v>126</v>
      </c>
    </row>
    <row r="61" spans="1:2" ht="19.5">
      <c r="A61" s="46" t="s">
        <v>123</v>
      </c>
      <c r="B61" s="51" t="s">
        <v>116</v>
      </c>
    </row>
    <row r="62" spans="1:2" ht="19.5">
      <c r="A62" s="46" t="s">
        <v>123</v>
      </c>
      <c r="B62" s="51" t="s">
        <v>117</v>
      </c>
    </row>
    <row r="63" spans="1:2" ht="19.5">
      <c r="A63" s="46" t="s">
        <v>123</v>
      </c>
      <c r="B63" s="51" t="s">
        <v>118</v>
      </c>
    </row>
    <row r="64" spans="1:2" ht="19.5">
      <c r="A64" s="46" t="s">
        <v>123</v>
      </c>
      <c r="B64" s="51" t="s">
        <v>119</v>
      </c>
    </row>
    <row r="65" spans="1:2">
      <c r="A65" s="188" t="s">
        <v>127</v>
      </c>
      <c r="B65" s="189"/>
    </row>
    <row r="66" spans="1:2">
      <c r="A66" s="188" t="s">
        <v>128</v>
      </c>
      <c r="B66" s="189"/>
    </row>
    <row r="67" spans="1:2">
      <c r="B67"/>
    </row>
    <row r="68" spans="1:2">
      <c r="A68" s="35" t="s">
        <v>129</v>
      </c>
      <c r="B68" s="33" t="s">
        <v>130</v>
      </c>
    </row>
    <row r="69" spans="1:2">
      <c r="A69" s="187" t="s">
        <v>131</v>
      </c>
      <c r="B69" s="180"/>
    </row>
    <row r="70" spans="1:2" ht="19.5">
      <c r="A70" s="46" t="s">
        <v>123</v>
      </c>
      <c r="B70" s="50" t="s">
        <v>132</v>
      </c>
    </row>
    <row r="71" spans="1:2" ht="19.5">
      <c r="A71" s="46" t="s">
        <v>123</v>
      </c>
      <c r="B71" s="50" t="s">
        <v>133</v>
      </c>
    </row>
    <row r="72" spans="1:2" ht="19.5">
      <c r="A72" s="46" t="s">
        <v>123</v>
      </c>
      <c r="B72" s="50" t="s">
        <v>134</v>
      </c>
    </row>
    <row r="73" spans="1:2" ht="19.5" customHeight="1">
      <c r="A73" s="192" t="s">
        <v>135</v>
      </c>
      <c r="B73" s="193"/>
    </row>
    <row r="74" spans="1:2">
      <c r="A74" s="188" t="s">
        <v>136</v>
      </c>
      <c r="B74" s="189"/>
    </row>
    <row r="75" spans="1:2">
      <c r="B75"/>
    </row>
    <row r="76" spans="1:2">
      <c r="A76" s="36" t="s">
        <v>137</v>
      </c>
      <c r="B76" s="33" t="s">
        <v>138</v>
      </c>
    </row>
    <row r="77" spans="1:2">
      <c r="A77" s="187" t="s">
        <v>139</v>
      </c>
      <c r="B77" s="180"/>
    </row>
    <row r="78" spans="1:2" ht="19.5">
      <c r="A78" s="45" t="s">
        <v>123</v>
      </c>
      <c r="B78" s="47" t="s">
        <v>140</v>
      </c>
    </row>
    <row r="79" spans="1:2" ht="19.5">
      <c r="A79" s="45" t="s">
        <v>123</v>
      </c>
      <c r="B79" s="47" t="s">
        <v>141</v>
      </c>
    </row>
    <row r="80" spans="1:2" ht="19.5">
      <c r="A80" s="45" t="s">
        <v>123</v>
      </c>
      <c r="B80" s="47" t="s">
        <v>142</v>
      </c>
    </row>
    <row r="81" spans="1:2">
      <c r="B81"/>
    </row>
    <row r="82" spans="1:2">
      <c r="B82"/>
    </row>
    <row r="83" spans="1:2" ht="24">
      <c r="A83" s="185" t="s">
        <v>143</v>
      </c>
      <c r="B83" s="183"/>
    </row>
    <row r="84" spans="1:2" ht="19.5">
      <c r="A84" s="181" t="s">
        <v>144</v>
      </c>
      <c r="B84" s="183"/>
    </row>
    <row r="85" spans="1:2">
      <c r="A85" s="31"/>
      <c r="B85" s="37" t="s">
        <v>145</v>
      </c>
    </row>
    <row r="86" spans="1:2">
      <c r="A86" s="188" t="s">
        <v>146</v>
      </c>
      <c r="B86" s="189"/>
    </row>
    <row r="87" spans="1:2">
      <c r="A87" s="31"/>
      <c r="B87" s="49"/>
    </row>
    <row r="88" spans="1:2" ht="19.5">
      <c r="A88" s="181" t="s">
        <v>147</v>
      </c>
      <c r="B88" s="180"/>
    </row>
    <row r="89" spans="1:2">
      <c r="A89" s="31"/>
      <c r="B89" s="38" t="s">
        <v>148</v>
      </c>
    </row>
    <row r="90" spans="1:2">
      <c r="A90" s="48" t="s">
        <v>88</v>
      </c>
      <c r="B90" s="47" t="s">
        <v>149</v>
      </c>
    </row>
    <row r="91" spans="1:2">
      <c r="A91" s="48" t="s">
        <v>88</v>
      </c>
      <c r="B91" s="47" t="s">
        <v>150</v>
      </c>
    </row>
    <row r="92" spans="1:2">
      <c r="A92" s="48" t="s">
        <v>88</v>
      </c>
      <c r="B92" s="47" t="s">
        <v>151</v>
      </c>
    </row>
    <row r="93" spans="1:2">
      <c r="A93" s="48" t="s">
        <v>88</v>
      </c>
      <c r="B93" s="47" t="s">
        <v>152</v>
      </c>
    </row>
    <row r="94" spans="1:2">
      <c r="A94" s="31"/>
      <c r="B94" s="49"/>
    </row>
    <row r="95" spans="1:2" ht="19.5">
      <c r="A95" s="181" t="s">
        <v>153</v>
      </c>
      <c r="B95" s="180"/>
    </row>
    <row r="96" spans="1:2">
      <c r="A96" s="2"/>
      <c r="B96" s="38" t="s">
        <v>148</v>
      </c>
    </row>
    <row r="97" spans="1:2" ht="19.5" customHeight="1">
      <c r="A97" s="48" t="s">
        <v>88</v>
      </c>
      <c r="B97" s="47" t="s">
        <v>154</v>
      </c>
    </row>
    <row r="98" spans="1:2">
      <c r="A98" s="48" t="s">
        <v>88</v>
      </c>
      <c r="B98" s="47" t="s">
        <v>155</v>
      </c>
    </row>
    <row r="99" spans="1:2">
      <c r="A99" s="48" t="s">
        <v>88</v>
      </c>
      <c r="B99" s="47" t="s">
        <v>156</v>
      </c>
    </row>
    <row r="100" spans="1:2">
      <c r="A100" s="48" t="s">
        <v>88</v>
      </c>
      <c r="B100" s="47" t="s">
        <v>157</v>
      </c>
    </row>
    <row r="101" spans="1:2">
      <c r="A101" s="48" t="s">
        <v>88</v>
      </c>
      <c r="B101" s="47" t="s">
        <v>158</v>
      </c>
    </row>
    <row r="102" spans="1:2">
      <c r="A102" s="48" t="s">
        <v>88</v>
      </c>
      <c r="B102" s="47" t="s">
        <v>159</v>
      </c>
    </row>
    <row r="103" spans="1:2">
      <c r="A103" s="48" t="s">
        <v>88</v>
      </c>
      <c r="B103" s="47" t="s">
        <v>160</v>
      </c>
    </row>
    <row r="104" spans="1:2">
      <c r="A104" s="31"/>
      <c r="B104" s="49"/>
    </row>
    <row r="105" spans="1:2">
      <c r="A105" s="31"/>
      <c r="B105" s="49"/>
    </row>
    <row r="106" spans="1:2" ht="24">
      <c r="A106" s="185" t="s">
        <v>161</v>
      </c>
      <c r="B106" s="180"/>
    </row>
    <row r="107" spans="1:2">
      <c r="A107" s="42" t="s">
        <v>162</v>
      </c>
      <c r="B107" s="39" t="s">
        <v>163</v>
      </c>
    </row>
    <row r="108" spans="1:2">
      <c r="A108" s="43" t="s">
        <v>164</v>
      </c>
      <c r="B108" s="52" t="s">
        <v>165</v>
      </c>
    </row>
    <row r="109" spans="1:2">
      <c r="A109" s="43" t="s">
        <v>164</v>
      </c>
      <c r="B109" s="52" t="s">
        <v>166</v>
      </c>
    </row>
    <row r="110" spans="1:2">
      <c r="A110" s="43" t="s">
        <v>164</v>
      </c>
      <c r="B110" s="52" t="s">
        <v>167</v>
      </c>
    </row>
    <row r="111" spans="1:2">
      <c r="A111" s="44"/>
      <c r="B111" s="49"/>
    </row>
    <row r="112" spans="1:2">
      <c r="A112" s="42" t="s">
        <v>162</v>
      </c>
      <c r="B112" s="39" t="s">
        <v>168</v>
      </c>
    </row>
    <row r="113" spans="1:2">
      <c r="A113" s="43" t="s">
        <v>164</v>
      </c>
      <c r="B113" s="52" t="s">
        <v>169</v>
      </c>
    </row>
    <row r="114" spans="1:2">
      <c r="A114" s="55"/>
      <c r="B114" s="49"/>
    </row>
    <row r="115" spans="1:2">
      <c r="A115" s="42" t="s">
        <v>162</v>
      </c>
      <c r="B115" s="39" t="s">
        <v>170</v>
      </c>
    </row>
    <row r="116" spans="1:2">
      <c r="A116" s="43" t="s">
        <v>164</v>
      </c>
      <c r="B116" s="52" t="s">
        <v>171</v>
      </c>
    </row>
    <row r="117" spans="1:2">
      <c r="A117" s="43" t="s">
        <v>164</v>
      </c>
      <c r="B117" s="52" t="s">
        <v>172</v>
      </c>
    </row>
    <row r="118" spans="1:2">
      <c r="A118" s="55"/>
      <c r="B118" s="49"/>
    </row>
    <row r="119" spans="1:2">
      <c r="A119" s="42" t="s">
        <v>162</v>
      </c>
      <c r="B119" s="39" t="s">
        <v>173</v>
      </c>
    </row>
    <row r="120" spans="1:2">
      <c r="A120" s="43" t="s">
        <v>164</v>
      </c>
      <c r="B120" s="52" t="s">
        <v>174</v>
      </c>
    </row>
    <row r="121" spans="1:2">
      <c r="A121" s="43" t="s">
        <v>164</v>
      </c>
      <c r="B121" s="52" t="s">
        <v>175</v>
      </c>
    </row>
    <row r="122" spans="1:2">
      <c r="A122" s="31"/>
      <c r="B122" s="49"/>
    </row>
    <row r="123" spans="1:2">
      <c r="A123" s="31"/>
      <c r="B123" s="49"/>
    </row>
    <row r="124" spans="1:2">
      <c r="A124" s="190" t="s">
        <v>176</v>
      </c>
      <c r="B124" s="180"/>
    </row>
  </sheetData>
  <mergeCells count="28">
    <mergeCell ref="A124:B124"/>
    <mergeCell ref="A42:B42"/>
    <mergeCell ref="A66:B66"/>
    <mergeCell ref="A14:B14"/>
    <mergeCell ref="A52:B52"/>
    <mergeCell ref="A74:B74"/>
    <mergeCell ref="A86:B86"/>
    <mergeCell ref="A83:B83"/>
    <mergeCell ref="A77:B77"/>
    <mergeCell ref="A73:B73"/>
    <mergeCell ref="A20:B20"/>
    <mergeCell ref="A106:B106"/>
    <mergeCell ref="A95:B95"/>
    <mergeCell ref="A13:B13"/>
    <mergeCell ref="A16:B16"/>
    <mergeCell ref="A88:B88"/>
    <mergeCell ref="A1:B1"/>
    <mergeCell ref="A84:B84"/>
    <mergeCell ref="A4:B4"/>
    <mergeCell ref="A12:B12"/>
    <mergeCell ref="A2:B2"/>
    <mergeCell ref="A48:B48"/>
    <mergeCell ref="A55:B55"/>
    <mergeCell ref="A30:B30"/>
    <mergeCell ref="A69:B69"/>
    <mergeCell ref="A57:B57"/>
    <mergeCell ref="A65:B65"/>
    <mergeCell ref="A43:B43"/>
  </mergeCells>
  <phoneticPr fontId="2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1000"/>
  <sheetViews>
    <sheetView zoomScaleNormal="100" workbookViewId="0">
      <pane ySplit="1" topLeftCell="A2" activePane="bottomLeft" state="frozen"/>
      <selection pane="bottomLeft" activeCell="M39" sqref="M39"/>
    </sheetView>
  </sheetViews>
  <sheetFormatPr defaultRowHeight="13.5"/>
  <cols>
    <col min="1" max="2" width="15" customWidth="1"/>
    <col min="3" max="3" width="20" customWidth="1"/>
    <col min="4" max="4" width="15" customWidth="1"/>
    <col min="5" max="5" width="12" customWidth="1"/>
    <col min="6" max="6" width="10.75" bestFit="1" customWidth="1"/>
    <col min="7" max="7" width="10.125" customWidth="1"/>
  </cols>
  <sheetData>
    <row r="1" spans="1:7">
      <c r="A1" s="6" t="s">
        <v>2454</v>
      </c>
      <c r="B1" s="6" t="s">
        <v>48</v>
      </c>
      <c r="C1" s="6" t="s">
        <v>189</v>
      </c>
      <c r="D1" s="6" t="s">
        <v>190</v>
      </c>
      <c r="E1" s="6" t="s">
        <v>49</v>
      </c>
      <c r="F1" s="6" t="s">
        <v>1919</v>
      </c>
      <c r="G1" s="6" t="s">
        <v>2143</v>
      </c>
    </row>
    <row r="2" spans="1:7">
      <c r="A2" s="5" t="s">
        <v>874</v>
      </c>
      <c r="B2" s="5" t="s">
        <v>915</v>
      </c>
      <c r="C2" t="s">
        <v>932</v>
      </c>
      <c r="D2" t="s">
        <v>932</v>
      </c>
    </row>
    <row r="3" spans="1:7">
      <c r="A3" s="5" t="s">
        <v>875</v>
      </c>
      <c r="B3" s="5" t="s">
        <v>916</v>
      </c>
      <c r="C3" t="s">
        <v>933</v>
      </c>
      <c r="D3" t="s">
        <v>933</v>
      </c>
    </row>
    <row r="4" spans="1:7">
      <c r="A4" s="5" t="s">
        <v>876</v>
      </c>
      <c r="B4" s="5" t="s">
        <v>917</v>
      </c>
      <c r="C4" t="s">
        <v>934</v>
      </c>
      <c r="D4" t="s">
        <v>934</v>
      </c>
    </row>
    <row r="5" spans="1:7">
      <c r="A5" s="5" t="s">
        <v>877</v>
      </c>
      <c r="B5" s="5" t="s">
        <v>918</v>
      </c>
      <c r="C5" t="s">
        <v>935</v>
      </c>
      <c r="D5" t="s">
        <v>935</v>
      </c>
    </row>
    <row r="6" spans="1:7">
      <c r="A6" s="5" t="s">
        <v>878</v>
      </c>
      <c r="B6" s="5" t="s">
        <v>919</v>
      </c>
      <c r="C6" t="s">
        <v>936</v>
      </c>
      <c r="D6" t="s">
        <v>936</v>
      </c>
    </row>
    <row r="7" spans="1:7">
      <c r="A7" s="5" t="s">
        <v>879</v>
      </c>
      <c r="B7" s="5" t="s">
        <v>879</v>
      </c>
      <c r="C7" t="s">
        <v>937</v>
      </c>
      <c r="D7" t="s">
        <v>937</v>
      </c>
    </row>
    <row r="8" spans="1:7">
      <c r="A8" s="5" t="s">
        <v>880</v>
      </c>
      <c r="B8" s="5" t="s">
        <v>920</v>
      </c>
      <c r="C8" t="s">
        <v>938</v>
      </c>
      <c r="D8" t="s">
        <v>938</v>
      </c>
    </row>
    <row r="9" spans="1:7">
      <c r="A9" s="5" t="s">
        <v>881</v>
      </c>
      <c r="B9" s="5" t="s">
        <v>921</v>
      </c>
      <c r="C9" t="s">
        <v>939</v>
      </c>
      <c r="D9" t="s">
        <v>939</v>
      </c>
    </row>
    <row r="10" spans="1:7">
      <c r="A10" s="5" t="s">
        <v>882</v>
      </c>
      <c r="B10" s="5" t="s">
        <v>882</v>
      </c>
      <c r="C10" t="s">
        <v>940</v>
      </c>
      <c r="D10" t="s">
        <v>940</v>
      </c>
    </row>
    <row r="11" spans="1:7">
      <c r="A11" s="5" t="s">
        <v>883</v>
      </c>
      <c r="B11" s="5" t="s">
        <v>883</v>
      </c>
      <c r="C11" t="s">
        <v>941</v>
      </c>
      <c r="D11" t="s">
        <v>941</v>
      </c>
    </row>
    <row r="12" spans="1:7">
      <c r="A12" s="5" t="s">
        <v>884</v>
      </c>
      <c r="B12" s="5" t="s">
        <v>884</v>
      </c>
      <c r="C12" t="s">
        <v>942</v>
      </c>
      <c r="D12" t="s">
        <v>942</v>
      </c>
    </row>
    <row r="13" spans="1:7">
      <c r="A13" s="5" t="s">
        <v>885</v>
      </c>
      <c r="B13" s="5" t="s">
        <v>885</v>
      </c>
      <c r="C13" t="s">
        <v>943</v>
      </c>
      <c r="D13" t="s">
        <v>943</v>
      </c>
    </row>
    <row r="14" spans="1:7">
      <c r="A14" s="5" t="s">
        <v>886</v>
      </c>
      <c r="B14" s="5" t="s">
        <v>886</v>
      </c>
      <c r="C14" t="s">
        <v>944</v>
      </c>
      <c r="D14" t="s">
        <v>944</v>
      </c>
    </row>
    <row r="15" spans="1:7">
      <c r="A15" s="5" t="s">
        <v>887</v>
      </c>
      <c r="B15" s="5" t="s">
        <v>887</v>
      </c>
      <c r="C15" t="s">
        <v>945</v>
      </c>
      <c r="D15" t="s">
        <v>945</v>
      </c>
    </row>
    <row r="16" spans="1:7">
      <c r="A16" s="5" t="s">
        <v>888</v>
      </c>
      <c r="B16" s="5" t="s">
        <v>888</v>
      </c>
      <c r="C16" t="s">
        <v>946</v>
      </c>
      <c r="D16" t="s">
        <v>946</v>
      </c>
    </row>
    <row r="17" spans="1:4">
      <c r="A17" s="5" t="s">
        <v>889</v>
      </c>
      <c r="B17" s="5" t="s">
        <v>889</v>
      </c>
      <c r="C17" t="s">
        <v>947</v>
      </c>
      <c r="D17" t="s">
        <v>947</v>
      </c>
    </row>
    <row r="18" spans="1:4">
      <c r="A18" s="5" t="s">
        <v>890</v>
      </c>
      <c r="B18" s="5" t="s">
        <v>890</v>
      </c>
      <c r="C18" t="s">
        <v>948</v>
      </c>
      <c r="D18" t="s">
        <v>948</v>
      </c>
    </row>
    <row r="19" spans="1:4">
      <c r="A19" s="5" t="s">
        <v>891</v>
      </c>
      <c r="B19" s="5" t="s">
        <v>891</v>
      </c>
      <c r="C19" t="s">
        <v>949</v>
      </c>
      <c r="D19" t="s">
        <v>949</v>
      </c>
    </row>
    <row r="20" spans="1:4">
      <c r="A20" s="5" t="s">
        <v>892</v>
      </c>
      <c r="B20" s="5" t="s">
        <v>892</v>
      </c>
      <c r="C20" t="s">
        <v>950</v>
      </c>
      <c r="D20" t="s">
        <v>950</v>
      </c>
    </row>
    <row r="21" spans="1:4">
      <c r="A21" s="5" t="s">
        <v>893</v>
      </c>
      <c r="B21" s="5" t="s">
        <v>893</v>
      </c>
      <c r="C21" t="s">
        <v>951</v>
      </c>
      <c r="D21" t="s">
        <v>951</v>
      </c>
    </row>
    <row r="22" spans="1:4">
      <c r="A22" s="5" t="s">
        <v>894</v>
      </c>
      <c r="B22" s="5" t="s">
        <v>894</v>
      </c>
      <c r="C22" t="s">
        <v>952</v>
      </c>
      <c r="D22" t="s">
        <v>952</v>
      </c>
    </row>
    <row r="23" spans="1:4">
      <c r="A23" s="5" t="s">
        <v>895</v>
      </c>
      <c r="B23" s="5" t="s">
        <v>895</v>
      </c>
      <c r="C23" t="s">
        <v>953</v>
      </c>
      <c r="D23" t="s">
        <v>953</v>
      </c>
    </row>
    <row r="24" spans="1:4">
      <c r="A24" s="5" t="s">
        <v>896</v>
      </c>
      <c r="B24" s="5" t="s">
        <v>896</v>
      </c>
      <c r="C24" t="s">
        <v>954</v>
      </c>
      <c r="D24" t="s">
        <v>954</v>
      </c>
    </row>
    <row r="25" spans="1:4">
      <c r="A25" s="5" t="s">
        <v>897</v>
      </c>
      <c r="B25" s="5" t="s">
        <v>897</v>
      </c>
      <c r="C25" t="s">
        <v>955</v>
      </c>
      <c r="D25" t="s">
        <v>955</v>
      </c>
    </row>
    <row r="26" spans="1:4">
      <c r="A26" s="5" t="s">
        <v>898</v>
      </c>
      <c r="B26" s="5" t="s">
        <v>898</v>
      </c>
      <c r="C26" t="s">
        <v>956</v>
      </c>
      <c r="D26" t="s">
        <v>956</v>
      </c>
    </row>
    <row r="27" spans="1:4">
      <c r="A27" s="5" t="s">
        <v>899</v>
      </c>
      <c r="B27" s="5" t="s">
        <v>899</v>
      </c>
      <c r="C27" t="s">
        <v>957</v>
      </c>
      <c r="D27" t="s">
        <v>957</v>
      </c>
    </row>
    <row r="28" spans="1:4">
      <c r="A28" s="5" t="s">
        <v>900</v>
      </c>
      <c r="B28" s="5" t="s">
        <v>922</v>
      </c>
      <c r="C28" t="s">
        <v>958</v>
      </c>
      <c r="D28" t="s">
        <v>958</v>
      </c>
    </row>
    <row r="29" spans="1:4">
      <c r="A29" s="5" t="s">
        <v>901</v>
      </c>
      <c r="B29" s="5" t="s">
        <v>923</v>
      </c>
      <c r="C29" t="s">
        <v>959</v>
      </c>
      <c r="D29" t="s">
        <v>959</v>
      </c>
    </row>
    <row r="30" spans="1:4">
      <c r="A30" s="5" t="s">
        <v>902</v>
      </c>
      <c r="B30" s="5" t="s">
        <v>902</v>
      </c>
      <c r="C30" t="s">
        <v>960</v>
      </c>
      <c r="D30" t="s">
        <v>960</v>
      </c>
    </row>
    <row r="31" spans="1:4">
      <c r="A31" s="5" t="s">
        <v>903</v>
      </c>
      <c r="B31" s="5" t="s">
        <v>903</v>
      </c>
      <c r="C31" t="s">
        <v>961</v>
      </c>
      <c r="D31" t="s">
        <v>961</v>
      </c>
    </row>
    <row r="32" spans="1:4">
      <c r="A32" s="5" t="s">
        <v>904</v>
      </c>
      <c r="B32" s="5" t="s">
        <v>904</v>
      </c>
      <c r="C32" t="s">
        <v>962</v>
      </c>
      <c r="D32" t="s">
        <v>962</v>
      </c>
    </row>
    <row r="33" spans="1:7">
      <c r="A33" s="5" t="s">
        <v>905</v>
      </c>
      <c r="B33" s="5" t="s">
        <v>905</v>
      </c>
      <c r="C33" t="s">
        <v>963</v>
      </c>
      <c r="D33" t="s">
        <v>963</v>
      </c>
    </row>
    <row r="34" spans="1:7">
      <c r="A34" s="5" t="s">
        <v>906</v>
      </c>
      <c r="B34" s="5" t="s">
        <v>906</v>
      </c>
      <c r="C34" t="s">
        <v>964</v>
      </c>
      <c r="D34" t="s">
        <v>964</v>
      </c>
    </row>
    <row r="35" spans="1:7">
      <c r="A35" s="5" t="s">
        <v>907</v>
      </c>
      <c r="B35" s="5" t="s">
        <v>907</v>
      </c>
      <c r="C35" t="s">
        <v>965</v>
      </c>
      <c r="D35" t="s">
        <v>965</v>
      </c>
    </row>
    <row r="36" spans="1:7">
      <c r="A36" s="5" t="s">
        <v>908</v>
      </c>
      <c r="B36" s="5" t="s">
        <v>908</v>
      </c>
      <c r="C36" t="s">
        <v>966</v>
      </c>
      <c r="D36" t="s">
        <v>966</v>
      </c>
    </row>
    <row r="37" spans="1:7">
      <c r="A37" s="5" t="s">
        <v>909</v>
      </c>
      <c r="B37" s="5" t="s">
        <v>909</v>
      </c>
      <c r="C37" t="s">
        <v>967</v>
      </c>
      <c r="D37" t="s">
        <v>967</v>
      </c>
    </row>
    <row r="38" spans="1:7">
      <c r="A38" s="5" t="s">
        <v>910</v>
      </c>
      <c r="B38" s="5" t="s">
        <v>910</v>
      </c>
      <c r="C38" t="s">
        <v>968</v>
      </c>
      <c r="D38" t="s">
        <v>968</v>
      </c>
    </row>
    <row r="39" spans="1:7">
      <c r="A39" s="5" t="s">
        <v>911</v>
      </c>
      <c r="B39" s="5" t="s">
        <v>911</v>
      </c>
      <c r="C39" t="s">
        <v>969</v>
      </c>
      <c r="D39" t="s">
        <v>969</v>
      </c>
    </row>
    <row r="40" spans="1:7">
      <c r="A40" s="5" t="s">
        <v>912</v>
      </c>
      <c r="B40" s="5" t="s">
        <v>912</v>
      </c>
      <c r="C40" t="s">
        <v>970</v>
      </c>
      <c r="D40" t="s">
        <v>970</v>
      </c>
    </row>
    <row r="41" spans="1:7">
      <c r="A41" s="5" t="s">
        <v>913</v>
      </c>
      <c r="B41" s="5" t="s">
        <v>913</v>
      </c>
      <c r="C41" t="s">
        <v>971</v>
      </c>
      <c r="D41" t="s">
        <v>971</v>
      </c>
    </row>
    <row r="42" spans="1:7">
      <c r="A42" s="5" t="s">
        <v>914</v>
      </c>
      <c r="B42" s="5" t="s">
        <v>914</v>
      </c>
      <c r="C42" t="s">
        <v>972</v>
      </c>
      <c r="D42" t="s">
        <v>972</v>
      </c>
    </row>
    <row r="43" spans="1:7">
      <c r="A43" s="5"/>
      <c r="B43" s="5" t="s">
        <v>924</v>
      </c>
      <c r="C43" t="s">
        <v>973</v>
      </c>
      <c r="D43" t="s">
        <v>973</v>
      </c>
    </row>
    <row r="44" spans="1:7">
      <c r="A44" s="5" t="s">
        <v>981</v>
      </c>
      <c r="B44" s="5" t="s">
        <v>925</v>
      </c>
      <c r="C44" t="s">
        <v>974</v>
      </c>
      <c r="D44" t="s">
        <v>974</v>
      </c>
      <c r="G44" t="s">
        <v>2221</v>
      </c>
    </row>
    <row r="45" spans="1:7">
      <c r="A45" s="5" t="s">
        <v>982</v>
      </c>
      <c r="B45" s="5" t="s">
        <v>926</v>
      </c>
      <c r="C45" t="s">
        <v>975</v>
      </c>
      <c r="D45" t="s">
        <v>975</v>
      </c>
      <c r="G45" t="s">
        <v>2221</v>
      </c>
    </row>
    <row r="46" spans="1:7">
      <c r="A46" s="5" t="s">
        <v>983</v>
      </c>
      <c r="B46" s="5" t="s">
        <v>927</v>
      </c>
      <c r="C46" t="s">
        <v>976</v>
      </c>
      <c r="D46" t="s">
        <v>976</v>
      </c>
      <c r="G46" t="s">
        <v>2221</v>
      </c>
    </row>
    <row r="47" spans="1:7">
      <c r="A47" s="5"/>
      <c r="B47" s="5" t="s">
        <v>928</v>
      </c>
      <c r="C47" t="s">
        <v>977</v>
      </c>
      <c r="D47" t="s">
        <v>977</v>
      </c>
      <c r="G47" t="s">
        <v>2221</v>
      </c>
    </row>
    <row r="48" spans="1:7">
      <c r="A48" s="140" t="s">
        <v>984</v>
      </c>
      <c r="B48" s="140" t="s">
        <v>929</v>
      </c>
      <c r="C48" s="141" t="s">
        <v>978</v>
      </c>
      <c r="D48" s="141" t="s">
        <v>978</v>
      </c>
      <c r="E48" s="141"/>
      <c r="F48" s="141"/>
      <c r="G48" s="141" t="s">
        <v>2221</v>
      </c>
    </row>
    <row r="49" spans="1:7">
      <c r="A49" s="5" t="s">
        <v>985</v>
      </c>
      <c r="B49" s="5" t="s">
        <v>930</v>
      </c>
      <c r="C49" t="s">
        <v>979</v>
      </c>
      <c r="D49" t="s">
        <v>979</v>
      </c>
      <c r="G49" t="s">
        <v>2221</v>
      </c>
    </row>
    <row r="50" spans="1:7">
      <c r="A50" s="5" t="s">
        <v>986</v>
      </c>
      <c r="B50" s="5" t="s">
        <v>931</v>
      </c>
      <c r="C50" t="s">
        <v>980</v>
      </c>
      <c r="D50" t="s">
        <v>980</v>
      </c>
      <c r="G50" t="s">
        <v>2221</v>
      </c>
    </row>
    <row r="51" spans="1:7">
      <c r="A51" s="5"/>
      <c r="B51" s="5"/>
    </row>
    <row r="52" spans="1:7">
      <c r="A52" s="5" t="s">
        <v>2150</v>
      </c>
      <c r="B52" s="5" t="s">
        <v>2171</v>
      </c>
      <c r="C52" t="s">
        <v>2178</v>
      </c>
      <c r="D52" t="s">
        <v>2178</v>
      </c>
    </row>
    <row r="53" spans="1:7">
      <c r="A53" s="5" t="s">
        <v>2171</v>
      </c>
      <c r="B53" s="5" t="s">
        <v>2171</v>
      </c>
      <c r="C53" t="s">
        <v>2178</v>
      </c>
      <c r="D53" t="s">
        <v>2178</v>
      </c>
    </row>
    <row r="54" spans="1:7">
      <c r="A54" s="5" t="s">
        <v>2153</v>
      </c>
      <c r="B54" s="5" t="s">
        <v>2172</v>
      </c>
      <c r="C54" t="s">
        <v>2179</v>
      </c>
      <c r="D54" t="s">
        <v>2179</v>
      </c>
    </row>
    <row r="55" spans="1:7">
      <c r="A55" s="5" t="s">
        <v>2172</v>
      </c>
      <c r="B55" s="5" t="s">
        <v>2172</v>
      </c>
      <c r="C55" t="s">
        <v>2179</v>
      </c>
      <c r="D55" t="s">
        <v>2179</v>
      </c>
    </row>
    <row r="56" spans="1:7">
      <c r="A56" s="5" t="s">
        <v>2151</v>
      </c>
      <c r="B56" s="5" t="s">
        <v>2173</v>
      </c>
      <c r="C56" t="s">
        <v>2180</v>
      </c>
      <c r="D56" t="s">
        <v>2180</v>
      </c>
    </row>
    <row r="57" spans="1:7">
      <c r="A57" s="5" t="s">
        <v>2173</v>
      </c>
      <c r="B57" s="5" t="s">
        <v>2173</v>
      </c>
      <c r="C57" t="s">
        <v>2180</v>
      </c>
      <c r="D57" t="s">
        <v>2180</v>
      </c>
    </row>
    <row r="58" spans="1:7">
      <c r="A58" s="5" t="s">
        <v>2154</v>
      </c>
      <c r="B58" s="5" t="s">
        <v>2174</v>
      </c>
      <c r="C58" t="s">
        <v>2181</v>
      </c>
      <c r="D58" t="s">
        <v>2181</v>
      </c>
    </row>
    <row r="59" spans="1:7">
      <c r="A59" s="5" t="s">
        <v>2155</v>
      </c>
      <c r="B59" s="5" t="s">
        <v>2175</v>
      </c>
      <c r="C59" t="s">
        <v>2182</v>
      </c>
      <c r="D59" t="s">
        <v>2182</v>
      </c>
    </row>
    <row r="60" spans="1:7">
      <c r="A60" s="5" t="s">
        <v>2156</v>
      </c>
      <c r="B60" s="5" t="s">
        <v>2176</v>
      </c>
      <c r="C60" t="s">
        <v>2183</v>
      </c>
      <c r="D60" t="s">
        <v>2183</v>
      </c>
    </row>
    <row r="61" spans="1:7">
      <c r="A61" s="5" t="s">
        <v>2152</v>
      </c>
      <c r="B61" s="5" t="s">
        <v>2152</v>
      </c>
      <c r="C61" t="s">
        <v>2184</v>
      </c>
      <c r="D61" t="s">
        <v>2184</v>
      </c>
    </row>
    <row r="62" spans="1:7">
      <c r="A62" s="5" t="s">
        <v>2157</v>
      </c>
      <c r="B62" s="5" t="s">
        <v>2157</v>
      </c>
      <c r="C62" t="s">
        <v>2185</v>
      </c>
      <c r="D62" t="s">
        <v>2185</v>
      </c>
    </row>
    <row r="63" spans="1:7">
      <c r="A63" s="5" t="s">
        <v>2158</v>
      </c>
      <c r="B63" s="5" t="s">
        <v>2158</v>
      </c>
      <c r="C63" t="s">
        <v>2186</v>
      </c>
      <c r="D63" t="s">
        <v>2186</v>
      </c>
    </row>
    <row r="64" spans="1:7">
      <c r="A64" s="5" t="s">
        <v>2159</v>
      </c>
      <c r="B64" s="5" t="s">
        <v>2159</v>
      </c>
      <c r="C64" t="s">
        <v>2187</v>
      </c>
      <c r="D64" t="s">
        <v>2187</v>
      </c>
    </row>
    <row r="65" spans="1:4">
      <c r="A65" s="5" t="s">
        <v>2160</v>
      </c>
      <c r="B65" s="5" t="s">
        <v>2160</v>
      </c>
      <c r="C65" t="s">
        <v>2188</v>
      </c>
      <c r="D65" t="s">
        <v>2188</v>
      </c>
    </row>
    <row r="66" spans="1:4">
      <c r="A66" s="5" t="s">
        <v>2161</v>
      </c>
      <c r="B66" s="5" t="s">
        <v>2161</v>
      </c>
      <c r="C66" t="s">
        <v>2189</v>
      </c>
      <c r="D66" t="s">
        <v>2189</v>
      </c>
    </row>
    <row r="67" spans="1:4">
      <c r="A67" s="5" t="s">
        <v>2162</v>
      </c>
      <c r="B67" s="5" t="s">
        <v>2162</v>
      </c>
      <c r="C67" t="s">
        <v>2190</v>
      </c>
      <c r="D67" t="s">
        <v>2190</v>
      </c>
    </row>
    <row r="68" spans="1:4">
      <c r="A68" s="5" t="s">
        <v>2163</v>
      </c>
      <c r="B68" s="5" t="s">
        <v>2163</v>
      </c>
      <c r="C68" t="s">
        <v>2191</v>
      </c>
      <c r="D68" t="s">
        <v>2191</v>
      </c>
    </row>
    <row r="69" spans="1:4">
      <c r="A69" s="5" t="s">
        <v>2164</v>
      </c>
      <c r="B69" s="5" t="s">
        <v>2164</v>
      </c>
      <c r="C69" t="s">
        <v>2192</v>
      </c>
      <c r="D69" t="s">
        <v>2192</v>
      </c>
    </row>
    <row r="70" spans="1:4">
      <c r="A70" s="5" t="s">
        <v>2165</v>
      </c>
      <c r="B70" s="5" t="s">
        <v>2165</v>
      </c>
      <c r="C70" t="s">
        <v>2193</v>
      </c>
      <c r="D70" t="s">
        <v>2193</v>
      </c>
    </row>
    <row r="71" spans="1:4">
      <c r="A71" s="5" t="s">
        <v>2166</v>
      </c>
      <c r="B71" s="5" t="s">
        <v>2166</v>
      </c>
      <c r="C71" t="s">
        <v>2194</v>
      </c>
      <c r="D71" t="s">
        <v>2194</v>
      </c>
    </row>
    <row r="72" spans="1:4">
      <c r="A72" s="5" t="s">
        <v>2167</v>
      </c>
      <c r="B72" s="5" t="s">
        <v>2167</v>
      </c>
      <c r="C72" t="s">
        <v>2195</v>
      </c>
      <c r="D72" t="s">
        <v>2195</v>
      </c>
    </row>
    <row r="73" spans="1:4">
      <c r="A73" s="5" t="s">
        <v>2168</v>
      </c>
      <c r="B73" s="5" t="s">
        <v>2168</v>
      </c>
      <c r="C73" t="s">
        <v>2196</v>
      </c>
      <c r="D73" t="s">
        <v>2196</v>
      </c>
    </row>
    <row r="74" spans="1:4">
      <c r="A74" s="5" t="s">
        <v>2169</v>
      </c>
      <c r="B74" s="5" t="s">
        <v>2169</v>
      </c>
      <c r="C74" t="s">
        <v>2197</v>
      </c>
      <c r="D74" t="s">
        <v>2197</v>
      </c>
    </row>
    <row r="75" spans="1:4">
      <c r="A75" s="5" t="s">
        <v>2170</v>
      </c>
      <c r="B75" s="5" t="s">
        <v>2170</v>
      </c>
      <c r="C75" t="s">
        <v>2198</v>
      </c>
      <c r="D75" t="s">
        <v>2198</v>
      </c>
    </row>
    <row r="76" spans="1:4">
      <c r="A76" s="5" t="s">
        <v>2170</v>
      </c>
      <c r="B76" s="5" t="s">
        <v>2177</v>
      </c>
      <c r="C76" t="s">
        <v>2199</v>
      </c>
      <c r="D76" t="s">
        <v>2199</v>
      </c>
    </row>
    <row r="77" spans="1:4">
      <c r="A77" s="5"/>
      <c r="B77" s="5"/>
    </row>
    <row r="78" spans="1:4">
      <c r="A78" s="5"/>
      <c r="B78" s="5"/>
    </row>
    <row r="79" spans="1:4">
      <c r="A79" s="5"/>
      <c r="B79" s="5"/>
    </row>
    <row r="80" spans="1:4">
      <c r="A80" s="5"/>
      <c r="B80" s="5"/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  <row r="215" spans="1:2">
      <c r="A215" s="5"/>
      <c r="B215" s="5"/>
    </row>
    <row r="216" spans="1:2">
      <c r="A216" s="5"/>
      <c r="B216" s="5"/>
    </row>
    <row r="217" spans="1:2">
      <c r="A217" s="5"/>
      <c r="B217" s="5"/>
    </row>
    <row r="218" spans="1:2">
      <c r="A218" s="5"/>
      <c r="B218" s="5"/>
    </row>
    <row r="219" spans="1:2">
      <c r="A219" s="5"/>
      <c r="B219" s="5"/>
    </row>
    <row r="220" spans="1:2">
      <c r="A220" s="5"/>
      <c r="B220" s="5"/>
    </row>
    <row r="221" spans="1:2">
      <c r="A221" s="5"/>
      <c r="B221" s="5"/>
    </row>
    <row r="222" spans="1:2">
      <c r="A222" s="5"/>
      <c r="B222" s="5"/>
    </row>
    <row r="223" spans="1:2">
      <c r="A223" s="5"/>
      <c r="B223" s="5"/>
    </row>
    <row r="224" spans="1:2">
      <c r="A224" s="5"/>
      <c r="B224" s="5"/>
    </row>
    <row r="225" spans="1:2">
      <c r="A225" s="5"/>
      <c r="B225" s="5"/>
    </row>
    <row r="226" spans="1:2">
      <c r="A226" s="5"/>
      <c r="B226" s="5"/>
    </row>
    <row r="227" spans="1:2">
      <c r="A227" s="5"/>
      <c r="B227" s="5"/>
    </row>
    <row r="228" spans="1:2">
      <c r="A228" s="5"/>
      <c r="B228" s="5"/>
    </row>
    <row r="229" spans="1:2">
      <c r="A229" s="5"/>
      <c r="B229" s="5"/>
    </row>
    <row r="230" spans="1:2">
      <c r="A230" s="5"/>
      <c r="B230" s="5"/>
    </row>
    <row r="231" spans="1:2">
      <c r="A231" s="5"/>
      <c r="B231" s="5"/>
    </row>
    <row r="232" spans="1:2">
      <c r="A232" s="5"/>
      <c r="B232" s="5"/>
    </row>
    <row r="233" spans="1:2">
      <c r="A233" s="5"/>
      <c r="B233" s="5"/>
    </row>
    <row r="234" spans="1:2">
      <c r="A234" s="5"/>
      <c r="B234" s="5"/>
    </row>
    <row r="235" spans="1:2">
      <c r="A235" s="5"/>
      <c r="B235" s="5"/>
    </row>
    <row r="236" spans="1:2">
      <c r="A236" s="5"/>
      <c r="B236" s="5"/>
    </row>
    <row r="237" spans="1:2">
      <c r="A237" s="5"/>
      <c r="B237" s="5"/>
    </row>
    <row r="238" spans="1:2">
      <c r="A238" s="5"/>
      <c r="B238" s="5"/>
    </row>
    <row r="239" spans="1:2">
      <c r="A239" s="5"/>
      <c r="B239" s="5"/>
    </row>
    <row r="240" spans="1:2">
      <c r="A240" s="5"/>
      <c r="B240" s="5"/>
    </row>
    <row r="241" spans="1:2">
      <c r="A241" s="5"/>
      <c r="B241" s="5"/>
    </row>
    <row r="242" spans="1:2">
      <c r="A242" s="5"/>
      <c r="B242" s="5"/>
    </row>
    <row r="243" spans="1:2">
      <c r="A243" s="5"/>
      <c r="B243" s="5"/>
    </row>
    <row r="244" spans="1:2">
      <c r="A244" s="5"/>
      <c r="B244" s="5"/>
    </row>
    <row r="245" spans="1:2">
      <c r="A245" s="5"/>
      <c r="B245" s="5"/>
    </row>
    <row r="246" spans="1:2">
      <c r="A246" s="5"/>
      <c r="B246" s="5"/>
    </row>
    <row r="247" spans="1:2">
      <c r="A247" s="5"/>
      <c r="B247" s="5"/>
    </row>
    <row r="248" spans="1:2">
      <c r="A248" s="5"/>
      <c r="B248" s="5"/>
    </row>
    <row r="249" spans="1:2">
      <c r="A249" s="5"/>
      <c r="B249" s="5"/>
    </row>
    <row r="250" spans="1:2">
      <c r="A250" s="5"/>
      <c r="B250" s="5"/>
    </row>
    <row r="251" spans="1:2">
      <c r="A251" s="5"/>
      <c r="B251" s="5"/>
    </row>
    <row r="252" spans="1:2">
      <c r="A252" s="5"/>
      <c r="B252" s="5"/>
    </row>
    <row r="253" spans="1:2">
      <c r="A253" s="5"/>
      <c r="B253" s="5"/>
    </row>
    <row r="254" spans="1:2">
      <c r="A254" s="5"/>
      <c r="B254" s="5"/>
    </row>
    <row r="255" spans="1:2">
      <c r="A255" s="5"/>
      <c r="B255" s="5"/>
    </row>
    <row r="256" spans="1:2">
      <c r="A256" s="5"/>
      <c r="B256" s="5"/>
    </row>
    <row r="257" spans="1:2">
      <c r="A257" s="5"/>
      <c r="B257" s="5"/>
    </row>
    <row r="258" spans="1:2">
      <c r="A258" s="5"/>
      <c r="B258" s="5"/>
    </row>
    <row r="259" spans="1:2">
      <c r="A259" s="5"/>
      <c r="B259" s="5"/>
    </row>
    <row r="260" spans="1:2">
      <c r="A260" s="5"/>
      <c r="B260" s="5"/>
    </row>
    <row r="261" spans="1:2">
      <c r="A261" s="5"/>
      <c r="B261" s="5"/>
    </row>
    <row r="262" spans="1:2">
      <c r="A262" s="5"/>
      <c r="B262" s="5"/>
    </row>
    <row r="263" spans="1:2">
      <c r="A263" s="5"/>
      <c r="B263" s="5"/>
    </row>
    <row r="264" spans="1:2">
      <c r="A264" s="5"/>
      <c r="B264" s="5"/>
    </row>
    <row r="265" spans="1:2">
      <c r="A265" s="5"/>
      <c r="B265" s="5"/>
    </row>
    <row r="266" spans="1:2">
      <c r="A266" s="5"/>
      <c r="B266" s="5"/>
    </row>
    <row r="267" spans="1:2">
      <c r="A267" s="5"/>
      <c r="B267" s="5"/>
    </row>
    <row r="268" spans="1:2">
      <c r="A268" s="5"/>
      <c r="B268" s="5"/>
    </row>
    <row r="269" spans="1:2">
      <c r="A269" s="5"/>
      <c r="B269" s="5"/>
    </row>
    <row r="270" spans="1:2">
      <c r="A270" s="5"/>
      <c r="B270" s="5"/>
    </row>
    <row r="271" spans="1:2">
      <c r="A271" s="5"/>
      <c r="B271" s="5"/>
    </row>
    <row r="272" spans="1:2">
      <c r="A272" s="5"/>
      <c r="B272" s="5"/>
    </row>
    <row r="273" spans="1:2">
      <c r="A273" s="5"/>
      <c r="B273" s="5"/>
    </row>
    <row r="274" spans="1:2">
      <c r="A274" s="5"/>
      <c r="B274" s="5"/>
    </row>
    <row r="275" spans="1:2">
      <c r="A275" s="5"/>
      <c r="B275" s="5"/>
    </row>
    <row r="276" spans="1:2">
      <c r="A276" s="5"/>
      <c r="B276" s="5"/>
    </row>
    <row r="277" spans="1:2">
      <c r="A277" s="5"/>
      <c r="B277" s="5"/>
    </row>
    <row r="278" spans="1:2">
      <c r="A278" s="5"/>
      <c r="B278" s="5"/>
    </row>
    <row r="279" spans="1:2">
      <c r="A279" s="5"/>
      <c r="B279" s="5"/>
    </row>
    <row r="280" spans="1:2">
      <c r="A280" s="5"/>
      <c r="B280" s="5"/>
    </row>
    <row r="281" spans="1:2">
      <c r="A281" s="5"/>
      <c r="B281" s="5"/>
    </row>
    <row r="282" spans="1:2">
      <c r="A282" s="5"/>
      <c r="B282" s="5"/>
    </row>
    <row r="283" spans="1:2">
      <c r="A283" s="5"/>
      <c r="B283" s="5"/>
    </row>
    <row r="284" spans="1:2">
      <c r="A284" s="5"/>
      <c r="B284" s="5"/>
    </row>
    <row r="285" spans="1:2">
      <c r="A285" s="5"/>
      <c r="B285" s="5"/>
    </row>
    <row r="286" spans="1:2">
      <c r="A286" s="5"/>
      <c r="B286" s="5"/>
    </row>
    <row r="287" spans="1:2">
      <c r="A287" s="5"/>
      <c r="B287" s="5"/>
    </row>
    <row r="288" spans="1:2">
      <c r="A288" s="5"/>
      <c r="B288" s="5"/>
    </row>
    <row r="289" spans="1:2">
      <c r="A289" s="5"/>
      <c r="B289" s="5"/>
    </row>
    <row r="290" spans="1:2">
      <c r="A290" s="5"/>
      <c r="B290" s="5"/>
    </row>
    <row r="291" spans="1:2">
      <c r="A291" s="5"/>
      <c r="B291" s="5"/>
    </row>
    <row r="292" spans="1:2">
      <c r="A292" s="5"/>
      <c r="B292" s="5"/>
    </row>
    <row r="293" spans="1:2">
      <c r="A293" s="5"/>
      <c r="B293" s="5"/>
    </row>
    <row r="294" spans="1:2">
      <c r="A294" s="5"/>
      <c r="B294" s="5"/>
    </row>
    <row r="295" spans="1:2">
      <c r="A295" s="5"/>
      <c r="B295" s="5"/>
    </row>
    <row r="296" spans="1:2">
      <c r="A296" s="5"/>
      <c r="B296" s="5"/>
    </row>
    <row r="297" spans="1:2">
      <c r="A297" s="5"/>
      <c r="B297" s="5"/>
    </row>
    <row r="298" spans="1:2">
      <c r="A298" s="5"/>
      <c r="B298" s="5"/>
    </row>
    <row r="299" spans="1:2">
      <c r="A299" s="5"/>
      <c r="B299" s="5"/>
    </row>
    <row r="300" spans="1:2">
      <c r="A300" s="5"/>
      <c r="B300" s="5"/>
    </row>
    <row r="301" spans="1:2">
      <c r="A301" s="5"/>
      <c r="B301" s="5"/>
    </row>
    <row r="302" spans="1:2">
      <c r="A302" s="5"/>
      <c r="B302" s="5"/>
    </row>
    <row r="303" spans="1:2">
      <c r="A303" s="5"/>
      <c r="B303" s="5"/>
    </row>
    <row r="304" spans="1:2">
      <c r="A304" s="5"/>
      <c r="B304" s="5"/>
    </row>
    <row r="305" spans="1:2">
      <c r="A305" s="5"/>
      <c r="B305" s="5"/>
    </row>
    <row r="306" spans="1:2">
      <c r="A306" s="5"/>
      <c r="B306" s="5"/>
    </row>
    <row r="307" spans="1:2">
      <c r="A307" s="5"/>
      <c r="B307" s="5"/>
    </row>
    <row r="308" spans="1:2">
      <c r="A308" s="5"/>
      <c r="B308" s="5"/>
    </row>
    <row r="309" spans="1:2">
      <c r="A309" s="5"/>
      <c r="B309" s="5"/>
    </row>
    <row r="310" spans="1:2">
      <c r="A310" s="5"/>
      <c r="B310" s="5"/>
    </row>
    <row r="311" spans="1:2">
      <c r="A311" s="5"/>
      <c r="B311" s="5"/>
    </row>
    <row r="312" spans="1:2">
      <c r="A312" s="5"/>
      <c r="B312" s="5"/>
    </row>
    <row r="313" spans="1:2">
      <c r="A313" s="5"/>
      <c r="B313" s="5"/>
    </row>
    <row r="314" spans="1:2">
      <c r="A314" s="5"/>
      <c r="B314" s="5"/>
    </row>
    <row r="315" spans="1:2">
      <c r="A315" s="5"/>
      <c r="B315" s="5"/>
    </row>
    <row r="316" spans="1:2">
      <c r="A316" s="5"/>
      <c r="B316" s="5"/>
    </row>
    <row r="317" spans="1:2">
      <c r="A317" s="5"/>
      <c r="B317" s="5"/>
    </row>
    <row r="318" spans="1:2">
      <c r="A318" s="5"/>
      <c r="B318" s="5"/>
    </row>
    <row r="319" spans="1:2">
      <c r="A319" s="5"/>
      <c r="B319" s="5"/>
    </row>
    <row r="320" spans="1:2">
      <c r="A320" s="5"/>
      <c r="B320" s="5"/>
    </row>
    <row r="321" spans="1:2">
      <c r="A321" s="5"/>
      <c r="B321" s="5"/>
    </row>
    <row r="322" spans="1:2">
      <c r="A322" s="5"/>
      <c r="B322" s="5"/>
    </row>
    <row r="323" spans="1:2">
      <c r="A323" s="5"/>
      <c r="B323" s="5"/>
    </row>
    <row r="324" spans="1:2">
      <c r="A324" s="5"/>
      <c r="B324" s="5"/>
    </row>
    <row r="325" spans="1:2">
      <c r="A325" s="5"/>
      <c r="B325" s="5"/>
    </row>
    <row r="326" spans="1:2">
      <c r="A326" s="5"/>
      <c r="B326" s="5"/>
    </row>
    <row r="327" spans="1:2">
      <c r="A327" s="5"/>
      <c r="B327" s="5"/>
    </row>
    <row r="328" spans="1:2">
      <c r="A328" s="5"/>
      <c r="B328" s="5"/>
    </row>
    <row r="329" spans="1:2">
      <c r="A329" s="5"/>
      <c r="B329" s="5"/>
    </row>
    <row r="330" spans="1:2">
      <c r="A330" s="5"/>
      <c r="B330" s="5"/>
    </row>
    <row r="331" spans="1:2">
      <c r="A331" s="5"/>
      <c r="B331" s="5"/>
    </row>
    <row r="332" spans="1:2">
      <c r="A332" s="5"/>
      <c r="B332" s="5"/>
    </row>
    <row r="333" spans="1:2">
      <c r="A333" s="5"/>
      <c r="B333" s="5"/>
    </row>
    <row r="334" spans="1:2">
      <c r="A334" s="5"/>
      <c r="B334" s="5"/>
    </row>
    <row r="335" spans="1:2">
      <c r="A335" s="5"/>
      <c r="B335" s="5"/>
    </row>
    <row r="336" spans="1:2">
      <c r="A336" s="5"/>
      <c r="B336" s="5"/>
    </row>
    <row r="337" spans="1:2">
      <c r="A337" s="5"/>
      <c r="B337" s="5"/>
    </row>
    <row r="338" spans="1:2">
      <c r="A338" s="5"/>
      <c r="B338" s="5"/>
    </row>
    <row r="339" spans="1:2">
      <c r="A339" s="5"/>
      <c r="B339" s="5"/>
    </row>
    <row r="340" spans="1:2">
      <c r="A340" s="5"/>
      <c r="B340" s="5"/>
    </row>
    <row r="341" spans="1:2">
      <c r="A341" s="5"/>
      <c r="B341" s="5"/>
    </row>
    <row r="342" spans="1:2">
      <c r="A342" s="5"/>
      <c r="B342" s="5"/>
    </row>
    <row r="343" spans="1:2">
      <c r="A343" s="5"/>
      <c r="B343" s="5"/>
    </row>
    <row r="344" spans="1:2">
      <c r="A344" s="5"/>
      <c r="B344" s="5"/>
    </row>
    <row r="345" spans="1:2">
      <c r="A345" s="5"/>
      <c r="B345" s="5"/>
    </row>
    <row r="346" spans="1:2">
      <c r="A346" s="5"/>
      <c r="B346" s="5"/>
    </row>
    <row r="347" spans="1:2">
      <c r="A347" s="5"/>
      <c r="B347" s="5"/>
    </row>
    <row r="348" spans="1:2">
      <c r="A348" s="5"/>
      <c r="B348" s="5"/>
    </row>
    <row r="349" spans="1:2">
      <c r="A349" s="5"/>
      <c r="B349" s="5"/>
    </row>
    <row r="350" spans="1:2">
      <c r="A350" s="5"/>
      <c r="B350" s="5"/>
    </row>
    <row r="351" spans="1:2">
      <c r="A351" s="5"/>
      <c r="B351" s="5"/>
    </row>
    <row r="352" spans="1:2">
      <c r="A352" s="5"/>
      <c r="B352" s="5"/>
    </row>
    <row r="353" spans="1:2">
      <c r="A353" s="5"/>
      <c r="B353" s="5"/>
    </row>
    <row r="354" spans="1:2">
      <c r="A354" s="5"/>
      <c r="B354" s="5"/>
    </row>
    <row r="355" spans="1:2">
      <c r="A355" s="5"/>
      <c r="B355" s="5"/>
    </row>
    <row r="356" spans="1:2">
      <c r="A356" s="5"/>
      <c r="B356" s="5"/>
    </row>
    <row r="357" spans="1:2">
      <c r="A357" s="5"/>
      <c r="B357" s="5"/>
    </row>
    <row r="358" spans="1:2">
      <c r="A358" s="5"/>
      <c r="B358" s="5"/>
    </row>
    <row r="359" spans="1:2">
      <c r="A359" s="5"/>
      <c r="B359" s="5"/>
    </row>
    <row r="360" spans="1:2">
      <c r="A360" s="5"/>
      <c r="B360" s="5"/>
    </row>
    <row r="361" spans="1:2">
      <c r="A361" s="5"/>
      <c r="B361" s="5"/>
    </row>
    <row r="362" spans="1:2">
      <c r="A362" s="5"/>
      <c r="B362" s="5"/>
    </row>
    <row r="363" spans="1:2">
      <c r="A363" s="5"/>
      <c r="B363" s="5"/>
    </row>
    <row r="364" spans="1:2">
      <c r="A364" s="5"/>
      <c r="B364" s="5"/>
    </row>
    <row r="365" spans="1:2">
      <c r="A365" s="5"/>
      <c r="B365" s="5"/>
    </row>
    <row r="366" spans="1:2">
      <c r="A366" s="5"/>
      <c r="B366" s="5"/>
    </row>
    <row r="367" spans="1:2">
      <c r="A367" s="5"/>
      <c r="B367" s="5"/>
    </row>
    <row r="368" spans="1:2">
      <c r="A368" s="5"/>
      <c r="B368" s="5"/>
    </row>
    <row r="369" spans="1:2">
      <c r="A369" s="5"/>
      <c r="B369" s="5"/>
    </row>
    <row r="370" spans="1:2">
      <c r="A370" s="5"/>
      <c r="B370" s="5"/>
    </row>
    <row r="371" spans="1:2">
      <c r="A371" s="5"/>
      <c r="B371" s="5"/>
    </row>
    <row r="372" spans="1:2">
      <c r="A372" s="5"/>
      <c r="B372" s="5"/>
    </row>
    <row r="373" spans="1:2">
      <c r="A373" s="5"/>
      <c r="B373" s="5"/>
    </row>
    <row r="374" spans="1:2">
      <c r="A374" s="5"/>
      <c r="B374" s="5"/>
    </row>
    <row r="375" spans="1:2">
      <c r="A375" s="5"/>
      <c r="B375" s="5"/>
    </row>
    <row r="376" spans="1:2">
      <c r="A376" s="5"/>
      <c r="B376" s="5"/>
    </row>
    <row r="377" spans="1:2">
      <c r="A377" s="5"/>
      <c r="B377" s="5"/>
    </row>
    <row r="378" spans="1:2">
      <c r="A378" s="5"/>
      <c r="B378" s="5"/>
    </row>
    <row r="379" spans="1:2">
      <c r="A379" s="5"/>
      <c r="B379" s="5"/>
    </row>
    <row r="380" spans="1:2">
      <c r="A380" s="5"/>
      <c r="B380" s="5"/>
    </row>
    <row r="381" spans="1:2">
      <c r="A381" s="5"/>
      <c r="B381" s="5"/>
    </row>
    <row r="382" spans="1:2">
      <c r="A382" s="5"/>
      <c r="B382" s="5"/>
    </row>
    <row r="383" spans="1:2">
      <c r="A383" s="5"/>
      <c r="B383" s="5"/>
    </row>
    <row r="384" spans="1:2">
      <c r="A384" s="5"/>
      <c r="B384" s="5"/>
    </row>
    <row r="385" spans="1:2">
      <c r="A385" s="5"/>
      <c r="B385" s="5"/>
    </row>
    <row r="386" spans="1:2">
      <c r="A386" s="5"/>
      <c r="B386" s="5"/>
    </row>
    <row r="387" spans="1:2">
      <c r="A387" s="5"/>
      <c r="B387" s="5"/>
    </row>
    <row r="388" spans="1:2">
      <c r="A388" s="5"/>
      <c r="B388" s="5"/>
    </row>
    <row r="389" spans="1:2">
      <c r="A389" s="5"/>
      <c r="B389" s="5"/>
    </row>
    <row r="390" spans="1:2">
      <c r="A390" s="5"/>
      <c r="B390" s="5"/>
    </row>
    <row r="391" spans="1:2">
      <c r="A391" s="5"/>
      <c r="B391" s="5"/>
    </row>
    <row r="392" spans="1:2">
      <c r="A392" s="5"/>
      <c r="B392" s="5"/>
    </row>
    <row r="393" spans="1:2">
      <c r="A393" s="5"/>
      <c r="B393" s="5"/>
    </row>
    <row r="394" spans="1:2">
      <c r="A394" s="5"/>
      <c r="B394" s="5"/>
    </row>
    <row r="395" spans="1:2">
      <c r="A395" s="5"/>
      <c r="B395" s="5"/>
    </row>
    <row r="396" spans="1:2">
      <c r="A396" s="5"/>
      <c r="B396" s="5"/>
    </row>
    <row r="397" spans="1:2">
      <c r="A397" s="5"/>
      <c r="B397" s="5"/>
    </row>
    <row r="398" spans="1:2">
      <c r="A398" s="5"/>
      <c r="B398" s="5"/>
    </row>
    <row r="399" spans="1:2">
      <c r="A399" s="5"/>
      <c r="B399" s="5"/>
    </row>
    <row r="400" spans="1:2">
      <c r="A400" s="5"/>
      <c r="B400" s="5"/>
    </row>
    <row r="401" spans="1:2">
      <c r="A401" s="5"/>
      <c r="B401" s="5"/>
    </row>
    <row r="402" spans="1:2">
      <c r="A402" s="5"/>
      <c r="B402" s="5"/>
    </row>
    <row r="403" spans="1:2">
      <c r="A403" s="5"/>
      <c r="B403" s="5"/>
    </row>
    <row r="404" spans="1:2">
      <c r="A404" s="5"/>
      <c r="B404" s="5"/>
    </row>
    <row r="405" spans="1:2">
      <c r="A405" s="5"/>
      <c r="B405" s="5"/>
    </row>
    <row r="406" spans="1:2">
      <c r="A406" s="5"/>
      <c r="B406" s="5"/>
    </row>
    <row r="407" spans="1:2">
      <c r="A407" s="5"/>
      <c r="B407" s="5"/>
    </row>
    <row r="408" spans="1:2">
      <c r="A408" s="5"/>
      <c r="B408" s="5"/>
    </row>
    <row r="409" spans="1:2">
      <c r="A409" s="5"/>
      <c r="B409" s="5"/>
    </row>
    <row r="410" spans="1:2">
      <c r="A410" s="5"/>
      <c r="B410" s="5"/>
    </row>
    <row r="411" spans="1:2">
      <c r="A411" s="5"/>
      <c r="B411" s="5"/>
    </row>
    <row r="412" spans="1:2">
      <c r="A412" s="5"/>
      <c r="B412" s="5"/>
    </row>
    <row r="413" spans="1:2">
      <c r="A413" s="5"/>
      <c r="B413" s="5"/>
    </row>
    <row r="414" spans="1:2">
      <c r="A414" s="5"/>
      <c r="B414" s="5"/>
    </row>
    <row r="415" spans="1:2">
      <c r="A415" s="5"/>
      <c r="B415" s="5"/>
    </row>
    <row r="416" spans="1:2">
      <c r="A416" s="5"/>
      <c r="B416" s="5"/>
    </row>
    <row r="417" spans="1:2">
      <c r="A417" s="5"/>
      <c r="B417" s="5"/>
    </row>
    <row r="418" spans="1:2">
      <c r="A418" s="5"/>
      <c r="B418" s="5"/>
    </row>
    <row r="419" spans="1:2">
      <c r="A419" s="5"/>
      <c r="B419" s="5"/>
    </row>
    <row r="420" spans="1:2">
      <c r="A420" s="5"/>
      <c r="B420" s="5"/>
    </row>
    <row r="421" spans="1:2">
      <c r="A421" s="5"/>
      <c r="B421" s="5"/>
    </row>
    <row r="422" spans="1:2">
      <c r="A422" s="5"/>
      <c r="B422" s="5"/>
    </row>
    <row r="423" spans="1:2">
      <c r="A423" s="5"/>
      <c r="B423" s="5"/>
    </row>
    <row r="424" spans="1:2">
      <c r="A424" s="5"/>
      <c r="B424" s="5"/>
    </row>
    <row r="425" spans="1:2">
      <c r="A425" s="5"/>
      <c r="B425" s="5"/>
    </row>
    <row r="426" spans="1:2">
      <c r="A426" s="5"/>
      <c r="B426" s="5"/>
    </row>
    <row r="427" spans="1:2">
      <c r="A427" s="5"/>
      <c r="B427" s="5"/>
    </row>
    <row r="428" spans="1:2">
      <c r="A428" s="5"/>
      <c r="B428" s="5"/>
    </row>
    <row r="429" spans="1:2">
      <c r="A429" s="5"/>
      <c r="B429" s="5"/>
    </row>
    <row r="430" spans="1:2">
      <c r="A430" s="5"/>
      <c r="B430" s="5"/>
    </row>
    <row r="431" spans="1:2">
      <c r="A431" s="5"/>
      <c r="B431" s="5"/>
    </row>
    <row r="432" spans="1:2">
      <c r="A432" s="5"/>
      <c r="B432" s="5"/>
    </row>
    <row r="433" spans="1:2">
      <c r="A433" s="5"/>
      <c r="B433" s="5"/>
    </row>
    <row r="434" spans="1:2">
      <c r="A434" s="5"/>
      <c r="B434" s="5"/>
    </row>
    <row r="435" spans="1:2">
      <c r="A435" s="5"/>
      <c r="B435" s="5"/>
    </row>
    <row r="436" spans="1:2">
      <c r="A436" s="5"/>
      <c r="B436" s="5"/>
    </row>
    <row r="437" spans="1:2">
      <c r="A437" s="5"/>
      <c r="B437" s="5"/>
    </row>
    <row r="438" spans="1:2">
      <c r="A438" s="5"/>
      <c r="B438" s="5"/>
    </row>
    <row r="439" spans="1:2">
      <c r="A439" s="5"/>
      <c r="B439" s="5"/>
    </row>
    <row r="440" spans="1:2">
      <c r="A440" s="5"/>
      <c r="B440" s="5"/>
    </row>
    <row r="441" spans="1:2">
      <c r="A441" s="5"/>
      <c r="B441" s="5"/>
    </row>
    <row r="442" spans="1:2">
      <c r="A442" s="5"/>
      <c r="B442" s="5"/>
    </row>
    <row r="443" spans="1:2">
      <c r="A443" s="5"/>
      <c r="B443" s="5"/>
    </row>
    <row r="444" spans="1:2">
      <c r="A444" s="5"/>
      <c r="B444" s="5"/>
    </row>
    <row r="445" spans="1:2">
      <c r="A445" s="5"/>
      <c r="B445" s="5"/>
    </row>
    <row r="446" spans="1:2">
      <c r="A446" s="5"/>
      <c r="B446" s="5"/>
    </row>
    <row r="447" spans="1:2">
      <c r="A447" s="5"/>
      <c r="B447" s="5"/>
    </row>
    <row r="448" spans="1:2">
      <c r="A448" s="5"/>
      <c r="B448" s="5"/>
    </row>
    <row r="449" spans="1:2">
      <c r="A449" s="5"/>
      <c r="B449" s="5"/>
    </row>
    <row r="450" spans="1:2">
      <c r="A450" s="5"/>
      <c r="B450" s="5"/>
    </row>
    <row r="451" spans="1:2">
      <c r="A451" s="5"/>
      <c r="B451" s="5"/>
    </row>
    <row r="452" spans="1:2">
      <c r="A452" s="5"/>
      <c r="B452" s="5"/>
    </row>
    <row r="453" spans="1:2">
      <c r="A453" s="5"/>
      <c r="B453" s="5"/>
    </row>
    <row r="454" spans="1:2">
      <c r="A454" s="5"/>
      <c r="B454" s="5"/>
    </row>
    <row r="455" spans="1:2">
      <c r="A455" s="5"/>
      <c r="B455" s="5"/>
    </row>
    <row r="456" spans="1:2">
      <c r="A456" s="5"/>
      <c r="B456" s="5"/>
    </row>
    <row r="457" spans="1:2">
      <c r="A457" s="5"/>
      <c r="B457" s="5"/>
    </row>
    <row r="458" spans="1:2">
      <c r="A458" s="5"/>
      <c r="B458" s="5"/>
    </row>
    <row r="459" spans="1:2">
      <c r="A459" s="5"/>
      <c r="B459" s="5"/>
    </row>
    <row r="460" spans="1:2">
      <c r="A460" s="5"/>
      <c r="B460" s="5"/>
    </row>
    <row r="461" spans="1:2">
      <c r="A461" s="5"/>
      <c r="B461" s="5"/>
    </row>
    <row r="462" spans="1:2">
      <c r="A462" s="5"/>
      <c r="B462" s="5"/>
    </row>
    <row r="463" spans="1:2">
      <c r="A463" s="5"/>
      <c r="B463" s="5"/>
    </row>
    <row r="464" spans="1:2">
      <c r="A464" s="5"/>
      <c r="B464" s="5"/>
    </row>
    <row r="465" spans="1:2">
      <c r="A465" s="5"/>
      <c r="B465" s="5"/>
    </row>
    <row r="466" spans="1:2">
      <c r="A466" s="5"/>
      <c r="B466" s="5"/>
    </row>
    <row r="467" spans="1:2">
      <c r="A467" s="5"/>
      <c r="B467" s="5"/>
    </row>
    <row r="468" spans="1:2">
      <c r="A468" s="5"/>
      <c r="B468" s="5"/>
    </row>
    <row r="469" spans="1:2">
      <c r="A469" s="5"/>
      <c r="B469" s="5"/>
    </row>
    <row r="470" spans="1:2">
      <c r="A470" s="5"/>
      <c r="B470" s="5"/>
    </row>
    <row r="471" spans="1:2">
      <c r="A471" s="5"/>
      <c r="B471" s="5"/>
    </row>
    <row r="472" spans="1:2">
      <c r="A472" s="5"/>
      <c r="B472" s="5"/>
    </row>
    <row r="473" spans="1:2">
      <c r="A473" s="5"/>
      <c r="B473" s="5"/>
    </row>
    <row r="474" spans="1:2">
      <c r="A474" s="5"/>
      <c r="B474" s="5"/>
    </row>
    <row r="475" spans="1:2">
      <c r="A475" s="5"/>
      <c r="B475" s="5"/>
    </row>
    <row r="476" spans="1:2">
      <c r="A476" s="5"/>
      <c r="B476" s="5"/>
    </row>
    <row r="477" spans="1:2">
      <c r="A477" s="5"/>
      <c r="B477" s="5"/>
    </row>
    <row r="478" spans="1:2">
      <c r="A478" s="5"/>
      <c r="B478" s="5"/>
    </row>
    <row r="479" spans="1:2">
      <c r="A479" s="5"/>
      <c r="B479" s="5"/>
    </row>
    <row r="480" spans="1:2">
      <c r="A480" s="5"/>
      <c r="B480" s="5"/>
    </row>
    <row r="481" spans="1:2">
      <c r="A481" s="5"/>
      <c r="B481" s="5"/>
    </row>
    <row r="482" spans="1:2">
      <c r="A482" s="5"/>
      <c r="B482" s="5"/>
    </row>
    <row r="483" spans="1:2">
      <c r="A483" s="5"/>
      <c r="B483" s="5"/>
    </row>
    <row r="484" spans="1:2">
      <c r="A484" s="5"/>
      <c r="B484" s="5"/>
    </row>
    <row r="485" spans="1:2">
      <c r="A485" s="5"/>
      <c r="B485" s="5"/>
    </row>
    <row r="486" spans="1:2">
      <c r="A486" s="5"/>
      <c r="B486" s="5"/>
    </row>
    <row r="487" spans="1:2">
      <c r="A487" s="5"/>
      <c r="B487" s="5"/>
    </row>
    <row r="488" spans="1:2">
      <c r="A488" s="5"/>
      <c r="B488" s="5"/>
    </row>
    <row r="489" spans="1:2">
      <c r="A489" s="5"/>
      <c r="B489" s="5"/>
    </row>
    <row r="490" spans="1:2">
      <c r="A490" s="5"/>
      <c r="B490" s="5"/>
    </row>
    <row r="491" spans="1:2">
      <c r="A491" s="5"/>
      <c r="B491" s="5"/>
    </row>
    <row r="492" spans="1:2">
      <c r="A492" s="5"/>
      <c r="B492" s="5"/>
    </row>
    <row r="493" spans="1:2">
      <c r="A493" s="5"/>
      <c r="B493" s="5"/>
    </row>
    <row r="494" spans="1:2">
      <c r="A494" s="5"/>
      <c r="B494" s="5"/>
    </row>
    <row r="495" spans="1:2">
      <c r="A495" s="5"/>
      <c r="B495" s="5"/>
    </row>
    <row r="496" spans="1:2">
      <c r="A496" s="5"/>
      <c r="B496" s="5"/>
    </row>
    <row r="497" spans="1:2">
      <c r="A497" s="5"/>
      <c r="B497" s="5"/>
    </row>
    <row r="498" spans="1:2">
      <c r="A498" s="5"/>
      <c r="B498" s="5"/>
    </row>
    <row r="499" spans="1:2">
      <c r="A499" s="5"/>
      <c r="B499" s="5"/>
    </row>
    <row r="500" spans="1:2">
      <c r="A500" s="5"/>
      <c r="B500" s="5"/>
    </row>
    <row r="501" spans="1:2">
      <c r="A501" s="5"/>
      <c r="B501" s="5"/>
    </row>
    <row r="502" spans="1:2">
      <c r="A502" s="5"/>
      <c r="B502" s="5"/>
    </row>
    <row r="503" spans="1:2">
      <c r="A503" s="5"/>
      <c r="B503" s="5"/>
    </row>
    <row r="504" spans="1:2">
      <c r="A504" s="5"/>
      <c r="B504" s="5"/>
    </row>
    <row r="505" spans="1:2">
      <c r="A505" s="5"/>
      <c r="B505" s="5"/>
    </row>
    <row r="506" spans="1:2">
      <c r="A506" s="5"/>
      <c r="B506" s="5"/>
    </row>
    <row r="507" spans="1:2">
      <c r="A507" s="5"/>
      <c r="B507" s="5"/>
    </row>
    <row r="508" spans="1:2">
      <c r="A508" s="5"/>
      <c r="B508" s="5"/>
    </row>
    <row r="509" spans="1:2">
      <c r="A509" s="5"/>
      <c r="B509" s="5"/>
    </row>
    <row r="510" spans="1:2">
      <c r="A510" s="5"/>
      <c r="B510" s="5"/>
    </row>
    <row r="511" spans="1:2">
      <c r="A511" s="5"/>
      <c r="B511" s="5"/>
    </row>
    <row r="512" spans="1:2">
      <c r="A512" s="5"/>
      <c r="B512" s="5"/>
    </row>
    <row r="513" spans="1:2">
      <c r="A513" s="5"/>
      <c r="B513" s="5"/>
    </row>
    <row r="514" spans="1:2">
      <c r="A514" s="5"/>
      <c r="B514" s="5"/>
    </row>
    <row r="515" spans="1:2">
      <c r="A515" s="5"/>
      <c r="B515" s="5"/>
    </row>
    <row r="516" spans="1:2">
      <c r="A516" s="5"/>
      <c r="B516" s="5"/>
    </row>
    <row r="517" spans="1:2">
      <c r="A517" s="5"/>
      <c r="B517" s="5"/>
    </row>
    <row r="518" spans="1:2">
      <c r="A518" s="5"/>
      <c r="B518" s="5"/>
    </row>
    <row r="519" spans="1:2">
      <c r="A519" s="5"/>
      <c r="B519" s="5"/>
    </row>
    <row r="520" spans="1:2">
      <c r="A520" s="5"/>
      <c r="B520" s="5"/>
    </row>
    <row r="521" spans="1:2">
      <c r="A521" s="5"/>
      <c r="B521" s="5"/>
    </row>
    <row r="522" spans="1:2">
      <c r="A522" s="5"/>
      <c r="B522" s="5"/>
    </row>
    <row r="523" spans="1:2">
      <c r="A523" s="5"/>
      <c r="B523" s="5"/>
    </row>
    <row r="524" spans="1:2">
      <c r="A524" s="5"/>
      <c r="B524" s="5"/>
    </row>
    <row r="525" spans="1:2">
      <c r="A525" s="5"/>
      <c r="B525" s="5"/>
    </row>
    <row r="526" spans="1:2">
      <c r="A526" s="5"/>
      <c r="B526" s="5"/>
    </row>
    <row r="527" spans="1:2">
      <c r="A527" s="5"/>
      <c r="B527" s="5"/>
    </row>
    <row r="528" spans="1:2">
      <c r="A528" s="5"/>
      <c r="B528" s="5"/>
    </row>
    <row r="529" spans="1:2">
      <c r="A529" s="5"/>
      <c r="B529" s="5"/>
    </row>
    <row r="530" spans="1:2">
      <c r="A530" s="5"/>
      <c r="B530" s="5"/>
    </row>
    <row r="531" spans="1:2">
      <c r="A531" s="5"/>
      <c r="B531" s="5"/>
    </row>
    <row r="532" spans="1:2">
      <c r="A532" s="5"/>
      <c r="B532" s="5"/>
    </row>
    <row r="533" spans="1:2">
      <c r="A533" s="5"/>
      <c r="B533" s="5"/>
    </row>
    <row r="534" spans="1:2">
      <c r="A534" s="5"/>
      <c r="B534" s="5"/>
    </row>
    <row r="535" spans="1:2">
      <c r="A535" s="5"/>
      <c r="B535" s="5"/>
    </row>
    <row r="536" spans="1:2">
      <c r="A536" s="5"/>
      <c r="B536" s="5"/>
    </row>
    <row r="537" spans="1:2">
      <c r="A537" s="5"/>
      <c r="B537" s="5"/>
    </row>
    <row r="538" spans="1:2">
      <c r="A538" s="5"/>
      <c r="B538" s="5"/>
    </row>
    <row r="539" spans="1:2">
      <c r="A539" s="5"/>
      <c r="B539" s="5"/>
    </row>
    <row r="540" spans="1:2">
      <c r="A540" s="5"/>
      <c r="B540" s="5"/>
    </row>
    <row r="541" spans="1:2">
      <c r="A541" s="5"/>
      <c r="B541" s="5"/>
    </row>
    <row r="542" spans="1:2">
      <c r="A542" s="5"/>
      <c r="B542" s="5"/>
    </row>
    <row r="543" spans="1:2">
      <c r="A543" s="5"/>
      <c r="B543" s="5"/>
    </row>
    <row r="544" spans="1:2">
      <c r="A544" s="5"/>
      <c r="B544" s="5"/>
    </row>
    <row r="545" spans="1:2">
      <c r="A545" s="5"/>
      <c r="B545" s="5"/>
    </row>
    <row r="546" spans="1:2">
      <c r="A546" s="5"/>
      <c r="B546" s="5"/>
    </row>
    <row r="547" spans="1:2">
      <c r="A547" s="5"/>
      <c r="B547" s="5"/>
    </row>
    <row r="548" spans="1:2">
      <c r="A548" s="5"/>
      <c r="B548" s="5"/>
    </row>
    <row r="549" spans="1:2">
      <c r="A549" s="5"/>
      <c r="B549" s="5"/>
    </row>
    <row r="550" spans="1:2">
      <c r="A550" s="5"/>
      <c r="B550" s="5"/>
    </row>
    <row r="551" spans="1:2">
      <c r="A551" s="5"/>
      <c r="B551" s="5"/>
    </row>
    <row r="552" spans="1:2">
      <c r="A552" s="5"/>
      <c r="B552" s="5"/>
    </row>
    <row r="553" spans="1:2">
      <c r="A553" s="5"/>
      <c r="B553" s="5"/>
    </row>
    <row r="554" spans="1:2">
      <c r="A554" s="5"/>
      <c r="B554" s="5"/>
    </row>
    <row r="555" spans="1:2">
      <c r="A555" s="5"/>
      <c r="B555" s="5"/>
    </row>
    <row r="556" spans="1:2">
      <c r="A556" s="5"/>
      <c r="B556" s="5"/>
    </row>
    <row r="557" spans="1:2">
      <c r="A557" s="5"/>
      <c r="B557" s="5"/>
    </row>
    <row r="558" spans="1:2">
      <c r="A558" s="5"/>
      <c r="B558" s="5"/>
    </row>
    <row r="559" spans="1:2">
      <c r="A559" s="5"/>
      <c r="B559" s="5"/>
    </row>
    <row r="560" spans="1:2">
      <c r="A560" s="5"/>
      <c r="B560" s="5"/>
    </row>
    <row r="561" spans="1:2">
      <c r="A561" s="5"/>
      <c r="B561" s="5"/>
    </row>
    <row r="562" spans="1:2">
      <c r="A562" s="5"/>
      <c r="B562" s="5"/>
    </row>
    <row r="563" spans="1:2">
      <c r="A563" s="5"/>
      <c r="B563" s="5"/>
    </row>
    <row r="564" spans="1:2">
      <c r="A564" s="5"/>
      <c r="B564" s="5"/>
    </row>
    <row r="565" spans="1:2">
      <c r="A565" s="5"/>
      <c r="B565" s="5"/>
    </row>
    <row r="566" spans="1:2">
      <c r="A566" s="5"/>
      <c r="B566" s="5"/>
    </row>
    <row r="567" spans="1:2">
      <c r="A567" s="5"/>
      <c r="B567" s="5"/>
    </row>
    <row r="568" spans="1:2">
      <c r="A568" s="5"/>
      <c r="B568" s="5"/>
    </row>
    <row r="569" spans="1:2">
      <c r="A569" s="5"/>
      <c r="B569" s="5"/>
    </row>
    <row r="570" spans="1:2">
      <c r="A570" s="5"/>
      <c r="B570" s="5"/>
    </row>
    <row r="571" spans="1:2">
      <c r="A571" s="5"/>
      <c r="B571" s="5"/>
    </row>
    <row r="572" spans="1:2">
      <c r="A572" s="5"/>
      <c r="B572" s="5"/>
    </row>
    <row r="573" spans="1:2">
      <c r="A573" s="5"/>
      <c r="B573" s="5"/>
    </row>
    <row r="574" spans="1:2">
      <c r="A574" s="5"/>
      <c r="B574" s="5"/>
    </row>
    <row r="575" spans="1:2">
      <c r="A575" s="5"/>
      <c r="B575" s="5"/>
    </row>
    <row r="576" spans="1:2">
      <c r="A576" s="5"/>
      <c r="B576" s="5"/>
    </row>
    <row r="577" spans="1:2">
      <c r="A577" s="5"/>
      <c r="B577" s="5"/>
    </row>
    <row r="578" spans="1:2">
      <c r="A578" s="5"/>
      <c r="B578" s="5"/>
    </row>
    <row r="579" spans="1:2">
      <c r="A579" s="5"/>
      <c r="B579" s="5"/>
    </row>
    <row r="580" spans="1:2">
      <c r="A580" s="5"/>
      <c r="B580" s="5"/>
    </row>
    <row r="581" spans="1:2">
      <c r="A581" s="5"/>
      <c r="B581" s="5"/>
    </row>
    <row r="582" spans="1:2">
      <c r="A582" s="5"/>
      <c r="B582" s="5"/>
    </row>
    <row r="583" spans="1:2">
      <c r="A583" s="5"/>
      <c r="B583" s="5"/>
    </row>
    <row r="584" spans="1:2">
      <c r="A584" s="5"/>
      <c r="B584" s="5"/>
    </row>
    <row r="585" spans="1:2">
      <c r="A585" s="5"/>
      <c r="B585" s="5"/>
    </row>
    <row r="586" spans="1:2">
      <c r="A586" s="5"/>
      <c r="B586" s="5"/>
    </row>
    <row r="587" spans="1:2">
      <c r="A587" s="5"/>
      <c r="B587" s="5"/>
    </row>
    <row r="588" spans="1:2">
      <c r="A588" s="5"/>
      <c r="B588" s="5"/>
    </row>
    <row r="589" spans="1:2">
      <c r="A589" s="5"/>
      <c r="B589" s="5"/>
    </row>
    <row r="590" spans="1:2">
      <c r="A590" s="5"/>
      <c r="B590" s="5"/>
    </row>
    <row r="591" spans="1:2">
      <c r="A591" s="5"/>
      <c r="B591" s="5"/>
    </row>
    <row r="592" spans="1:2">
      <c r="A592" s="5"/>
      <c r="B592" s="5"/>
    </row>
    <row r="593" spans="1:2">
      <c r="A593" s="5"/>
      <c r="B593" s="5"/>
    </row>
    <row r="594" spans="1:2">
      <c r="A594" s="5"/>
      <c r="B594" s="5"/>
    </row>
    <row r="595" spans="1:2">
      <c r="A595" s="5"/>
      <c r="B595" s="5"/>
    </row>
    <row r="596" spans="1:2">
      <c r="A596" s="5"/>
      <c r="B596" s="5"/>
    </row>
    <row r="597" spans="1:2">
      <c r="A597" s="5"/>
      <c r="B597" s="5"/>
    </row>
    <row r="598" spans="1:2">
      <c r="A598" s="5"/>
      <c r="B598" s="5"/>
    </row>
    <row r="599" spans="1:2">
      <c r="A599" s="5"/>
      <c r="B599" s="5"/>
    </row>
    <row r="600" spans="1:2">
      <c r="A600" s="5"/>
      <c r="B600" s="5"/>
    </row>
    <row r="601" spans="1:2">
      <c r="A601" s="5"/>
      <c r="B601" s="5"/>
    </row>
    <row r="602" spans="1:2">
      <c r="A602" s="5"/>
      <c r="B602" s="5"/>
    </row>
    <row r="603" spans="1:2">
      <c r="A603" s="5"/>
      <c r="B603" s="5"/>
    </row>
    <row r="604" spans="1:2">
      <c r="A604" s="5"/>
      <c r="B604" s="5"/>
    </row>
    <row r="605" spans="1:2">
      <c r="A605" s="5"/>
      <c r="B605" s="5"/>
    </row>
    <row r="606" spans="1:2">
      <c r="A606" s="5"/>
      <c r="B606" s="5"/>
    </row>
    <row r="607" spans="1:2">
      <c r="A607" s="5"/>
      <c r="B607" s="5"/>
    </row>
    <row r="608" spans="1:2">
      <c r="A608" s="5"/>
      <c r="B608" s="5"/>
    </row>
    <row r="609" spans="1:2">
      <c r="A609" s="5"/>
      <c r="B609" s="5"/>
    </row>
    <row r="610" spans="1:2">
      <c r="A610" s="5"/>
      <c r="B610" s="5"/>
    </row>
    <row r="611" spans="1:2">
      <c r="A611" s="5"/>
      <c r="B611" s="5"/>
    </row>
    <row r="612" spans="1:2">
      <c r="A612" s="5"/>
      <c r="B612" s="5"/>
    </row>
    <row r="613" spans="1:2">
      <c r="A613" s="5"/>
      <c r="B613" s="5"/>
    </row>
    <row r="614" spans="1:2">
      <c r="A614" s="5"/>
      <c r="B614" s="5"/>
    </row>
    <row r="615" spans="1:2">
      <c r="A615" s="5"/>
      <c r="B615" s="5"/>
    </row>
    <row r="616" spans="1:2">
      <c r="A616" s="5"/>
      <c r="B616" s="5"/>
    </row>
    <row r="617" spans="1:2">
      <c r="A617" s="5"/>
      <c r="B617" s="5"/>
    </row>
    <row r="618" spans="1:2">
      <c r="A618" s="5"/>
      <c r="B618" s="5"/>
    </row>
    <row r="619" spans="1:2">
      <c r="A619" s="5"/>
      <c r="B619" s="5"/>
    </row>
    <row r="620" spans="1:2">
      <c r="A620" s="5"/>
      <c r="B620" s="5"/>
    </row>
    <row r="621" spans="1:2">
      <c r="A621" s="5"/>
      <c r="B621" s="5"/>
    </row>
    <row r="622" spans="1:2">
      <c r="A622" s="5"/>
      <c r="B622" s="5"/>
    </row>
    <row r="623" spans="1:2">
      <c r="A623" s="5"/>
      <c r="B623" s="5"/>
    </row>
    <row r="624" spans="1:2">
      <c r="A624" s="5"/>
      <c r="B624" s="5"/>
    </row>
    <row r="625" spans="1:2">
      <c r="A625" s="5"/>
      <c r="B625" s="5"/>
    </row>
    <row r="626" spans="1:2">
      <c r="A626" s="5"/>
      <c r="B626" s="5"/>
    </row>
    <row r="627" spans="1:2">
      <c r="A627" s="5"/>
      <c r="B627" s="5"/>
    </row>
    <row r="628" spans="1:2">
      <c r="A628" s="5"/>
      <c r="B628" s="5"/>
    </row>
    <row r="629" spans="1:2">
      <c r="A629" s="5"/>
      <c r="B629" s="5"/>
    </row>
    <row r="630" spans="1:2">
      <c r="A630" s="5"/>
      <c r="B630" s="5"/>
    </row>
    <row r="631" spans="1:2">
      <c r="A631" s="5"/>
      <c r="B631" s="5"/>
    </row>
    <row r="632" spans="1:2">
      <c r="A632" s="5"/>
      <c r="B632" s="5"/>
    </row>
    <row r="633" spans="1:2">
      <c r="A633" s="5"/>
      <c r="B633" s="5"/>
    </row>
    <row r="634" spans="1:2">
      <c r="A634" s="5"/>
      <c r="B634" s="5"/>
    </row>
    <row r="635" spans="1:2">
      <c r="A635" s="5"/>
      <c r="B635" s="5"/>
    </row>
    <row r="636" spans="1:2">
      <c r="A636" s="5"/>
      <c r="B636" s="5"/>
    </row>
    <row r="637" spans="1:2">
      <c r="A637" s="5"/>
      <c r="B637" s="5"/>
    </row>
    <row r="638" spans="1:2">
      <c r="A638" s="5"/>
      <c r="B638" s="5"/>
    </row>
    <row r="639" spans="1:2">
      <c r="A639" s="5"/>
      <c r="B639" s="5"/>
    </row>
    <row r="640" spans="1:2">
      <c r="A640" s="5"/>
      <c r="B640" s="5"/>
    </row>
    <row r="641" spans="1:2">
      <c r="A641" s="5"/>
      <c r="B641" s="5"/>
    </row>
    <row r="642" spans="1:2">
      <c r="A642" s="5"/>
      <c r="B642" s="5"/>
    </row>
    <row r="643" spans="1:2">
      <c r="A643" s="5"/>
      <c r="B643" s="5"/>
    </row>
    <row r="644" spans="1:2">
      <c r="A644" s="5"/>
      <c r="B644" s="5"/>
    </row>
    <row r="645" spans="1:2">
      <c r="A645" s="5"/>
      <c r="B645" s="5"/>
    </row>
    <row r="646" spans="1:2">
      <c r="A646" s="5"/>
      <c r="B646" s="5"/>
    </row>
    <row r="647" spans="1:2">
      <c r="A647" s="5"/>
      <c r="B647" s="5"/>
    </row>
    <row r="648" spans="1:2">
      <c r="A648" s="5"/>
      <c r="B648" s="5"/>
    </row>
    <row r="649" spans="1:2">
      <c r="A649" s="5"/>
      <c r="B649" s="5"/>
    </row>
    <row r="650" spans="1:2">
      <c r="A650" s="5"/>
      <c r="B650" s="5"/>
    </row>
    <row r="651" spans="1:2">
      <c r="A651" s="5"/>
      <c r="B651" s="5"/>
    </row>
    <row r="652" spans="1:2">
      <c r="A652" s="5"/>
      <c r="B652" s="5"/>
    </row>
    <row r="653" spans="1:2">
      <c r="A653" s="5"/>
      <c r="B653" s="5"/>
    </row>
    <row r="654" spans="1:2">
      <c r="A654" s="5"/>
      <c r="B654" s="5"/>
    </row>
    <row r="655" spans="1:2">
      <c r="A655" s="5"/>
      <c r="B655" s="5"/>
    </row>
    <row r="656" spans="1:2">
      <c r="A656" s="5"/>
      <c r="B656" s="5"/>
    </row>
    <row r="657" spans="1:2">
      <c r="A657" s="5"/>
      <c r="B657" s="5"/>
    </row>
    <row r="658" spans="1:2">
      <c r="A658" s="5"/>
      <c r="B658" s="5"/>
    </row>
    <row r="659" spans="1:2">
      <c r="A659" s="5"/>
      <c r="B659" s="5"/>
    </row>
    <row r="660" spans="1:2">
      <c r="A660" s="5"/>
      <c r="B660" s="5"/>
    </row>
    <row r="661" spans="1:2">
      <c r="A661" s="5"/>
      <c r="B661" s="5"/>
    </row>
    <row r="662" spans="1:2">
      <c r="A662" s="5"/>
      <c r="B662" s="5"/>
    </row>
    <row r="663" spans="1:2">
      <c r="A663" s="5"/>
      <c r="B663" s="5"/>
    </row>
    <row r="664" spans="1:2">
      <c r="A664" s="5"/>
      <c r="B664" s="5"/>
    </row>
    <row r="665" spans="1:2">
      <c r="A665" s="5"/>
      <c r="B665" s="5"/>
    </row>
    <row r="666" spans="1:2">
      <c r="A666" s="5"/>
      <c r="B666" s="5"/>
    </row>
    <row r="667" spans="1:2">
      <c r="A667" s="5"/>
      <c r="B667" s="5"/>
    </row>
    <row r="668" spans="1:2">
      <c r="A668" s="5"/>
      <c r="B668" s="5"/>
    </row>
    <row r="669" spans="1:2">
      <c r="A669" s="5"/>
      <c r="B669" s="5"/>
    </row>
    <row r="670" spans="1:2">
      <c r="A670" s="5"/>
      <c r="B670" s="5"/>
    </row>
    <row r="671" spans="1:2">
      <c r="A671" s="5"/>
      <c r="B671" s="5"/>
    </row>
    <row r="672" spans="1:2">
      <c r="A672" s="5"/>
      <c r="B672" s="5"/>
    </row>
    <row r="673" spans="1:2">
      <c r="A673" s="5"/>
      <c r="B673" s="5"/>
    </row>
    <row r="674" spans="1:2">
      <c r="A674" s="5"/>
      <c r="B674" s="5"/>
    </row>
    <row r="675" spans="1:2">
      <c r="A675" s="5"/>
      <c r="B675" s="5"/>
    </row>
    <row r="676" spans="1:2">
      <c r="A676" s="5"/>
      <c r="B676" s="5"/>
    </row>
    <row r="677" spans="1:2">
      <c r="A677" s="5"/>
      <c r="B677" s="5"/>
    </row>
    <row r="678" spans="1:2">
      <c r="A678" s="5"/>
      <c r="B678" s="5"/>
    </row>
    <row r="679" spans="1:2">
      <c r="A679" s="5"/>
      <c r="B679" s="5"/>
    </row>
    <row r="680" spans="1:2">
      <c r="A680" s="5"/>
      <c r="B680" s="5"/>
    </row>
    <row r="681" spans="1:2">
      <c r="A681" s="5"/>
      <c r="B681" s="5"/>
    </row>
    <row r="682" spans="1:2">
      <c r="A682" s="5"/>
      <c r="B682" s="5"/>
    </row>
    <row r="683" spans="1:2">
      <c r="A683" s="5"/>
      <c r="B683" s="5"/>
    </row>
    <row r="684" spans="1:2">
      <c r="A684" s="5"/>
      <c r="B684" s="5"/>
    </row>
    <row r="685" spans="1:2">
      <c r="A685" s="5"/>
      <c r="B685" s="5"/>
    </row>
    <row r="686" spans="1:2">
      <c r="A686" s="5"/>
      <c r="B686" s="5"/>
    </row>
    <row r="687" spans="1:2">
      <c r="A687" s="5"/>
      <c r="B687" s="5"/>
    </row>
    <row r="688" spans="1:2">
      <c r="A688" s="5"/>
      <c r="B688" s="5"/>
    </row>
    <row r="689" spans="1:2">
      <c r="A689" s="5"/>
      <c r="B689" s="5"/>
    </row>
    <row r="690" spans="1:2">
      <c r="A690" s="5"/>
      <c r="B690" s="5"/>
    </row>
    <row r="691" spans="1:2">
      <c r="A691" s="5"/>
      <c r="B691" s="5"/>
    </row>
    <row r="692" spans="1:2">
      <c r="A692" s="5"/>
      <c r="B692" s="5"/>
    </row>
    <row r="693" spans="1:2">
      <c r="A693" s="5"/>
      <c r="B693" s="5"/>
    </row>
    <row r="694" spans="1:2">
      <c r="A694" s="5"/>
      <c r="B694" s="5"/>
    </row>
    <row r="695" spans="1:2">
      <c r="A695" s="5"/>
      <c r="B695" s="5"/>
    </row>
    <row r="696" spans="1:2">
      <c r="A696" s="5"/>
      <c r="B696" s="5"/>
    </row>
    <row r="697" spans="1:2">
      <c r="A697" s="5"/>
      <c r="B697" s="5"/>
    </row>
    <row r="698" spans="1:2">
      <c r="A698" s="5"/>
      <c r="B698" s="5"/>
    </row>
    <row r="699" spans="1:2">
      <c r="A699" s="5"/>
      <c r="B699" s="5"/>
    </row>
    <row r="700" spans="1:2">
      <c r="A700" s="5"/>
      <c r="B700" s="5"/>
    </row>
    <row r="701" spans="1:2">
      <c r="A701" s="5"/>
      <c r="B701" s="5"/>
    </row>
    <row r="702" spans="1:2">
      <c r="A702" s="5"/>
      <c r="B702" s="5"/>
    </row>
    <row r="703" spans="1:2">
      <c r="A703" s="5"/>
      <c r="B703" s="5"/>
    </row>
    <row r="704" spans="1:2">
      <c r="A704" s="5"/>
      <c r="B704" s="5"/>
    </row>
    <row r="705" spans="1:2">
      <c r="A705" s="5"/>
      <c r="B705" s="5"/>
    </row>
    <row r="706" spans="1:2">
      <c r="A706" s="5"/>
      <c r="B706" s="5"/>
    </row>
    <row r="707" spans="1:2">
      <c r="A707" s="5"/>
      <c r="B707" s="5"/>
    </row>
    <row r="708" spans="1:2">
      <c r="A708" s="5"/>
      <c r="B708" s="5"/>
    </row>
    <row r="709" spans="1:2">
      <c r="A709" s="5"/>
      <c r="B709" s="5"/>
    </row>
    <row r="710" spans="1:2">
      <c r="A710" s="5"/>
      <c r="B710" s="5"/>
    </row>
    <row r="711" spans="1:2">
      <c r="A711" s="5"/>
      <c r="B711" s="5"/>
    </row>
    <row r="712" spans="1:2">
      <c r="A712" s="5"/>
      <c r="B712" s="5"/>
    </row>
    <row r="713" spans="1:2">
      <c r="A713" s="5"/>
      <c r="B713" s="5"/>
    </row>
    <row r="714" spans="1:2">
      <c r="A714" s="5"/>
      <c r="B714" s="5"/>
    </row>
    <row r="715" spans="1:2">
      <c r="A715" s="5"/>
      <c r="B715" s="5"/>
    </row>
    <row r="716" spans="1:2">
      <c r="A716" s="5"/>
      <c r="B716" s="5"/>
    </row>
    <row r="717" spans="1:2">
      <c r="A717" s="5"/>
      <c r="B717" s="5"/>
    </row>
    <row r="718" spans="1:2">
      <c r="A718" s="5"/>
      <c r="B718" s="5"/>
    </row>
    <row r="719" spans="1:2">
      <c r="A719" s="5"/>
      <c r="B719" s="5"/>
    </row>
    <row r="720" spans="1:2">
      <c r="A720" s="5"/>
      <c r="B720" s="5"/>
    </row>
    <row r="721" spans="1:2">
      <c r="A721" s="5"/>
      <c r="B721" s="5"/>
    </row>
    <row r="722" spans="1:2">
      <c r="A722" s="5"/>
      <c r="B722" s="5"/>
    </row>
    <row r="723" spans="1:2">
      <c r="A723" s="5"/>
      <c r="B723" s="5"/>
    </row>
    <row r="724" spans="1:2">
      <c r="A724" s="5"/>
      <c r="B724" s="5"/>
    </row>
    <row r="725" spans="1:2">
      <c r="A725" s="5"/>
      <c r="B725" s="5"/>
    </row>
    <row r="726" spans="1:2">
      <c r="A726" s="5"/>
      <c r="B726" s="5"/>
    </row>
    <row r="727" spans="1:2">
      <c r="A727" s="5"/>
      <c r="B727" s="5"/>
    </row>
    <row r="728" spans="1:2">
      <c r="A728" s="5"/>
      <c r="B728" s="5"/>
    </row>
    <row r="729" spans="1:2">
      <c r="A729" s="5"/>
      <c r="B729" s="5"/>
    </row>
    <row r="730" spans="1:2">
      <c r="A730" s="5"/>
      <c r="B730" s="5"/>
    </row>
    <row r="731" spans="1:2">
      <c r="A731" s="5"/>
      <c r="B731" s="5"/>
    </row>
    <row r="732" spans="1:2">
      <c r="A732" s="5"/>
      <c r="B732" s="5"/>
    </row>
    <row r="733" spans="1:2">
      <c r="A733" s="5"/>
      <c r="B733" s="5"/>
    </row>
    <row r="734" spans="1:2">
      <c r="A734" s="5"/>
      <c r="B734" s="5"/>
    </row>
    <row r="735" spans="1:2">
      <c r="A735" s="5"/>
      <c r="B735" s="5"/>
    </row>
    <row r="736" spans="1:2">
      <c r="A736" s="5"/>
      <c r="B736" s="5"/>
    </row>
    <row r="737" spans="1:2">
      <c r="A737" s="5"/>
      <c r="B737" s="5"/>
    </row>
    <row r="738" spans="1:2">
      <c r="A738" s="5"/>
      <c r="B738" s="5"/>
    </row>
    <row r="739" spans="1:2">
      <c r="A739" s="5"/>
      <c r="B739" s="5"/>
    </row>
    <row r="740" spans="1:2">
      <c r="A740" s="5"/>
      <c r="B740" s="5"/>
    </row>
    <row r="741" spans="1:2">
      <c r="A741" s="5"/>
      <c r="B741" s="5"/>
    </row>
    <row r="742" spans="1:2">
      <c r="A742" s="5"/>
      <c r="B742" s="5"/>
    </row>
    <row r="743" spans="1:2">
      <c r="A743" s="5"/>
      <c r="B743" s="5"/>
    </row>
    <row r="744" spans="1:2">
      <c r="A744" s="5"/>
      <c r="B744" s="5"/>
    </row>
    <row r="745" spans="1:2">
      <c r="A745" s="5"/>
      <c r="B745" s="5"/>
    </row>
    <row r="746" spans="1:2">
      <c r="A746" s="5"/>
      <c r="B746" s="5"/>
    </row>
    <row r="747" spans="1:2">
      <c r="A747" s="5"/>
      <c r="B747" s="5"/>
    </row>
    <row r="748" spans="1:2">
      <c r="A748" s="5"/>
      <c r="B748" s="5"/>
    </row>
    <row r="749" spans="1:2">
      <c r="A749" s="5"/>
      <c r="B749" s="5"/>
    </row>
    <row r="750" spans="1:2">
      <c r="A750" s="5"/>
      <c r="B750" s="5"/>
    </row>
    <row r="751" spans="1:2">
      <c r="A751" s="5"/>
      <c r="B751" s="5"/>
    </row>
    <row r="752" spans="1:2">
      <c r="A752" s="5"/>
      <c r="B752" s="5"/>
    </row>
    <row r="753" spans="1:2">
      <c r="A753" s="5"/>
      <c r="B753" s="5"/>
    </row>
    <row r="754" spans="1:2">
      <c r="A754" s="5"/>
      <c r="B754" s="5"/>
    </row>
    <row r="755" spans="1:2">
      <c r="A755" s="5"/>
      <c r="B755" s="5"/>
    </row>
    <row r="756" spans="1:2">
      <c r="A756" s="5"/>
      <c r="B756" s="5"/>
    </row>
    <row r="757" spans="1:2">
      <c r="A757" s="5"/>
      <c r="B757" s="5"/>
    </row>
    <row r="758" spans="1:2">
      <c r="A758" s="5"/>
      <c r="B758" s="5"/>
    </row>
    <row r="759" spans="1:2">
      <c r="A759" s="5"/>
      <c r="B759" s="5"/>
    </row>
    <row r="760" spans="1:2">
      <c r="A760" s="5"/>
      <c r="B760" s="5"/>
    </row>
    <row r="761" spans="1:2">
      <c r="A761" s="5"/>
      <c r="B761" s="5"/>
    </row>
    <row r="762" spans="1:2">
      <c r="A762" s="5"/>
      <c r="B762" s="5"/>
    </row>
    <row r="763" spans="1:2">
      <c r="A763" s="5"/>
      <c r="B763" s="5"/>
    </row>
    <row r="764" spans="1:2">
      <c r="A764" s="5"/>
      <c r="B764" s="5"/>
    </row>
    <row r="765" spans="1:2">
      <c r="A765" s="5"/>
      <c r="B765" s="5"/>
    </row>
    <row r="766" spans="1:2">
      <c r="A766" s="5"/>
      <c r="B766" s="5"/>
    </row>
    <row r="767" spans="1:2">
      <c r="A767" s="5"/>
      <c r="B767" s="5"/>
    </row>
    <row r="768" spans="1:2">
      <c r="A768" s="5"/>
      <c r="B768" s="5"/>
    </row>
    <row r="769" spans="1:2">
      <c r="A769" s="5"/>
      <c r="B769" s="5"/>
    </row>
    <row r="770" spans="1:2">
      <c r="A770" s="5"/>
      <c r="B770" s="5"/>
    </row>
    <row r="771" spans="1:2">
      <c r="A771" s="5"/>
      <c r="B771" s="5"/>
    </row>
    <row r="772" spans="1:2">
      <c r="A772" s="5"/>
      <c r="B772" s="5"/>
    </row>
    <row r="773" spans="1:2">
      <c r="A773" s="5"/>
      <c r="B773" s="5"/>
    </row>
    <row r="774" spans="1:2">
      <c r="A774" s="5"/>
      <c r="B774" s="5"/>
    </row>
    <row r="775" spans="1:2">
      <c r="A775" s="5"/>
      <c r="B775" s="5"/>
    </row>
    <row r="776" spans="1:2">
      <c r="A776" s="5"/>
      <c r="B776" s="5"/>
    </row>
    <row r="777" spans="1:2">
      <c r="A777" s="5"/>
      <c r="B777" s="5"/>
    </row>
    <row r="778" spans="1:2">
      <c r="A778" s="5"/>
      <c r="B778" s="5"/>
    </row>
    <row r="779" spans="1:2">
      <c r="A779" s="5"/>
      <c r="B779" s="5"/>
    </row>
    <row r="780" spans="1:2">
      <c r="A780" s="5"/>
      <c r="B780" s="5"/>
    </row>
    <row r="781" spans="1:2">
      <c r="A781" s="5"/>
      <c r="B781" s="5"/>
    </row>
    <row r="782" spans="1:2">
      <c r="A782" s="5"/>
      <c r="B782" s="5"/>
    </row>
    <row r="783" spans="1:2">
      <c r="A783" s="5"/>
      <c r="B783" s="5"/>
    </row>
    <row r="784" spans="1:2">
      <c r="A784" s="5"/>
      <c r="B784" s="5"/>
    </row>
    <row r="785" spans="1:2">
      <c r="A785" s="5"/>
      <c r="B785" s="5"/>
    </row>
    <row r="786" spans="1:2">
      <c r="A786" s="5"/>
      <c r="B786" s="5"/>
    </row>
    <row r="787" spans="1:2">
      <c r="A787" s="5"/>
      <c r="B787" s="5"/>
    </row>
    <row r="788" spans="1:2">
      <c r="A788" s="5"/>
      <c r="B788" s="5"/>
    </row>
    <row r="789" spans="1:2">
      <c r="A789" s="5"/>
      <c r="B789" s="5"/>
    </row>
    <row r="790" spans="1:2">
      <c r="A790" s="5"/>
      <c r="B790" s="5"/>
    </row>
    <row r="791" spans="1:2">
      <c r="A791" s="5"/>
      <c r="B791" s="5"/>
    </row>
    <row r="792" spans="1:2">
      <c r="A792" s="5"/>
      <c r="B792" s="5"/>
    </row>
    <row r="793" spans="1:2">
      <c r="A793" s="5"/>
      <c r="B793" s="5"/>
    </row>
    <row r="794" spans="1:2">
      <c r="A794" s="5"/>
      <c r="B794" s="5"/>
    </row>
    <row r="795" spans="1:2">
      <c r="A795" s="5"/>
      <c r="B795" s="5"/>
    </row>
    <row r="796" spans="1:2">
      <c r="A796" s="5"/>
      <c r="B796" s="5"/>
    </row>
    <row r="797" spans="1:2">
      <c r="A797" s="5"/>
      <c r="B797" s="5"/>
    </row>
    <row r="798" spans="1:2">
      <c r="A798" s="5"/>
      <c r="B798" s="5"/>
    </row>
    <row r="799" spans="1:2">
      <c r="A799" s="5"/>
      <c r="B799" s="5"/>
    </row>
    <row r="800" spans="1:2">
      <c r="A800" s="5"/>
      <c r="B800" s="5"/>
    </row>
    <row r="801" spans="1:2">
      <c r="A801" s="5"/>
      <c r="B801" s="5"/>
    </row>
    <row r="802" spans="1:2">
      <c r="A802" s="5"/>
      <c r="B802" s="5"/>
    </row>
    <row r="803" spans="1:2">
      <c r="A803" s="5"/>
      <c r="B803" s="5"/>
    </row>
    <row r="804" spans="1:2">
      <c r="A804" s="5"/>
      <c r="B804" s="5"/>
    </row>
    <row r="805" spans="1:2">
      <c r="A805" s="5"/>
      <c r="B805" s="5"/>
    </row>
    <row r="806" spans="1:2">
      <c r="A806" s="5"/>
      <c r="B806" s="5"/>
    </row>
    <row r="807" spans="1:2">
      <c r="A807" s="5"/>
      <c r="B807" s="5"/>
    </row>
    <row r="808" spans="1:2">
      <c r="A808" s="5"/>
      <c r="B808" s="5"/>
    </row>
    <row r="809" spans="1:2">
      <c r="A809" s="5"/>
      <c r="B809" s="5"/>
    </row>
    <row r="810" spans="1:2">
      <c r="A810" s="5"/>
      <c r="B810" s="5"/>
    </row>
    <row r="811" spans="1:2">
      <c r="A811" s="5"/>
      <c r="B811" s="5"/>
    </row>
    <row r="812" spans="1:2">
      <c r="A812" s="5"/>
      <c r="B812" s="5"/>
    </row>
    <row r="813" spans="1:2">
      <c r="A813" s="5"/>
      <c r="B813" s="5"/>
    </row>
    <row r="814" spans="1:2">
      <c r="A814" s="5"/>
      <c r="B814" s="5"/>
    </row>
    <row r="815" spans="1:2">
      <c r="A815" s="5"/>
      <c r="B815" s="5"/>
    </row>
    <row r="816" spans="1:2">
      <c r="A816" s="5"/>
      <c r="B816" s="5"/>
    </row>
    <row r="817" spans="1:2">
      <c r="A817" s="5"/>
      <c r="B817" s="5"/>
    </row>
    <row r="818" spans="1:2">
      <c r="A818" s="5"/>
      <c r="B818" s="5"/>
    </row>
    <row r="819" spans="1:2">
      <c r="A819" s="5"/>
      <c r="B819" s="5"/>
    </row>
    <row r="820" spans="1:2">
      <c r="A820" s="5"/>
      <c r="B820" s="5"/>
    </row>
    <row r="821" spans="1:2">
      <c r="A821" s="5"/>
      <c r="B821" s="5"/>
    </row>
    <row r="822" spans="1:2">
      <c r="A822" s="5"/>
      <c r="B822" s="5"/>
    </row>
    <row r="823" spans="1:2">
      <c r="A823" s="5"/>
      <c r="B823" s="5"/>
    </row>
    <row r="824" spans="1:2">
      <c r="A824" s="5"/>
      <c r="B824" s="5"/>
    </row>
    <row r="825" spans="1:2">
      <c r="A825" s="5"/>
      <c r="B825" s="5"/>
    </row>
    <row r="826" spans="1:2">
      <c r="A826" s="5"/>
      <c r="B826" s="5"/>
    </row>
    <row r="827" spans="1:2">
      <c r="A827" s="5"/>
      <c r="B827" s="5"/>
    </row>
    <row r="828" spans="1:2">
      <c r="A828" s="5"/>
      <c r="B828" s="5"/>
    </row>
    <row r="829" spans="1:2">
      <c r="A829" s="5"/>
      <c r="B829" s="5"/>
    </row>
    <row r="830" spans="1:2">
      <c r="A830" s="5"/>
      <c r="B830" s="5"/>
    </row>
    <row r="831" spans="1:2">
      <c r="A831" s="5"/>
      <c r="B831" s="5"/>
    </row>
    <row r="832" spans="1:2">
      <c r="A832" s="5"/>
      <c r="B832" s="5"/>
    </row>
    <row r="833" spans="1:2">
      <c r="A833" s="5"/>
      <c r="B833" s="5"/>
    </row>
    <row r="834" spans="1:2">
      <c r="A834" s="5"/>
      <c r="B834" s="5"/>
    </row>
    <row r="835" spans="1:2">
      <c r="A835" s="5"/>
      <c r="B835" s="5"/>
    </row>
    <row r="836" spans="1:2">
      <c r="A836" s="5"/>
      <c r="B836" s="5"/>
    </row>
    <row r="837" spans="1:2">
      <c r="A837" s="5"/>
      <c r="B837" s="5"/>
    </row>
    <row r="838" spans="1:2">
      <c r="A838" s="5"/>
      <c r="B838" s="5"/>
    </row>
    <row r="839" spans="1:2">
      <c r="A839" s="5"/>
      <c r="B839" s="5"/>
    </row>
    <row r="840" spans="1:2">
      <c r="A840" s="5"/>
      <c r="B840" s="5"/>
    </row>
    <row r="841" spans="1:2">
      <c r="A841" s="5"/>
      <c r="B841" s="5"/>
    </row>
    <row r="842" spans="1:2">
      <c r="A842" s="5"/>
      <c r="B842" s="5"/>
    </row>
    <row r="843" spans="1:2">
      <c r="A843" s="5"/>
      <c r="B843" s="5"/>
    </row>
    <row r="844" spans="1:2">
      <c r="A844" s="5"/>
      <c r="B844" s="5"/>
    </row>
    <row r="845" spans="1:2">
      <c r="A845" s="5"/>
      <c r="B845" s="5"/>
    </row>
    <row r="846" spans="1:2">
      <c r="A846" s="5"/>
      <c r="B846" s="5"/>
    </row>
    <row r="847" spans="1:2">
      <c r="A847" s="5"/>
      <c r="B847" s="5"/>
    </row>
    <row r="848" spans="1:2">
      <c r="A848" s="5"/>
      <c r="B848" s="5"/>
    </row>
    <row r="849" spans="1:2">
      <c r="A849" s="5"/>
      <c r="B849" s="5"/>
    </row>
    <row r="850" spans="1:2">
      <c r="A850" s="5"/>
      <c r="B850" s="5"/>
    </row>
    <row r="851" spans="1:2">
      <c r="A851" s="5"/>
      <c r="B851" s="5"/>
    </row>
    <row r="852" spans="1:2">
      <c r="A852" s="5"/>
      <c r="B852" s="5"/>
    </row>
    <row r="853" spans="1:2">
      <c r="A853" s="5"/>
      <c r="B853" s="5"/>
    </row>
    <row r="854" spans="1:2">
      <c r="A854" s="5"/>
      <c r="B854" s="5"/>
    </row>
    <row r="855" spans="1:2">
      <c r="A855" s="5"/>
      <c r="B855" s="5"/>
    </row>
    <row r="856" spans="1:2">
      <c r="A856" s="5"/>
      <c r="B856" s="5"/>
    </row>
    <row r="857" spans="1:2">
      <c r="A857" s="5"/>
      <c r="B857" s="5"/>
    </row>
    <row r="858" spans="1:2">
      <c r="A858" s="5"/>
      <c r="B858" s="5"/>
    </row>
    <row r="859" spans="1:2">
      <c r="A859" s="5"/>
      <c r="B859" s="5"/>
    </row>
    <row r="860" spans="1:2">
      <c r="A860" s="5"/>
      <c r="B860" s="5"/>
    </row>
    <row r="861" spans="1:2">
      <c r="A861" s="5"/>
      <c r="B861" s="5"/>
    </row>
    <row r="862" spans="1:2">
      <c r="A862" s="5"/>
      <c r="B862" s="5"/>
    </row>
    <row r="863" spans="1:2">
      <c r="A863" s="5"/>
      <c r="B863" s="5"/>
    </row>
    <row r="864" spans="1:2">
      <c r="A864" s="5"/>
      <c r="B864" s="5"/>
    </row>
    <row r="865" spans="1:2">
      <c r="A865" s="5"/>
      <c r="B865" s="5"/>
    </row>
    <row r="866" spans="1:2">
      <c r="A866" s="5"/>
      <c r="B866" s="5"/>
    </row>
    <row r="867" spans="1:2">
      <c r="A867" s="5"/>
      <c r="B867" s="5"/>
    </row>
    <row r="868" spans="1:2">
      <c r="A868" s="5"/>
      <c r="B868" s="5"/>
    </row>
    <row r="869" spans="1:2">
      <c r="A869" s="5"/>
      <c r="B869" s="5"/>
    </row>
    <row r="870" spans="1:2">
      <c r="A870" s="5"/>
      <c r="B870" s="5"/>
    </row>
    <row r="871" spans="1:2">
      <c r="A871" s="5"/>
      <c r="B871" s="5"/>
    </row>
    <row r="872" spans="1:2">
      <c r="A872" s="5"/>
      <c r="B872" s="5"/>
    </row>
    <row r="873" spans="1:2">
      <c r="A873" s="5"/>
      <c r="B873" s="5"/>
    </row>
    <row r="874" spans="1:2">
      <c r="A874" s="5"/>
      <c r="B874" s="5"/>
    </row>
    <row r="875" spans="1:2">
      <c r="A875" s="5"/>
      <c r="B875" s="5"/>
    </row>
    <row r="876" spans="1:2">
      <c r="A876" s="5"/>
      <c r="B876" s="5"/>
    </row>
    <row r="877" spans="1:2">
      <c r="A877" s="5"/>
      <c r="B877" s="5"/>
    </row>
    <row r="878" spans="1:2">
      <c r="A878" s="5"/>
      <c r="B878" s="5"/>
    </row>
    <row r="879" spans="1:2">
      <c r="A879" s="5"/>
      <c r="B879" s="5"/>
    </row>
    <row r="880" spans="1:2">
      <c r="A880" s="5"/>
      <c r="B880" s="5"/>
    </row>
    <row r="881" spans="1:2">
      <c r="A881" s="5"/>
      <c r="B881" s="5"/>
    </row>
    <row r="882" spans="1:2">
      <c r="A882" s="5"/>
      <c r="B882" s="5"/>
    </row>
    <row r="883" spans="1:2">
      <c r="A883" s="5"/>
      <c r="B883" s="5"/>
    </row>
    <row r="884" spans="1:2">
      <c r="A884" s="5"/>
      <c r="B884" s="5"/>
    </row>
    <row r="885" spans="1:2">
      <c r="A885" s="5"/>
      <c r="B885" s="5"/>
    </row>
    <row r="886" spans="1:2">
      <c r="A886" s="5"/>
      <c r="B886" s="5"/>
    </row>
    <row r="887" spans="1:2">
      <c r="A887" s="5"/>
      <c r="B887" s="5"/>
    </row>
    <row r="888" spans="1:2">
      <c r="A888" s="5"/>
      <c r="B888" s="5"/>
    </row>
    <row r="889" spans="1:2">
      <c r="A889" s="5"/>
      <c r="B889" s="5"/>
    </row>
    <row r="890" spans="1:2">
      <c r="A890" s="5"/>
      <c r="B890" s="5"/>
    </row>
    <row r="891" spans="1:2">
      <c r="A891" s="5"/>
      <c r="B891" s="5"/>
    </row>
    <row r="892" spans="1:2">
      <c r="A892" s="5"/>
      <c r="B892" s="5"/>
    </row>
    <row r="893" spans="1:2">
      <c r="A893" s="5"/>
      <c r="B893" s="5"/>
    </row>
    <row r="894" spans="1:2">
      <c r="A894" s="5"/>
      <c r="B894" s="5"/>
    </row>
    <row r="895" spans="1:2">
      <c r="A895" s="5"/>
      <c r="B895" s="5"/>
    </row>
    <row r="896" spans="1:2">
      <c r="A896" s="5"/>
      <c r="B896" s="5"/>
    </row>
    <row r="897" spans="1:2">
      <c r="A897" s="5"/>
      <c r="B897" s="5"/>
    </row>
    <row r="898" spans="1:2">
      <c r="A898" s="5"/>
      <c r="B898" s="5"/>
    </row>
    <row r="899" spans="1:2">
      <c r="A899" s="5"/>
      <c r="B899" s="5"/>
    </row>
    <row r="900" spans="1:2">
      <c r="A900" s="5"/>
      <c r="B900" s="5"/>
    </row>
    <row r="901" spans="1:2">
      <c r="A901" s="5"/>
      <c r="B901" s="5"/>
    </row>
    <row r="902" spans="1:2">
      <c r="A902" s="5"/>
      <c r="B902" s="5"/>
    </row>
    <row r="903" spans="1:2">
      <c r="A903" s="5"/>
      <c r="B903" s="5"/>
    </row>
    <row r="904" spans="1:2">
      <c r="A904" s="5"/>
      <c r="B904" s="5"/>
    </row>
    <row r="905" spans="1:2">
      <c r="A905" s="5"/>
      <c r="B905" s="5"/>
    </row>
    <row r="906" spans="1:2">
      <c r="A906" s="5"/>
      <c r="B906" s="5"/>
    </row>
    <row r="907" spans="1:2">
      <c r="A907" s="5"/>
      <c r="B907" s="5"/>
    </row>
    <row r="908" spans="1:2">
      <c r="A908" s="5"/>
      <c r="B908" s="5"/>
    </row>
    <row r="909" spans="1:2">
      <c r="A909" s="5"/>
      <c r="B909" s="5"/>
    </row>
    <row r="910" spans="1:2">
      <c r="A910" s="5"/>
      <c r="B910" s="5"/>
    </row>
    <row r="911" spans="1:2">
      <c r="A911" s="5"/>
      <c r="B911" s="5"/>
    </row>
    <row r="912" spans="1:2">
      <c r="A912" s="5"/>
      <c r="B912" s="5"/>
    </row>
    <row r="913" spans="1:2">
      <c r="A913" s="5"/>
      <c r="B913" s="5"/>
    </row>
    <row r="914" spans="1:2">
      <c r="A914" s="5"/>
      <c r="B914" s="5"/>
    </row>
    <row r="915" spans="1:2">
      <c r="A915" s="5"/>
      <c r="B915" s="5"/>
    </row>
    <row r="916" spans="1:2">
      <c r="A916" s="5"/>
      <c r="B916" s="5"/>
    </row>
    <row r="917" spans="1:2">
      <c r="A917" s="5"/>
      <c r="B917" s="5"/>
    </row>
    <row r="918" spans="1:2">
      <c r="A918" s="5"/>
      <c r="B918" s="5"/>
    </row>
    <row r="919" spans="1:2">
      <c r="A919" s="5"/>
      <c r="B919" s="5"/>
    </row>
    <row r="920" spans="1:2">
      <c r="A920" s="5"/>
      <c r="B920" s="5"/>
    </row>
    <row r="921" spans="1:2">
      <c r="A921" s="5"/>
      <c r="B921" s="5"/>
    </row>
    <row r="922" spans="1:2">
      <c r="A922" s="5"/>
      <c r="B922" s="5"/>
    </row>
    <row r="923" spans="1:2">
      <c r="A923" s="5"/>
      <c r="B923" s="5"/>
    </row>
    <row r="924" spans="1:2">
      <c r="A924" s="5"/>
      <c r="B924" s="5"/>
    </row>
    <row r="925" spans="1:2">
      <c r="A925" s="5"/>
      <c r="B925" s="5"/>
    </row>
    <row r="926" spans="1:2">
      <c r="A926" s="5"/>
      <c r="B926" s="5"/>
    </row>
    <row r="927" spans="1:2">
      <c r="A927" s="5"/>
      <c r="B927" s="5"/>
    </row>
    <row r="928" spans="1:2">
      <c r="A928" s="5"/>
      <c r="B928" s="5"/>
    </row>
    <row r="929" spans="1:2">
      <c r="A929" s="5"/>
      <c r="B929" s="5"/>
    </row>
    <row r="930" spans="1:2">
      <c r="A930" s="5"/>
      <c r="B930" s="5"/>
    </row>
    <row r="931" spans="1:2">
      <c r="A931" s="5"/>
      <c r="B931" s="5"/>
    </row>
    <row r="932" spans="1:2">
      <c r="A932" s="5"/>
      <c r="B932" s="5"/>
    </row>
    <row r="933" spans="1:2">
      <c r="A933" s="5"/>
      <c r="B933" s="5"/>
    </row>
    <row r="934" spans="1:2">
      <c r="A934" s="5"/>
      <c r="B934" s="5"/>
    </row>
    <row r="935" spans="1:2">
      <c r="A935" s="5"/>
      <c r="B935" s="5"/>
    </row>
    <row r="936" spans="1:2">
      <c r="A936" s="5"/>
      <c r="B936" s="5"/>
    </row>
    <row r="937" spans="1:2">
      <c r="A937" s="5"/>
      <c r="B937" s="5"/>
    </row>
    <row r="938" spans="1:2">
      <c r="A938" s="5"/>
      <c r="B938" s="5"/>
    </row>
    <row r="939" spans="1:2">
      <c r="A939" s="5"/>
      <c r="B939" s="5"/>
    </row>
    <row r="940" spans="1:2">
      <c r="A940" s="5"/>
      <c r="B940" s="5"/>
    </row>
    <row r="941" spans="1:2">
      <c r="A941" s="5"/>
      <c r="B941" s="5"/>
    </row>
    <row r="942" spans="1:2">
      <c r="A942" s="5"/>
      <c r="B942" s="5"/>
    </row>
    <row r="943" spans="1:2">
      <c r="A943" s="5"/>
      <c r="B943" s="5"/>
    </row>
    <row r="944" spans="1:2">
      <c r="A944" s="5"/>
      <c r="B944" s="5"/>
    </row>
    <row r="945" spans="1:2">
      <c r="A945" s="5"/>
      <c r="B945" s="5"/>
    </row>
    <row r="946" spans="1:2">
      <c r="A946" s="5"/>
      <c r="B946" s="5"/>
    </row>
    <row r="947" spans="1:2">
      <c r="A947" s="5"/>
      <c r="B947" s="5"/>
    </row>
    <row r="948" spans="1:2">
      <c r="A948" s="5"/>
      <c r="B948" s="5"/>
    </row>
    <row r="949" spans="1:2">
      <c r="A949" s="5"/>
      <c r="B949" s="5"/>
    </row>
    <row r="950" spans="1:2">
      <c r="A950" s="5"/>
      <c r="B950" s="5"/>
    </row>
    <row r="951" spans="1:2">
      <c r="A951" s="5"/>
      <c r="B951" s="5"/>
    </row>
    <row r="952" spans="1:2">
      <c r="A952" s="5"/>
      <c r="B952" s="5"/>
    </row>
    <row r="953" spans="1:2">
      <c r="A953" s="5"/>
      <c r="B953" s="5"/>
    </row>
    <row r="954" spans="1:2">
      <c r="A954" s="5"/>
      <c r="B954" s="5"/>
    </row>
    <row r="955" spans="1:2">
      <c r="A955" s="5"/>
      <c r="B955" s="5"/>
    </row>
    <row r="956" spans="1:2">
      <c r="A956" s="5"/>
      <c r="B956" s="5"/>
    </row>
    <row r="957" spans="1:2">
      <c r="A957" s="5"/>
      <c r="B957" s="5"/>
    </row>
    <row r="958" spans="1:2">
      <c r="A958" s="5"/>
      <c r="B958" s="5"/>
    </row>
    <row r="959" spans="1:2">
      <c r="A959" s="5"/>
      <c r="B959" s="5"/>
    </row>
    <row r="960" spans="1:2">
      <c r="A960" s="5"/>
      <c r="B960" s="5"/>
    </row>
    <row r="961" spans="1:2">
      <c r="A961" s="5"/>
      <c r="B961" s="5"/>
    </row>
    <row r="962" spans="1:2">
      <c r="A962" s="5"/>
      <c r="B962" s="5"/>
    </row>
    <row r="963" spans="1:2">
      <c r="A963" s="5"/>
      <c r="B963" s="5"/>
    </row>
    <row r="964" spans="1:2">
      <c r="A964" s="5"/>
      <c r="B964" s="5"/>
    </row>
    <row r="965" spans="1:2">
      <c r="A965" s="5"/>
      <c r="B965" s="5"/>
    </row>
    <row r="966" spans="1:2">
      <c r="A966" s="5"/>
      <c r="B966" s="5"/>
    </row>
    <row r="967" spans="1:2">
      <c r="A967" s="5"/>
      <c r="B967" s="5"/>
    </row>
    <row r="968" spans="1:2">
      <c r="A968" s="5"/>
      <c r="B968" s="5"/>
    </row>
    <row r="969" spans="1:2">
      <c r="A969" s="5"/>
      <c r="B969" s="5"/>
    </row>
    <row r="970" spans="1:2">
      <c r="A970" s="5"/>
      <c r="B970" s="5"/>
    </row>
    <row r="971" spans="1:2">
      <c r="A971" s="5"/>
      <c r="B971" s="5"/>
    </row>
    <row r="972" spans="1:2">
      <c r="A972" s="5"/>
      <c r="B972" s="5"/>
    </row>
    <row r="973" spans="1:2">
      <c r="A973" s="5"/>
      <c r="B973" s="5"/>
    </row>
    <row r="974" spans="1:2">
      <c r="A974" s="5"/>
      <c r="B974" s="5"/>
    </row>
    <row r="975" spans="1:2">
      <c r="A975" s="5"/>
      <c r="B975" s="5"/>
    </row>
    <row r="976" spans="1:2">
      <c r="A976" s="5"/>
      <c r="B976" s="5"/>
    </row>
    <row r="977" spans="1:2">
      <c r="A977" s="5"/>
      <c r="B977" s="5"/>
    </row>
    <row r="978" spans="1:2">
      <c r="A978" s="5"/>
      <c r="B978" s="5"/>
    </row>
    <row r="979" spans="1:2">
      <c r="A979" s="5"/>
      <c r="B979" s="5"/>
    </row>
    <row r="980" spans="1:2">
      <c r="A980" s="5"/>
      <c r="B980" s="5"/>
    </row>
    <row r="981" spans="1:2">
      <c r="A981" s="5"/>
      <c r="B981" s="5"/>
    </row>
    <row r="982" spans="1:2">
      <c r="A982" s="5"/>
      <c r="B982" s="5"/>
    </row>
    <row r="983" spans="1:2">
      <c r="A983" s="5"/>
      <c r="B983" s="5"/>
    </row>
    <row r="984" spans="1:2">
      <c r="A984" s="5"/>
      <c r="B984" s="5"/>
    </row>
    <row r="985" spans="1:2">
      <c r="A985" s="5"/>
      <c r="B985" s="5"/>
    </row>
    <row r="986" spans="1:2">
      <c r="A986" s="5"/>
      <c r="B986" s="5"/>
    </row>
    <row r="987" spans="1:2">
      <c r="A987" s="5"/>
      <c r="B987" s="5"/>
    </row>
    <row r="988" spans="1:2">
      <c r="A988" s="5"/>
      <c r="B988" s="5"/>
    </row>
    <row r="989" spans="1:2">
      <c r="A989" s="5"/>
      <c r="B989" s="5"/>
    </row>
    <row r="990" spans="1:2">
      <c r="A990" s="5"/>
      <c r="B990" s="5"/>
    </row>
    <row r="991" spans="1:2">
      <c r="A991" s="5"/>
      <c r="B991" s="5"/>
    </row>
    <row r="992" spans="1:2">
      <c r="A992" s="5"/>
      <c r="B992" s="5"/>
    </row>
    <row r="993" spans="1:2">
      <c r="A993" s="5"/>
      <c r="B993" s="5"/>
    </row>
    <row r="994" spans="1:2">
      <c r="A994" s="5"/>
      <c r="B994" s="5"/>
    </row>
    <row r="995" spans="1:2">
      <c r="A995" s="5"/>
      <c r="B995" s="5"/>
    </row>
    <row r="996" spans="1:2">
      <c r="A996" s="5"/>
      <c r="B996" s="5"/>
    </row>
    <row r="997" spans="1:2">
      <c r="A997" s="5"/>
      <c r="B997" s="5"/>
    </row>
    <row r="998" spans="1:2">
      <c r="A998" s="5"/>
      <c r="B998" s="5"/>
    </row>
    <row r="999" spans="1:2">
      <c r="A999" s="5"/>
      <c r="B999" s="5"/>
    </row>
    <row r="1000" spans="1:2">
      <c r="A1000" s="5"/>
      <c r="B1000" s="5"/>
    </row>
  </sheetData>
  <phoneticPr fontId="2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2B3B-AC06-4F80-9EF4-A9F800BFB17E}">
  <sheetPr codeName="Sheet8"/>
  <dimension ref="A1:G1007"/>
  <sheetViews>
    <sheetView workbookViewId="0">
      <pane ySplit="1" topLeftCell="A848" activePane="bottomLeft" state="frozen"/>
      <selection pane="bottomLeft" activeCell="E447" sqref="E447"/>
    </sheetView>
  </sheetViews>
  <sheetFormatPr defaultRowHeight="13.5"/>
  <cols>
    <col min="1" max="2" width="15" customWidth="1"/>
    <col min="3" max="3" width="35.75" customWidth="1"/>
    <col min="4" max="4" width="42.25" bestFit="1" customWidth="1"/>
    <col min="5" max="5" width="12" customWidth="1"/>
    <col min="6" max="6" width="12.75" bestFit="1" customWidth="1"/>
    <col min="7" max="7" width="10.75" bestFit="1" customWidth="1"/>
  </cols>
  <sheetData>
    <row r="1" spans="1:7">
      <c r="A1" s="6" t="s">
        <v>4</v>
      </c>
      <c r="B1" s="6" t="s">
        <v>48</v>
      </c>
      <c r="C1" s="6" t="s">
        <v>189</v>
      </c>
      <c r="D1" s="6" t="s">
        <v>190</v>
      </c>
      <c r="E1" s="6" t="s">
        <v>49</v>
      </c>
      <c r="F1" s="6" t="s">
        <v>1919</v>
      </c>
      <c r="G1" s="6" t="s">
        <v>2143</v>
      </c>
    </row>
    <row r="2" spans="1:7">
      <c r="A2" s="5" t="s">
        <v>191</v>
      </c>
      <c r="B2" s="5" t="s">
        <v>192</v>
      </c>
      <c r="C2" t="s">
        <v>193</v>
      </c>
      <c r="D2" t="s">
        <v>193</v>
      </c>
    </row>
    <row r="3" spans="1:7">
      <c r="A3" s="5" t="s">
        <v>194</v>
      </c>
      <c r="B3" s="5" t="s">
        <v>195</v>
      </c>
      <c r="C3" t="s">
        <v>196</v>
      </c>
      <c r="D3" t="s">
        <v>196</v>
      </c>
    </row>
    <row r="4" spans="1:7">
      <c r="A4" s="5" t="s">
        <v>197</v>
      </c>
      <c r="B4" s="5" t="s">
        <v>198</v>
      </c>
      <c r="C4" t="s">
        <v>199</v>
      </c>
      <c r="D4" t="s">
        <v>199</v>
      </c>
    </row>
    <row r="5" spans="1:7">
      <c r="A5" s="5" t="s">
        <v>200</v>
      </c>
      <c r="B5" s="5" t="s">
        <v>201</v>
      </c>
      <c r="C5" t="s">
        <v>202</v>
      </c>
      <c r="D5" t="s">
        <v>202</v>
      </c>
    </row>
    <row r="6" spans="1:7">
      <c r="A6" s="5" t="s">
        <v>203</v>
      </c>
      <c r="B6" s="5" t="s">
        <v>204</v>
      </c>
      <c r="C6" t="s">
        <v>205</v>
      </c>
      <c r="D6" t="s">
        <v>205</v>
      </c>
    </row>
    <row r="7" spans="1:7">
      <c r="A7" s="5" t="s">
        <v>206</v>
      </c>
      <c r="B7" s="5" t="s">
        <v>207</v>
      </c>
      <c r="C7" t="s">
        <v>208</v>
      </c>
      <c r="D7" t="s">
        <v>208</v>
      </c>
    </row>
    <row r="8" spans="1:7">
      <c r="A8" s="5" t="s">
        <v>209</v>
      </c>
      <c r="B8" s="5" t="s">
        <v>210</v>
      </c>
      <c r="C8" t="s">
        <v>211</v>
      </c>
      <c r="D8" t="s">
        <v>211</v>
      </c>
    </row>
    <row r="9" spans="1:7">
      <c r="A9" s="5" t="s">
        <v>212</v>
      </c>
      <c r="B9" s="5" t="s">
        <v>213</v>
      </c>
      <c r="C9" t="s">
        <v>214</v>
      </c>
      <c r="D9" t="s">
        <v>214</v>
      </c>
    </row>
    <row r="10" spans="1:7">
      <c r="A10" s="5" t="s">
        <v>215</v>
      </c>
      <c r="B10" s="5" t="s">
        <v>216</v>
      </c>
      <c r="C10" t="s">
        <v>217</v>
      </c>
      <c r="D10" t="s">
        <v>217</v>
      </c>
    </row>
    <row r="11" spans="1:7">
      <c r="A11" s="5" t="s">
        <v>218</v>
      </c>
      <c r="B11" s="5" t="s">
        <v>219</v>
      </c>
      <c r="C11" t="s">
        <v>220</v>
      </c>
      <c r="D11" t="s">
        <v>220</v>
      </c>
    </row>
    <row r="12" spans="1:7">
      <c r="A12" s="5" t="s">
        <v>221</v>
      </c>
      <c r="B12" s="5" t="s">
        <v>222</v>
      </c>
      <c r="C12" t="s">
        <v>223</v>
      </c>
      <c r="D12" t="s">
        <v>223</v>
      </c>
    </row>
    <row r="13" spans="1:7">
      <c r="A13" s="5" t="s">
        <v>224</v>
      </c>
      <c r="B13" s="5" t="s">
        <v>225</v>
      </c>
      <c r="C13" t="s">
        <v>226</v>
      </c>
      <c r="D13" t="s">
        <v>226</v>
      </c>
    </row>
    <row r="14" spans="1:7">
      <c r="A14" s="5" t="s">
        <v>227</v>
      </c>
      <c r="B14" s="5" t="s">
        <v>228</v>
      </c>
      <c r="C14" t="s">
        <v>229</v>
      </c>
      <c r="D14" t="s">
        <v>229</v>
      </c>
    </row>
    <row r="15" spans="1:7">
      <c r="A15" s="5" t="s">
        <v>230</v>
      </c>
      <c r="B15" s="5" t="s">
        <v>231</v>
      </c>
      <c r="C15" t="s">
        <v>232</v>
      </c>
      <c r="D15" t="s">
        <v>232</v>
      </c>
    </row>
    <row r="16" spans="1:7">
      <c r="A16" s="5" t="s">
        <v>233</v>
      </c>
      <c r="B16" s="5" t="s">
        <v>234</v>
      </c>
      <c r="C16" t="s">
        <v>235</v>
      </c>
      <c r="D16" t="s">
        <v>235</v>
      </c>
    </row>
    <row r="17" spans="1:4">
      <c r="A17" s="5" t="s">
        <v>236</v>
      </c>
      <c r="B17" s="5" t="s">
        <v>237</v>
      </c>
      <c r="C17" t="s">
        <v>238</v>
      </c>
      <c r="D17" t="s">
        <v>238</v>
      </c>
    </row>
    <row r="18" spans="1:4">
      <c r="A18" s="5" t="s">
        <v>239</v>
      </c>
      <c r="B18" s="5" t="s">
        <v>240</v>
      </c>
      <c r="C18" t="s">
        <v>241</v>
      </c>
      <c r="D18" t="s">
        <v>241</v>
      </c>
    </row>
    <row r="19" spans="1:4">
      <c r="A19" s="5" t="s">
        <v>242</v>
      </c>
      <c r="B19" s="5" t="s">
        <v>243</v>
      </c>
      <c r="C19" t="s">
        <v>244</v>
      </c>
      <c r="D19" t="s">
        <v>244</v>
      </c>
    </row>
    <row r="20" spans="1:4">
      <c r="A20" s="5" t="s">
        <v>245</v>
      </c>
      <c r="B20" s="5" t="s">
        <v>246</v>
      </c>
      <c r="C20" t="s">
        <v>247</v>
      </c>
      <c r="D20" t="s">
        <v>247</v>
      </c>
    </row>
    <row r="21" spans="1:4">
      <c r="A21" s="5" t="s">
        <v>248</v>
      </c>
      <c r="B21" s="5" t="s">
        <v>249</v>
      </c>
      <c r="C21" t="s">
        <v>250</v>
      </c>
      <c r="D21" t="s">
        <v>250</v>
      </c>
    </row>
    <row r="22" spans="1:4">
      <c r="A22" s="5" t="s">
        <v>251</v>
      </c>
      <c r="B22" s="5" t="s">
        <v>252</v>
      </c>
      <c r="C22" t="s">
        <v>253</v>
      </c>
      <c r="D22" t="s">
        <v>253</v>
      </c>
    </row>
    <row r="23" spans="1:4">
      <c r="A23" s="5" t="s">
        <v>254</v>
      </c>
      <c r="B23" s="5" t="s">
        <v>255</v>
      </c>
      <c r="C23" t="s">
        <v>256</v>
      </c>
      <c r="D23" t="s">
        <v>256</v>
      </c>
    </row>
    <row r="24" spans="1:4">
      <c r="A24" s="5" t="s">
        <v>257</v>
      </c>
      <c r="B24" s="5" t="s">
        <v>258</v>
      </c>
      <c r="C24" t="s">
        <v>259</v>
      </c>
      <c r="D24" t="s">
        <v>259</v>
      </c>
    </row>
    <row r="25" spans="1:4">
      <c r="A25" s="5" t="s">
        <v>260</v>
      </c>
      <c r="B25" s="5" t="s">
        <v>261</v>
      </c>
      <c r="C25" t="s">
        <v>262</v>
      </c>
      <c r="D25" t="s">
        <v>262</v>
      </c>
    </row>
    <row r="26" spans="1:4">
      <c r="A26" s="5" t="s">
        <v>263</v>
      </c>
      <c r="B26" s="5" t="s">
        <v>264</v>
      </c>
      <c r="C26" t="s">
        <v>265</v>
      </c>
      <c r="D26" t="s">
        <v>265</v>
      </c>
    </row>
    <row r="27" spans="1:4">
      <c r="A27" s="5" t="s">
        <v>266</v>
      </c>
      <c r="B27" s="5" t="s">
        <v>267</v>
      </c>
      <c r="C27" t="s">
        <v>268</v>
      </c>
      <c r="D27" t="s">
        <v>268</v>
      </c>
    </row>
    <row r="28" spans="1:4">
      <c r="A28" s="5" t="s">
        <v>221</v>
      </c>
      <c r="B28" s="5" t="s">
        <v>222</v>
      </c>
      <c r="C28" t="s">
        <v>223</v>
      </c>
      <c r="D28" t="s">
        <v>223</v>
      </c>
    </row>
    <row r="29" spans="1:4">
      <c r="A29" s="5" t="s">
        <v>236</v>
      </c>
      <c r="B29" s="5" t="s">
        <v>237</v>
      </c>
      <c r="C29" t="s">
        <v>238</v>
      </c>
      <c r="D29" t="s">
        <v>238</v>
      </c>
    </row>
    <row r="30" spans="1:4">
      <c r="A30" s="5" t="s">
        <v>239</v>
      </c>
      <c r="B30" s="5" t="s">
        <v>240</v>
      </c>
      <c r="C30" t="s">
        <v>241</v>
      </c>
      <c r="D30" t="s">
        <v>241</v>
      </c>
    </row>
    <row r="31" spans="1:4">
      <c r="A31" s="5" t="s">
        <v>245</v>
      </c>
      <c r="B31" s="5" t="s">
        <v>246</v>
      </c>
      <c r="C31" t="s">
        <v>247</v>
      </c>
      <c r="D31" t="s">
        <v>247</v>
      </c>
    </row>
    <row r="32" spans="1:4">
      <c r="A32" s="5" t="s">
        <v>248</v>
      </c>
      <c r="B32" s="5" t="s">
        <v>249</v>
      </c>
      <c r="C32" t="s">
        <v>250</v>
      </c>
      <c r="D32" t="s">
        <v>250</v>
      </c>
    </row>
    <row r="33" spans="1:4">
      <c r="A33" s="5" t="s">
        <v>233</v>
      </c>
      <c r="B33" s="5" t="s">
        <v>234</v>
      </c>
      <c r="C33" t="s">
        <v>235</v>
      </c>
      <c r="D33" t="s">
        <v>235</v>
      </c>
    </row>
    <row r="34" spans="1:4">
      <c r="A34" s="5" t="s">
        <v>224</v>
      </c>
      <c r="B34" s="5" t="s">
        <v>225</v>
      </c>
      <c r="C34" t="s">
        <v>226</v>
      </c>
      <c r="D34" t="s">
        <v>226</v>
      </c>
    </row>
    <row r="35" spans="1:4">
      <c r="A35" s="5" t="s">
        <v>257</v>
      </c>
      <c r="B35" s="5" t="s">
        <v>258</v>
      </c>
      <c r="C35" t="s">
        <v>259</v>
      </c>
      <c r="D35" t="s">
        <v>259</v>
      </c>
    </row>
    <row r="36" spans="1:4">
      <c r="A36" s="5" t="s">
        <v>266</v>
      </c>
      <c r="B36" s="5" t="s">
        <v>267</v>
      </c>
      <c r="C36" t="s">
        <v>268</v>
      </c>
      <c r="D36" t="s">
        <v>268</v>
      </c>
    </row>
    <row r="37" spans="1:4">
      <c r="A37" s="5" t="s">
        <v>269</v>
      </c>
      <c r="B37" s="5" t="s">
        <v>270</v>
      </c>
      <c r="C37" t="s">
        <v>271</v>
      </c>
      <c r="D37" t="s">
        <v>271</v>
      </c>
    </row>
    <row r="38" spans="1:4">
      <c r="A38" s="5" t="s">
        <v>272</v>
      </c>
      <c r="B38" s="5" t="s">
        <v>273</v>
      </c>
      <c r="C38" t="s">
        <v>274</v>
      </c>
      <c r="D38" t="s">
        <v>274</v>
      </c>
    </row>
    <row r="39" spans="1:4">
      <c r="A39" s="5" t="s">
        <v>275</v>
      </c>
      <c r="B39" s="5" t="s">
        <v>276</v>
      </c>
      <c r="C39" t="s">
        <v>277</v>
      </c>
      <c r="D39" t="s">
        <v>277</v>
      </c>
    </row>
    <row r="40" spans="1:4">
      <c r="A40" s="5" t="s">
        <v>278</v>
      </c>
      <c r="B40" s="5" t="s">
        <v>276</v>
      </c>
      <c r="C40" t="s">
        <v>279</v>
      </c>
      <c r="D40" t="s">
        <v>279</v>
      </c>
    </row>
    <row r="41" spans="1:4">
      <c r="A41" s="5" t="s">
        <v>280</v>
      </c>
      <c r="B41" s="5" t="s">
        <v>276</v>
      </c>
      <c r="C41" t="s">
        <v>281</v>
      </c>
      <c r="D41" t="s">
        <v>281</v>
      </c>
    </row>
    <row r="42" spans="1:4">
      <c r="A42" s="5" t="s">
        <v>282</v>
      </c>
      <c r="B42" s="5" t="s">
        <v>283</v>
      </c>
      <c r="C42" t="s">
        <v>284</v>
      </c>
      <c r="D42" t="s">
        <v>284</v>
      </c>
    </row>
    <row r="43" spans="1:4">
      <c r="A43" s="5" t="s">
        <v>285</v>
      </c>
      <c r="B43" s="5" t="s">
        <v>283</v>
      </c>
      <c r="C43" t="s">
        <v>286</v>
      </c>
      <c r="D43" t="s">
        <v>286</v>
      </c>
    </row>
    <row r="44" spans="1:4">
      <c r="A44" s="5" t="s">
        <v>287</v>
      </c>
      <c r="B44" s="5" t="s">
        <v>283</v>
      </c>
      <c r="C44" t="s">
        <v>288</v>
      </c>
      <c r="D44" t="s">
        <v>288</v>
      </c>
    </row>
    <row r="45" spans="1:4">
      <c r="A45" s="5" t="s">
        <v>289</v>
      </c>
      <c r="B45" s="5" t="s">
        <v>290</v>
      </c>
      <c r="C45" t="s">
        <v>291</v>
      </c>
      <c r="D45" t="s">
        <v>291</v>
      </c>
    </row>
    <row r="46" spans="1:4">
      <c r="A46" s="5" t="s">
        <v>292</v>
      </c>
      <c r="B46" s="5" t="s">
        <v>290</v>
      </c>
      <c r="C46" t="s">
        <v>293</v>
      </c>
      <c r="D46" t="s">
        <v>293</v>
      </c>
    </row>
    <row r="47" spans="1:4">
      <c r="A47" s="5" t="s">
        <v>294</v>
      </c>
      <c r="B47" s="5" t="s">
        <v>290</v>
      </c>
      <c r="C47" t="s">
        <v>295</v>
      </c>
      <c r="D47" t="s">
        <v>295</v>
      </c>
    </row>
    <row r="48" spans="1:4">
      <c r="A48" s="5" t="s">
        <v>296</v>
      </c>
      <c r="B48" s="5" t="s">
        <v>297</v>
      </c>
      <c r="C48" t="s">
        <v>298</v>
      </c>
      <c r="D48" t="s">
        <v>298</v>
      </c>
    </row>
    <row r="49" spans="1:4">
      <c r="A49" s="5" t="s">
        <v>299</v>
      </c>
      <c r="B49" s="5" t="s">
        <v>297</v>
      </c>
      <c r="C49" t="s">
        <v>300</v>
      </c>
      <c r="D49" t="s">
        <v>300</v>
      </c>
    </row>
    <row r="50" spans="1:4">
      <c r="A50" s="5" t="s">
        <v>301</v>
      </c>
      <c r="B50" s="5" t="s">
        <v>297</v>
      </c>
      <c r="C50" t="s">
        <v>302</v>
      </c>
      <c r="D50" t="s">
        <v>302</v>
      </c>
    </row>
    <row r="51" spans="1:4">
      <c r="A51" s="5" t="s">
        <v>303</v>
      </c>
      <c r="B51" s="5" t="s">
        <v>304</v>
      </c>
      <c r="C51" t="s">
        <v>305</v>
      </c>
      <c r="D51" t="s">
        <v>305</v>
      </c>
    </row>
    <row r="52" spans="1:4">
      <c r="A52" s="5" t="s">
        <v>306</v>
      </c>
      <c r="B52" s="5" t="s">
        <v>304</v>
      </c>
      <c r="C52" t="s">
        <v>307</v>
      </c>
      <c r="D52" t="s">
        <v>307</v>
      </c>
    </row>
    <row r="53" spans="1:4">
      <c r="A53" s="5" t="s">
        <v>308</v>
      </c>
      <c r="B53" s="5" t="s">
        <v>304</v>
      </c>
      <c r="C53" t="s">
        <v>309</v>
      </c>
      <c r="D53" t="s">
        <v>309</v>
      </c>
    </row>
    <row r="54" spans="1:4">
      <c r="A54" s="5" t="s">
        <v>310</v>
      </c>
      <c r="B54" s="5" t="s">
        <v>311</v>
      </c>
      <c r="C54" t="s">
        <v>312</v>
      </c>
      <c r="D54" t="s">
        <v>312</v>
      </c>
    </row>
    <row r="55" spans="1:4">
      <c r="A55" s="5" t="s">
        <v>313</v>
      </c>
      <c r="B55" s="5" t="s">
        <v>311</v>
      </c>
      <c r="C55" t="s">
        <v>314</v>
      </c>
      <c r="D55" t="s">
        <v>314</v>
      </c>
    </row>
    <row r="56" spans="1:4">
      <c r="A56" s="5" t="s">
        <v>315</v>
      </c>
      <c r="B56" s="5" t="s">
        <v>311</v>
      </c>
      <c r="C56" t="s">
        <v>316</v>
      </c>
      <c r="D56" t="s">
        <v>316</v>
      </c>
    </row>
    <row r="57" spans="1:4">
      <c r="A57" s="5" t="s">
        <v>317</v>
      </c>
      <c r="B57" s="5" t="s">
        <v>317</v>
      </c>
      <c r="C57" t="s">
        <v>318</v>
      </c>
      <c r="D57" t="s">
        <v>318</v>
      </c>
    </row>
    <row r="58" spans="1:4">
      <c r="A58" s="5" t="s">
        <v>319</v>
      </c>
      <c r="B58" s="5" t="s">
        <v>319</v>
      </c>
      <c r="C58" t="s">
        <v>320</v>
      </c>
      <c r="D58" t="s">
        <v>320</v>
      </c>
    </row>
    <row r="59" spans="1:4">
      <c r="A59" s="5" t="s">
        <v>321</v>
      </c>
      <c r="B59" s="5" t="s">
        <v>322</v>
      </c>
      <c r="C59" t="s">
        <v>323</v>
      </c>
      <c r="D59" t="s">
        <v>323</v>
      </c>
    </row>
    <row r="60" spans="1:4">
      <c r="A60" s="5" t="s">
        <v>324</v>
      </c>
      <c r="B60" s="5" t="s">
        <v>325</v>
      </c>
      <c r="C60" t="s">
        <v>326</v>
      </c>
      <c r="D60" t="s">
        <v>326</v>
      </c>
    </row>
    <row r="61" spans="1:4">
      <c r="A61" s="5" t="s">
        <v>327</v>
      </c>
      <c r="B61" s="5" t="s">
        <v>327</v>
      </c>
      <c r="C61" t="s">
        <v>328</v>
      </c>
      <c r="D61" t="s">
        <v>328</v>
      </c>
    </row>
    <row r="62" spans="1:4">
      <c r="A62" s="5" t="s">
        <v>329</v>
      </c>
      <c r="B62" s="5" t="s">
        <v>330</v>
      </c>
      <c r="C62" t="s">
        <v>331</v>
      </c>
      <c r="D62" t="s">
        <v>331</v>
      </c>
    </row>
    <row r="63" spans="1:4">
      <c r="A63" s="5" t="s">
        <v>332</v>
      </c>
      <c r="B63" s="5" t="s">
        <v>333</v>
      </c>
      <c r="C63" t="s">
        <v>334</v>
      </c>
      <c r="D63" t="s">
        <v>334</v>
      </c>
    </row>
    <row r="64" spans="1:4">
      <c r="A64" s="5" t="s">
        <v>335</v>
      </c>
      <c r="B64" s="5" t="s">
        <v>336</v>
      </c>
      <c r="C64" t="s">
        <v>337</v>
      </c>
      <c r="D64" t="s">
        <v>337</v>
      </c>
    </row>
    <row r="65" spans="1:4">
      <c r="A65" s="5" t="s">
        <v>338</v>
      </c>
      <c r="B65" s="5" t="s">
        <v>339</v>
      </c>
      <c r="C65" t="s">
        <v>340</v>
      </c>
      <c r="D65" t="s">
        <v>340</v>
      </c>
    </row>
    <row r="66" spans="1:4">
      <c r="A66" s="5" t="s">
        <v>341</v>
      </c>
      <c r="B66" s="5" t="s">
        <v>342</v>
      </c>
      <c r="C66" t="s">
        <v>343</v>
      </c>
      <c r="D66" t="s">
        <v>343</v>
      </c>
    </row>
    <row r="67" spans="1:4">
      <c r="A67" s="5" t="s">
        <v>344</v>
      </c>
      <c r="B67" s="5" t="s">
        <v>345</v>
      </c>
      <c r="C67" t="s">
        <v>346</v>
      </c>
      <c r="D67" t="s">
        <v>346</v>
      </c>
    </row>
    <row r="68" spans="1:4">
      <c r="A68" s="5" t="s">
        <v>347</v>
      </c>
      <c r="B68" s="5" t="s">
        <v>348</v>
      </c>
      <c r="C68" t="s">
        <v>349</v>
      </c>
      <c r="D68" t="s">
        <v>349</v>
      </c>
    </row>
    <row r="69" spans="1:4">
      <c r="A69" s="5" t="s">
        <v>350</v>
      </c>
      <c r="B69" s="5" t="s">
        <v>351</v>
      </c>
      <c r="C69" t="s">
        <v>352</v>
      </c>
      <c r="D69" t="s">
        <v>352</v>
      </c>
    </row>
    <row r="70" spans="1:4">
      <c r="A70" s="5" t="s">
        <v>353</v>
      </c>
      <c r="B70" s="5" t="s">
        <v>354</v>
      </c>
      <c r="C70" t="s">
        <v>355</v>
      </c>
      <c r="D70" t="s">
        <v>355</v>
      </c>
    </row>
    <row r="71" spans="1:4">
      <c r="A71" s="5" t="s">
        <v>356</v>
      </c>
      <c r="B71" s="5" t="s">
        <v>357</v>
      </c>
      <c r="C71" t="s">
        <v>358</v>
      </c>
      <c r="D71" t="s">
        <v>358</v>
      </c>
    </row>
    <row r="72" spans="1:4">
      <c r="A72" s="5" t="s">
        <v>359</v>
      </c>
      <c r="B72" s="5" t="s">
        <v>360</v>
      </c>
      <c r="C72" t="s">
        <v>361</v>
      </c>
      <c r="D72" t="s">
        <v>361</v>
      </c>
    </row>
    <row r="73" spans="1:4">
      <c r="A73" s="5" t="s">
        <v>362</v>
      </c>
      <c r="B73" s="5" t="s">
        <v>363</v>
      </c>
      <c r="C73" t="s">
        <v>364</v>
      </c>
      <c r="D73" t="s">
        <v>364</v>
      </c>
    </row>
    <row r="74" spans="1:4">
      <c r="A74" s="5" t="s">
        <v>365</v>
      </c>
      <c r="B74" s="5" t="s">
        <v>366</v>
      </c>
      <c r="C74" t="s">
        <v>367</v>
      </c>
      <c r="D74" t="s">
        <v>367</v>
      </c>
    </row>
    <row r="75" spans="1:4">
      <c r="A75" s="5" t="s">
        <v>368</v>
      </c>
      <c r="B75" s="5" t="s">
        <v>366</v>
      </c>
      <c r="C75" t="s">
        <v>369</v>
      </c>
      <c r="D75" t="s">
        <v>369</v>
      </c>
    </row>
    <row r="76" spans="1:4">
      <c r="A76" s="5" t="s">
        <v>370</v>
      </c>
      <c r="B76" s="5" t="s">
        <v>371</v>
      </c>
      <c r="C76" t="s">
        <v>372</v>
      </c>
      <c r="D76" t="s">
        <v>372</v>
      </c>
    </row>
    <row r="77" spans="1:4">
      <c r="A77" s="5" t="s">
        <v>373</v>
      </c>
      <c r="B77" s="5" t="s">
        <v>371</v>
      </c>
      <c r="C77" t="s">
        <v>374</v>
      </c>
      <c r="D77" t="s">
        <v>374</v>
      </c>
    </row>
    <row r="78" spans="1:4">
      <c r="A78" s="5" t="s">
        <v>375</v>
      </c>
      <c r="B78" s="5" t="s">
        <v>376</v>
      </c>
      <c r="C78" t="s">
        <v>377</v>
      </c>
      <c r="D78" t="s">
        <v>377</v>
      </c>
    </row>
    <row r="79" spans="1:4">
      <c r="A79" s="5" t="s">
        <v>378</v>
      </c>
      <c r="B79" s="5" t="s">
        <v>379</v>
      </c>
      <c r="C79" t="s">
        <v>380</v>
      </c>
      <c r="D79" t="s">
        <v>380</v>
      </c>
    </row>
    <row r="80" spans="1:4">
      <c r="A80" s="5" t="s">
        <v>381</v>
      </c>
      <c r="B80" s="5" t="s">
        <v>382</v>
      </c>
      <c r="C80" t="s">
        <v>383</v>
      </c>
      <c r="D80" t="s">
        <v>383</v>
      </c>
    </row>
    <row r="81" spans="1:4">
      <c r="A81" s="5" t="s">
        <v>384</v>
      </c>
      <c r="B81" s="5" t="s">
        <v>385</v>
      </c>
      <c r="C81" t="s">
        <v>386</v>
      </c>
      <c r="D81" t="s">
        <v>386</v>
      </c>
    </row>
    <row r="82" spans="1:4">
      <c r="A82" s="5" t="s">
        <v>387</v>
      </c>
      <c r="B82" s="5" t="s">
        <v>388</v>
      </c>
      <c r="C82" t="s">
        <v>389</v>
      </c>
      <c r="D82" t="s">
        <v>389</v>
      </c>
    </row>
    <row r="83" spans="1:4">
      <c r="A83" s="5" t="s">
        <v>390</v>
      </c>
      <c r="B83" s="5" t="s">
        <v>391</v>
      </c>
      <c r="C83" t="s">
        <v>392</v>
      </c>
      <c r="D83" t="s">
        <v>392</v>
      </c>
    </row>
    <row r="84" spans="1:4">
      <c r="A84" s="5" t="s">
        <v>393</v>
      </c>
      <c r="B84" s="5" t="s">
        <v>394</v>
      </c>
      <c r="C84" t="s">
        <v>395</v>
      </c>
      <c r="D84" t="s">
        <v>395</v>
      </c>
    </row>
    <row r="85" spans="1:4">
      <c r="A85" s="5" t="s">
        <v>396</v>
      </c>
      <c r="B85" s="5" t="s">
        <v>397</v>
      </c>
      <c r="C85" t="s">
        <v>398</v>
      </c>
      <c r="D85" t="s">
        <v>398</v>
      </c>
    </row>
    <row r="86" spans="1:4">
      <c r="A86" s="5" t="s">
        <v>399</v>
      </c>
      <c r="B86" s="5" t="s">
        <v>400</v>
      </c>
      <c r="C86" t="s">
        <v>401</v>
      </c>
      <c r="D86" t="s">
        <v>401</v>
      </c>
    </row>
    <row r="87" spans="1:4">
      <c r="A87" s="5" t="s">
        <v>402</v>
      </c>
      <c r="B87" s="5" t="s">
        <v>403</v>
      </c>
      <c r="C87" t="s">
        <v>404</v>
      </c>
      <c r="D87" t="s">
        <v>404</v>
      </c>
    </row>
    <row r="88" spans="1:4">
      <c r="A88" s="5" t="s">
        <v>405</v>
      </c>
      <c r="B88" s="5" t="s">
        <v>406</v>
      </c>
      <c r="C88" t="s">
        <v>407</v>
      </c>
      <c r="D88" t="s">
        <v>407</v>
      </c>
    </row>
    <row r="89" spans="1:4">
      <c r="A89" s="5" t="s">
        <v>408</v>
      </c>
      <c r="B89" s="5" t="s">
        <v>409</v>
      </c>
      <c r="C89" t="s">
        <v>410</v>
      </c>
      <c r="D89" t="s">
        <v>410</v>
      </c>
    </row>
    <row r="90" spans="1:4">
      <c r="A90" s="5" t="s">
        <v>411</v>
      </c>
      <c r="B90" s="5" t="s">
        <v>412</v>
      </c>
      <c r="C90" t="s">
        <v>413</v>
      </c>
      <c r="D90" t="s">
        <v>413</v>
      </c>
    </row>
    <row r="91" spans="1:4">
      <c r="A91" s="5" t="s">
        <v>414</v>
      </c>
      <c r="B91" s="5" t="s">
        <v>415</v>
      </c>
      <c r="C91" t="s">
        <v>416</v>
      </c>
      <c r="D91" t="s">
        <v>416</v>
      </c>
    </row>
    <row r="92" spans="1:4">
      <c r="A92" s="5" t="s">
        <v>417</v>
      </c>
      <c r="B92" s="5" t="s">
        <v>417</v>
      </c>
      <c r="C92" t="s">
        <v>418</v>
      </c>
      <c r="D92" t="s">
        <v>418</v>
      </c>
    </row>
    <row r="93" spans="1:4">
      <c r="A93" s="5" t="s">
        <v>419</v>
      </c>
      <c r="B93" s="5" t="s">
        <v>420</v>
      </c>
      <c r="C93" t="s">
        <v>421</v>
      </c>
      <c r="D93" t="s">
        <v>421</v>
      </c>
    </row>
    <row r="94" spans="1:4">
      <c r="A94" s="5" t="s">
        <v>422</v>
      </c>
      <c r="B94" s="5" t="s">
        <v>423</v>
      </c>
      <c r="C94" t="s">
        <v>424</v>
      </c>
      <c r="D94" t="s">
        <v>424</v>
      </c>
    </row>
    <row r="95" spans="1:4">
      <c r="A95" s="5" t="s">
        <v>269</v>
      </c>
      <c r="B95" s="5" t="s">
        <v>270</v>
      </c>
      <c r="C95" t="s">
        <v>271</v>
      </c>
      <c r="D95" t="s">
        <v>271</v>
      </c>
    </row>
    <row r="96" spans="1:4">
      <c r="A96" s="5" t="s">
        <v>272</v>
      </c>
      <c r="B96" s="5" t="s">
        <v>273</v>
      </c>
      <c r="C96" t="s">
        <v>274</v>
      </c>
      <c r="D96" t="s">
        <v>274</v>
      </c>
    </row>
    <row r="97" spans="1:7">
      <c r="A97" s="5" t="s">
        <v>425</v>
      </c>
      <c r="B97" s="5" t="s">
        <v>426</v>
      </c>
      <c r="C97" t="s">
        <v>427</v>
      </c>
      <c r="D97" t="s">
        <v>427</v>
      </c>
    </row>
    <row r="98" spans="1:7">
      <c r="A98" s="5" t="s">
        <v>428</v>
      </c>
      <c r="B98" s="5" t="s">
        <v>429</v>
      </c>
      <c r="C98" t="s">
        <v>430</v>
      </c>
      <c r="D98" t="s">
        <v>430</v>
      </c>
    </row>
    <row r="99" spans="1:7">
      <c r="A99" s="5" t="s">
        <v>375</v>
      </c>
      <c r="B99" s="5" t="s">
        <v>376</v>
      </c>
      <c r="C99" t="s">
        <v>377</v>
      </c>
      <c r="D99" t="s">
        <v>377</v>
      </c>
    </row>
    <row r="100" spans="1:7">
      <c r="A100" s="5" t="s">
        <v>431</v>
      </c>
      <c r="B100" s="5" t="s">
        <v>432</v>
      </c>
      <c r="C100" t="s">
        <v>433</v>
      </c>
      <c r="D100" t="s">
        <v>433</v>
      </c>
    </row>
    <row r="101" spans="1:7">
      <c r="A101" s="5" t="s">
        <v>365</v>
      </c>
      <c r="B101" s="5" t="s">
        <v>366</v>
      </c>
      <c r="C101" t="s">
        <v>367</v>
      </c>
      <c r="D101" t="s">
        <v>367</v>
      </c>
    </row>
    <row r="102" spans="1:7">
      <c r="A102" s="5" t="s">
        <v>368</v>
      </c>
      <c r="B102" s="5" t="s">
        <v>366</v>
      </c>
      <c r="C102" t="s">
        <v>369</v>
      </c>
      <c r="D102" t="s">
        <v>369</v>
      </c>
    </row>
    <row r="103" spans="1:7">
      <c r="A103" s="5" t="s">
        <v>370</v>
      </c>
      <c r="B103" s="5" t="s">
        <v>371</v>
      </c>
      <c r="C103" t="s">
        <v>372</v>
      </c>
      <c r="D103" t="s">
        <v>372</v>
      </c>
    </row>
    <row r="104" spans="1:7">
      <c r="A104" s="5" t="s">
        <v>373</v>
      </c>
      <c r="B104" s="5" t="s">
        <v>371</v>
      </c>
      <c r="C104" t="s">
        <v>374</v>
      </c>
      <c r="D104" t="s">
        <v>374</v>
      </c>
    </row>
    <row r="105" spans="1:7">
      <c r="A105" s="5" t="s">
        <v>338</v>
      </c>
      <c r="B105" s="5" t="s">
        <v>339</v>
      </c>
      <c r="C105" t="s">
        <v>340</v>
      </c>
      <c r="D105" t="s">
        <v>340</v>
      </c>
    </row>
    <row r="106" spans="1:7">
      <c r="A106" s="5" t="s">
        <v>402</v>
      </c>
      <c r="B106" s="5" t="s">
        <v>403</v>
      </c>
      <c r="C106" t="s">
        <v>404</v>
      </c>
      <c r="D106" t="s">
        <v>404</v>
      </c>
    </row>
    <row r="107" spans="1:7">
      <c r="A107" s="5" t="s">
        <v>362</v>
      </c>
      <c r="B107" s="5" t="s">
        <v>363</v>
      </c>
      <c r="C107" t="s">
        <v>364</v>
      </c>
      <c r="D107" t="s">
        <v>364</v>
      </c>
    </row>
    <row r="108" spans="1:7">
      <c r="A108" s="5" t="s">
        <v>356</v>
      </c>
      <c r="B108" s="5" t="s">
        <v>357</v>
      </c>
      <c r="C108" t="s">
        <v>358</v>
      </c>
      <c r="D108" t="s">
        <v>358</v>
      </c>
    </row>
    <row r="109" spans="1:7">
      <c r="A109" s="5" t="s">
        <v>434</v>
      </c>
      <c r="B109" s="5" t="s">
        <v>435</v>
      </c>
      <c r="C109" t="s">
        <v>436</v>
      </c>
      <c r="D109" t="s">
        <v>436</v>
      </c>
    </row>
    <row r="110" spans="1:7">
      <c r="A110" s="5" t="s">
        <v>437</v>
      </c>
      <c r="B110" s="5" t="s">
        <v>438</v>
      </c>
      <c r="C110" t="s">
        <v>439</v>
      </c>
      <c r="D110" t="s">
        <v>439</v>
      </c>
    </row>
    <row r="111" spans="1:7">
      <c r="A111" s="5" t="s">
        <v>440</v>
      </c>
      <c r="B111" s="5" t="s">
        <v>441</v>
      </c>
      <c r="C111" t="s">
        <v>442</v>
      </c>
      <c r="D111" t="s">
        <v>1857</v>
      </c>
      <c r="F111" t="s">
        <v>2128</v>
      </c>
      <c r="G111" t="s">
        <v>2420</v>
      </c>
    </row>
    <row r="112" spans="1:7">
      <c r="A112" s="5" t="s">
        <v>443</v>
      </c>
      <c r="B112" s="5" t="s">
        <v>444</v>
      </c>
      <c r="C112" t="s">
        <v>445</v>
      </c>
      <c r="D112" t="s">
        <v>445</v>
      </c>
    </row>
    <row r="113" spans="1:4">
      <c r="A113" s="5" t="s">
        <v>446</v>
      </c>
      <c r="B113" s="5" t="s">
        <v>447</v>
      </c>
      <c r="C113" t="s">
        <v>448</v>
      </c>
      <c r="D113" t="s">
        <v>448</v>
      </c>
    </row>
    <row r="114" spans="1:4">
      <c r="A114" s="5" t="s">
        <v>275</v>
      </c>
      <c r="B114" s="5" t="s">
        <v>276</v>
      </c>
      <c r="C114" t="s">
        <v>277</v>
      </c>
      <c r="D114" t="s">
        <v>277</v>
      </c>
    </row>
    <row r="115" spans="1:4">
      <c r="A115" s="5" t="s">
        <v>278</v>
      </c>
      <c r="B115" s="5" t="s">
        <v>276</v>
      </c>
      <c r="C115" t="s">
        <v>279</v>
      </c>
      <c r="D115" t="s">
        <v>279</v>
      </c>
    </row>
    <row r="116" spans="1:4">
      <c r="A116" s="5" t="s">
        <v>280</v>
      </c>
      <c r="B116" s="5" t="s">
        <v>276</v>
      </c>
      <c r="C116" t="s">
        <v>281</v>
      </c>
      <c r="D116" t="s">
        <v>281</v>
      </c>
    </row>
    <row r="117" spans="1:4">
      <c r="A117" s="5" t="s">
        <v>282</v>
      </c>
      <c r="B117" s="5" t="s">
        <v>283</v>
      </c>
      <c r="C117" t="s">
        <v>284</v>
      </c>
      <c r="D117" t="s">
        <v>284</v>
      </c>
    </row>
    <row r="118" spans="1:4">
      <c r="A118" s="5" t="s">
        <v>285</v>
      </c>
      <c r="B118" s="5" t="s">
        <v>283</v>
      </c>
      <c r="C118" t="s">
        <v>286</v>
      </c>
      <c r="D118" t="s">
        <v>286</v>
      </c>
    </row>
    <row r="119" spans="1:4">
      <c r="A119" s="5" t="s">
        <v>287</v>
      </c>
      <c r="B119" s="5" t="s">
        <v>283</v>
      </c>
      <c r="C119" t="s">
        <v>288</v>
      </c>
      <c r="D119" t="s">
        <v>288</v>
      </c>
    </row>
    <row r="120" spans="1:4">
      <c r="A120" s="5" t="s">
        <v>289</v>
      </c>
      <c r="B120" s="5" t="s">
        <v>290</v>
      </c>
      <c r="C120" t="s">
        <v>291</v>
      </c>
      <c r="D120" t="s">
        <v>291</v>
      </c>
    </row>
    <row r="121" spans="1:4">
      <c r="A121" s="5" t="s">
        <v>292</v>
      </c>
      <c r="B121" s="5" t="s">
        <v>290</v>
      </c>
      <c r="C121" t="s">
        <v>293</v>
      </c>
      <c r="D121" t="s">
        <v>293</v>
      </c>
    </row>
    <row r="122" spans="1:4">
      <c r="A122" s="5" t="s">
        <v>294</v>
      </c>
      <c r="B122" s="5" t="s">
        <v>290</v>
      </c>
      <c r="C122" t="s">
        <v>295</v>
      </c>
      <c r="D122" t="s">
        <v>295</v>
      </c>
    </row>
    <row r="123" spans="1:4">
      <c r="A123" s="5" t="s">
        <v>296</v>
      </c>
      <c r="B123" s="5" t="s">
        <v>297</v>
      </c>
      <c r="C123" t="s">
        <v>298</v>
      </c>
      <c r="D123" t="s">
        <v>298</v>
      </c>
    </row>
    <row r="124" spans="1:4">
      <c r="A124" s="5" t="s">
        <v>299</v>
      </c>
      <c r="B124" s="5" t="s">
        <v>297</v>
      </c>
      <c r="C124" t="s">
        <v>300</v>
      </c>
      <c r="D124" t="s">
        <v>300</v>
      </c>
    </row>
    <row r="125" spans="1:4">
      <c r="A125" s="5" t="s">
        <v>301</v>
      </c>
      <c r="B125" s="5" t="s">
        <v>297</v>
      </c>
      <c r="C125" t="s">
        <v>302</v>
      </c>
      <c r="D125" t="s">
        <v>302</v>
      </c>
    </row>
    <row r="126" spans="1:4">
      <c r="A126" s="5" t="s">
        <v>303</v>
      </c>
      <c r="B126" s="5" t="s">
        <v>304</v>
      </c>
      <c r="C126" t="s">
        <v>305</v>
      </c>
      <c r="D126" t="s">
        <v>305</v>
      </c>
    </row>
    <row r="127" spans="1:4">
      <c r="A127" s="5" t="s">
        <v>306</v>
      </c>
      <c r="B127" s="5" t="s">
        <v>304</v>
      </c>
      <c r="C127" t="s">
        <v>307</v>
      </c>
      <c r="D127" t="s">
        <v>307</v>
      </c>
    </row>
    <row r="128" spans="1:4">
      <c r="A128" s="5" t="s">
        <v>308</v>
      </c>
      <c r="B128" s="5" t="s">
        <v>304</v>
      </c>
      <c r="C128" t="s">
        <v>309</v>
      </c>
      <c r="D128" t="s">
        <v>309</v>
      </c>
    </row>
    <row r="129" spans="1:4">
      <c r="A129" s="5" t="s">
        <v>310</v>
      </c>
      <c r="B129" s="5" t="s">
        <v>311</v>
      </c>
      <c r="C129" t="s">
        <v>312</v>
      </c>
      <c r="D129" t="s">
        <v>312</v>
      </c>
    </row>
    <row r="130" spans="1:4">
      <c r="A130" s="5" t="s">
        <v>313</v>
      </c>
      <c r="B130" s="5" t="s">
        <v>311</v>
      </c>
      <c r="C130" t="s">
        <v>314</v>
      </c>
      <c r="D130" t="s">
        <v>314</v>
      </c>
    </row>
    <row r="131" spans="1:4">
      <c r="A131" s="5" t="s">
        <v>315</v>
      </c>
      <c r="B131" s="5" t="s">
        <v>311</v>
      </c>
      <c r="C131" t="s">
        <v>316</v>
      </c>
      <c r="D131" t="s">
        <v>316</v>
      </c>
    </row>
    <row r="132" spans="1:4">
      <c r="A132" s="5" t="s">
        <v>449</v>
      </c>
      <c r="B132" s="5" t="s">
        <v>450</v>
      </c>
      <c r="C132" t="s">
        <v>451</v>
      </c>
      <c r="D132" t="s">
        <v>451</v>
      </c>
    </row>
    <row r="133" spans="1:4">
      <c r="A133" s="5" t="s">
        <v>452</v>
      </c>
      <c r="B133" s="5" t="s">
        <v>453</v>
      </c>
      <c r="C133" t="s">
        <v>454</v>
      </c>
      <c r="D133" t="s">
        <v>454</v>
      </c>
    </row>
    <row r="134" spans="1:4">
      <c r="A134" s="5" t="s">
        <v>455</v>
      </c>
      <c r="B134" s="5" t="s">
        <v>456</v>
      </c>
      <c r="C134" t="s">
        <v>457</v>
      </c>
      <c r="D134" t="s">
        <v>457</v>
      </c>
    </row>
    <row r="135" spans="1:4">
      <c r="A135" s="5" t="s">
        <v>317</v>
      </c>
      <c r="B135" s="5" t="s">
        <v>317</v>
      </c>
      <c r="C135" t="s">
        <v>318</v>
      </c>
      <c r="D135" t="s">
        <v>318</v>
      </c>
    </row>
    <row r="136" spans="1:4">
      <c r="A136" s="5" t="s">
        <v>319</v>
      </c>
      <c r="B136" s="5" t="s">
        <v>319</v>
      </c>
      <c r="C136" t="s">
        <v>320</v>
      </c>
      <c r="D136" t="s">
        <v>320</v>
      </c>
    </row>
    <row r="137" spans="1:4">
      <c r="A137" s="5" t="s">
        <v>327</v>
      </c>
      <c r="B137" s="5" t="s">
        <v>327</v>
      </c>
      <c r="C137" t="s">
        <v>328</v>
      </c>
      <c r="D137" t="s">
        <v>328</v>
      </c>
    </row>
    <row r="138" spans="1:4">
      <c r="A138" s="5" t="s">
        <v>329</v>
      </c>
      <c r="B138" s="5" t="s">
        <v>330</v>
      </c>
      <c r="C138" t="s">
        <v>331</v>
      </c>
      <c r="D138" t="s">
        <v>331</v>
      </c>
    </row>
    <row r="139" spans="1:4">
      <c r="A139" s="5" t="s">
        <v>458</v>
      </c>
      <c r="B139" s="5" t="s">
        <v>459</v>
      </c>
      <c r="C139" t="s">
        <v>460</v>
      </c>
      <c r="D139" t="s">
        <v>460</v>
      </c>
    </row>
    <row r="140" spans="1:4">
      <c r="A140" s="5" t="s">
        <v>461</v>
      </c>
      <c r="B140" s="5" t="s">
        <v>459</v>
      </c>
      <c r="C140" t="s">
        <v>462</v>
      </c>
      <c r="D140" t="s">
        <v>462</v>
      </c>
    </row>
    <row r="141" spans="1:4">
      <c r="A141" s="5" t="s">
        <v>463</v>
      </c>
      <c r="B141" s="5" t="s">
        <v>464</v>
      </c>
      <c r="C141" t="s">
        <v>465</v>
      </c>
      <c r="D141" t="s">
        <v>465</v>
      </c>
    </row>
    <row r="142" spans="1:4">
      <c r="A142" s="5" t="s">
        <v>466</v>
      </c>
      <c r="B142" s="5" t="s">
        <v>464</v>
      </c>
      <c r="C142" t="s">
        <v>467</v>
      </c>
      <c r="D142" t="s">
        <v>467</v>
      </c>
    </row>
    <row r="143" spans="1:4">
      <c r="A143" s="5" t="s">
        <v>468</v>
      </c>
      <c r="B143" s="5" t="s">
        <v>468</v>
      </c>
      <c r="C143" t="s">
        <v>469</v>
      </c>
      <c r="D143" t="s">
        <v>469</v>
      </c>
    </row>
    <row r="144" spans="1:4">
      <c r="A144" s="5" t="s">
        <v>470</v>
      </c>
      <c r="B144" s="5" t="s">
        <v>471</v>
      </c>
      <c r="C144" t="s">
        <v>472</v>
      </c>
      <c r="D144" t="s">
        <v>472</v>
      </c>
    </row>
    <row r="145" spans="1:4">
      <c r="A145" s="5" t="s">
        <v>473</v>
      </c>
      <c r="B145" s="5" t="s">
        <v>474</v>
      </c>
      <c r="C145" t="s">
        <v>475</v>
      </c>
      <c r="D145" t="s">
        <v>475</v>
      </c>
    </row>
    <row r="146" spans="1:4">
      <c r="A146" s="5" t="s">
        <v>378</v>
      </c>
      <c r="B146" s="5" t="s">
        <v>379</v>
      </c>
      <c r="C146" t="s">
        <v>476</v>
      </c>
      <c r="D146" t="s">
        <v>476</v>
      </c>
    </row>
    <row r="147" spans="1:4">
      <c r="A147" s="5" t="s">
        <v>381</v>
      </c>
      <c r="B147" s="5" t="s">
        <v>382</v>
      </c>
      <c r="C147" t="s">
        <v>477</v>
      </c>
      <c r="D147" t="s">
        <v>477</v>
      </c>
    </row>
    <row r="148" spans="1:4">
      <c r="A148" s="5" t="s">
        <v>384</v>
      </c>
      <c r="B148" s="5" t="s">
        <v>385</v>
      </c>
      <c r="C148" t="s">
        <v>478</v>
      </c>
      <c r="D148" t="s">
        <v>478</v>
      </c>
    </row>
    <row r="149" spans="1:4">
      <c r="A149" s="5" t="s">
        <v>387</v>
      </c>
      <c r="B149" s="5" t="s">
        <v>388</v>
      </c>
      <c r="C149" t="s">
        <v>479</v>
      </c>
      <c r="D149" t="s">
        <v>479</v>
      </c>
    </row>
    <row r="150" spans="1:4">
      <c r="A150" s="5" t="s">
        <v>390</v>
      </c>
      <c r="B150" s="5" t="s">
        <v>391</v>
      </c>
      <c r="C150" t="s">
        <v>480</v>
      </c>
      <c r="D150" t="s">
        <v>480</v>
      </c>
    </row>
    <row r="151" spans="1:4">
      <c r="A151" s="5" t="s">
        <v>393</v>
      </c>
      <c r="B151" s="5" t="s">
        <v>394</v>
      </c>
      <c r="C151" t="s">
        <v>481</v>
      </c>
      <c r="D151" t="s">
        <v>481</v>
      </c>
    </row>
    <row r="152" spans="1:4">
      <c r="A152" s="5" t="s">
        <v>482</v>
      </c>
      <c r="B152" s="5" t="s">
        <v>482</v>
      </c>
      <c r="C152" t="s">
        <v>483</v>
      </c>
      <c r="D152" t="s">
        <v>483</v>
      </c>
    </row>
    <row r="153" spans="1:4">
      <c r="A153" s="5" t="s">
        <v>484</v>
      </c>
      <c r="B153" s="5" t="s">
        <v>484</v>
      </c>
      <c r="C153" t="s">
        <v>485</v>
      </c>
      <c r="D153" t="s">
        <v>485</v>
      </c>
    </row>
    <row r="154" spans="1:4">
      <c r="A154" s="5" t="s">
        <v>486</v>
      </c>
      <c r="B154" s="5" t="s">
        <v>487</v>
      </c>
      <c r="C154" t="s">
        <v>488</v>
      </c>
      <c r="D154" t="s">
        <v>488</v>
      </c>
    </row>
    <row r="155" spans="1:4">
      <c r="A155" s="5" t="s">
        <v>489</v>
      </c>
      <c r="B155" s="5" t="s">
        <v>490</v>
      </c>
      <c r="C155" t="s">
        <v>491</v>
      </c>
      <c r="D155" t="s">
        <v>491</v>
      </c>
    </row>
    <row r="156" spans="1:4">
      <c r="A156" s="5" t="s">
        <v>492</v>
      </c>
      <c r="B156" s="5" t="s">
        <v>493</v>
      </c>
      <c r="C156" t="s">
        <v>494</v>
      </c>
      <c r="D156" t="s">
        <v>494</v>
      </c>
    </row>
    <row r="157" spans="1:4">
      <c r="A157" s="5" t="s">
        <v>495</v>
      </c>
      <c r="B157" s="5" t="s">
        <v>496</v>
      </c>
      <c r="C157" t="s">
        <v>497</v>
      </c>
      <c r="D157" t="s">
        <v>497</v>
      </c>
    </row>
    <row r="158" spans="1:4">
      <c r="A158" s="5" t="s">
        <v>498</v>
      </c>
      <c r="B158" s="5" t="s">
        <v>499</v>
      </c>
      <c r="C158" t="s">
        <v>500</v>
      </c>
      <c r="D158" t="s">
        <v>500</v>
      </c>
    </row>
    <row r="159" spans="1:4">
      <c r="A159" s="5" t="s">
        <v>501</v>
      </c>
      <c r="B159" s="5" t="s">
        <v>502</v>
      </c>
      <c r="C159" t="s">
        <v>503</v>
      </c>
      <c r="D159" t="s">
        <v>503</v>
      </c>
    </row>
    <row r="160" spans="1:4">
      <c r="A160" s="5" t="s">
        <v>504</v>
      </c>
      <c r="B160" s="5" t="s">
        <v>505</v>
      </c>
      <c r="C160" t="s">
        <v>506</v>
      </c>
      <c r="D160" t="s">
        <v>506</v>
      </c>
    </row>
    <row r="161" spans="1:4">
      <c r="A161" s="5" t="s">
        <v>507</v>
      </c>
      <c r="B161" s="5" t="s">
        <v>508</v>
      </c>
      <c r="C161" t="s">
        <v>509</v>
      </c>
      <c r="D161" t="s">
        <v>509</v>
      </c>
    </row>
    <row r="162" spans="1:4">
      <c r="A162" s="5" t="s">
        <v>510</v>
      </c>
      <c r="B162" s="5" t="s">
        <v>511</v>
      </c>
      <c r="C162" t="s">
        <v>512</v>
      </c>
      <c r="D162" t="s">
        <v>512</v>
      </c>
    </row>
    <row r="163" spans="1:4">
      <c r="A163" s="5" t="s">
        <v>513</v>
      </c>
      <c r="B163" s="5" t="s">
        <v>514</v>
      </c>
      <c r="C163" t="s">
        <v>515</v>
      </c>
      <c r="D163" t="s">
        <v>515</v>
      </c>
    </row>
    <row r="164" spans="1:4">
      <c r="A164" s="5" t="s">
        <v>516</v>
      </c>
      <c r="B164" s="5" t="s">
        <v>517</v>
      </c>
      <c r="C164" t="s">
        <v>518</v>
      </c>
      <c r="D164" t="s">
        <v>518</v>
      </c>
    </row>
    <row r="165" spans="1:4">
      <c r="A165" s="5" t="s">
        <v>519</v>
      </c>
      <c r="B165" s="5" t="s">
        <v>520</v>
      </c>
      <c r="C165" t="s">
        <v>521</v>
      </c>
      <c r="D165" t="s">
        <v>521</v>
      </c>
    </row>
    <row r="166" spans="1:4">
      <c r="A166" s="5" t="s">
        <v>522</v>
      </c>
      <c r="B166" s="5" t="s">
        <v>523</v>
      </c>
      <c r="C166" t="s">
        <v>524</v>
      </c>
      <c r="D166" t="s">
        <v>524</v>
      </c>
    </row>
    <row r="167" spans="1:4">
      <c r="A167" s="5" t="s">
        <v>525</v>
      </c>
      <c r="B167" s="5" t="s">
        <v>526</v>
      </c>
      <c r="C167" t="s">
        <v>527</v>
      </c>
      <c r="D167" t="s">
        <v>527</v>
      </c>
    </row>
    <row r="168" spans="1:4">
      <c r="A168" s="5" t="s">
        <v>528</v>
      </c>
      <c r="B168" s="5" t="s">
        <v>529</v>
      </c>
      <c r="C168" t="s">
        <v>530</v>
      </c>
      <c r="D168" t="s">
        <v>530</v>
      </c>
    </row>
    <row r="169" spans="1:4">
      <c r="A169" s="5" t="s">
        <v>531</v>
      </c>
      <c r="B169" s="5" t="s">
        <v>532</v>
      </c>
      <c r="C169" t="s">
        <v>533</v>
      </c>
      <c r="D169" t="s">
        <v>533</v>
      </c>
    </row>
    <row r="170" spans="1:4">
      <c r="A170" s="5" t="s">
        <v>534</v>
      </c>
      <c r="B170" s="5" t="s">
        <v>535</v>
      </c>
      <c r="C170" t="s">
        <v>536</v>
      </c>
      <c r="D170" t="s">
        <v>536</v>
      </c>
    </row>
    <row r="171" spans="1:4">
      <c r="A171" s="5" t="s">
        <v>537</v>
      </c>
      <c r="B171" s="5" t="s">
        <v>538</v>
      </c>
      <c r="C171" t="s">
        <v>539</v>
      </c>
      <c r="D171" t="s">
        <v>539</v>
      </c>
    </row>
    <row r="172" spans="1:4">
      <c r="A172" s="5" t="s">
        <v>540</v>
      </c>
      <c r="B172" s="5" t="s">
        <v>541</v>
      </c>
      <c r="C172" t="s">
        <v>542</v>
      </c>
      <c r="D172" t="s">
        <v>542</v>
      </c>
    </row>
    <row r="173" spans="1:4">
      <c r="A173" s="5" t="s">
        <v>543</v>
      </c>
      <c r="B173" s="5" t="s">
        <v>544</v>
      </c>
      <c r="C173" t="s">
        <v>545</v>
      </c>
      <c r="D173" t="s">
        <v>545</v>
      </c>
    </row>
    <row r="174" spans="1:4">
      <c r="A174" s="5" t="s">
        <v>546</v>
      </c>
      <c r="B174" s="5" t="s">
        <v>547</v>
      </c>
      <c r="C174" t="s">
        <v>548</v>
      </c>
      <c r="D174" t="s">
        <v>548</v>
      </c>
    </row>
    <row r="175" spans="1:4">
      <c r="A175" s="5" t="s">
        <v>549</v>
      </c>
      <c r="B175" s="5" t="s">
        <v>550</v>
      </c>
      <c r="C175" t="s">
        <v>551</v>
      </c>
      <c r="D175" t="s">
        <v>551</v>
      </c>
    </row>
    <row r="176" spans="1:4">
      <c r="A176" s="5" t="s">
        <v>552</v>
      </c>
      <c r="B176" s="5" t="s">
        <v>553</v>
      </c>
      <c r="C176" t="s">
        <v>554</v>
      </c>
      <c r="D176" t="s">
        <v>554</v>
      </c>
    </row>
    <row r="177" spans="1:4">
      <c r="A177" s="5" t="s">
        <v>555</v>
      </c>
      <c r="B177" s="5" t="s">
        <v>556</v>
      </c>
      <c r="C177" t="s">
        <v>557</v>
      </c>
      <c r="D177" t="s">
        <v>557</v>
      </c>
    </row>
    <row r="178" spans="1:4">
      <c r="A178" s="5" t="s">
        <v>558</v>
      </c>
      <c r="B178" s="5" t="s">
        <v>558</v>
      </c>
      <c r="C178" t="s">
        <v>559</v>
      </c>
      <c r="D178" t="s">
        <v>559</v>
      </c>
    </row>
    <row r="179" spans="1:4">
      <c r="A179" s="5" t="s">
        <v>560</v>
      </c>
      <c r="B179" s="5" t="s">
        <v>561</v>
      </c>
      <c r="C179" t="s">
        <v>562</v>
      </c>
      <c r="D179" t="s">
        <v>562</v>
      </c>
    </row>
    <row r="180" spans="1:4">
      <c r="A180" s="5" t="s">
        <v>563</v>
      </c>
      <c r="B180" s="5" t="s">
        <v>564</v>
      </c>
      <c r="C180" t="s">
        <v>565</v>
      </c>
      <c r="D180" t="s">
        <v>565</v>
      </c>
    </row>
    <row r="181" spans="1:4">
      <c r="A181" s="5" t="s">
        <v>566</v>
      </c>
      <c r="B181" s="5" t="s">
        <v>567</v>
      </c>
      <c r="C181" t="s">
        <v>568</v>
      </c>
      <c r="D181" t="s">
        <v>568</v>
      </c>
    </row>
    <row r="182" spans="1:4">
      <c r="A182" s="5" t="s">
        <v>569</v>
      </c>
      <c r="B182" s="5" t="s">
        <v>570</v>
      </c>
      <c r="C182" t="s">
        <v>571</v>
      </c>
      <c r="D182" t="s">
        <v>571</v>
      </c>
    </row>
    <row r="183" spans="1:4">
      <c r="A183" s="5" t="s">
        <v>572</v>
      </c>
      <c r="B183" s="5" t="s">
        <v>573</v>
      </c>
      <c r="C183" t="s">
        <v>574</v>
      </c>
      <c r="D183" t="s">
        <v>574</v>
      </c>
    </row>
    <row r="184" spans="1:4">
      <c r="A184" s="5" t="s">
        <v>575</v>
      </c>
      <c r="B184" s="5" t="s">
        <v>576</v>
      </c>
      <c r="C184" t="s">
        <v>577</v>
      </c>
      <c r="D184" t="s">
        <v>577</v>
      </c>
    </row>
    <row r="185" spans="1:4">
      <c r="A185" s="5" t="s">
        <v>578</v>
      </c>
      <c r="B185" s="5" t="s">
        <v>579</v>
      </c>
      <c r="C185" t="s">
        <v>580</v>
      </c>
      <c r="D185" t="s">
        <v>580</v>
      </c>
    </row>
    <row r="186" spans="1:4">
      <c r="A186" s="5" t="s">
        <v>581</v>
      </c>
      <c r="B186" s="5" t="s">
        <v>582</v>
      </c>
      <c r="C186" t="s">
        <v>583</v>
      </c>
      <c r="D186" t="s">
        <v>583</v>
      </c>
    </row>
    <row r="187" spans="1:4">
      <c r="A187" s="5" t="s">
        <v>584</v>
      </c>
      <c r="B187" s="5" t="s">
        <v>585</v>
      </c>
      <c r="C187" t="s">
        <v>586</v>
      </c>
      <c r="D187" t="s">
        <v>586</v>
      </c>
    </row>
    <row r="188" spans="1:4">
      <c r="A188" s="5" t="s">
        <v>587</v>
      </c>
      <c r="B188" s="5" t="s">
        <v>588</v>
      </c>
      <c r="C188" t="s">
        <v>589</v>
      </c>
      <c r="D188" t="s">
        <v>589</v>
      </c>
    </row>
    <row r="189" spans="1:4">
      <c r="A189" s="5" t="s">
        <v>590</v>
      </c>
      <c r="B189" s="5" t="s">
        <v>591</v>
      </c>
      <c r="C189" t="s">
        <v>592</v>
      </c>
      <c r="D189" t="s">
        <v>592</v>
      </c>
    </row>
    <row r="190" spans="1:4">
      <c r="A190" s="5" t="s">
        <v>593</v>
      </c>
      <c r="B190" s="5" t="s">
        <v>594</v>
      </c>
      <c r="C190" t="s">
        <v>595</v>
      </c>
      <c r="D190" t="s">
        <v>595</v>
      </c>
    </row>
    <row r="191" spans="1:4">
      <c r="A191" s="5" t="s">
        <v>596</v>
      </c>
      <c r="B191" s="5" t="s">
        <v>597</v>
      </c>
      <c r="C191" t="s">
        <v>598</v>
      </c>
      <c r="D191" t="s">
        <v>598</v>
      </c>
    </row>
    <row r="192" spans="1:4">
      <c r="A192" s="5" t="s">
        <v>599</v>
      </c>
      <c r="B192" s="5" t="s">
        <v>600</v>
      </c>
      <c r="C192" t="s">
        <v>601</v>
      </c>
      <c r="D192" t="s">
        <v>601</v>
      </c>
    </row>
    <row r="193" spans="1:4">
      <c r="A193" s="5" t="s">
        <v>602</v>
      </c>
      <c r="B193" s="5" t="s">
        <v>603</v>
      </c>
      <c r="C193" t="s">
        <v>604</v>
      </c>
      <c r="D193" t="s">
        <v>604</v>
      </c>
    </row>
    <row r="194" spans="1:4">
      <c r="A194" s="5" t="s">
        <v>605</v>
      </c>
      <c r="B194" s="5" t="s">
        <v>606</v>
      </c>
      <c r="C194" t="s">
        <v>607</v>
      </c>
      <c r="D194" t="s">
        <v>607</v>
      </c>
    </row>
    <row r="195" spans="1:4">
      <c r="A195" s="5" t="s">
        <v>608</v>
      </c>
      <c r="B195" s="5" t="s">
        <v>609</v>
      </c>
      <c r="C195" t="s">
        <v>610</v>
      </c>
      <c r="D195" t="s">
        <v>610</v>
      </c>
    </row>
    <row r="196" spans="1:4">
      <c r="A196" s="5" t="s">
        <v>611</v>
      </c>
      <c r="B196" s="5"/>
      <c r="C196" t="s">
        <v>612</v>
      </c>
      <c r="D196" t="s">
        <v>612</v>
      </c>
    </row>
    <row r="197" spans="1:4">
      <c r="A197" s="5" t="s">
        <v>613</v>
      </c>
      <c r="B197" s="5" t="s">
        <v>614</v>
      </c>
      <c r="C197" t="s">
        <v>615</v>
      </c>
      <c r="D197" t="s">
        <v>615</v>
      </c>
    </row>
    <row r="198" spans="1:4">
      <c r="A198" s="5" t="s">
        <v>616</v>
      </c>
      <c r="B198" s="5" t="s">
        <v>617</v>
      </c>
      <c r="C198" t="s">
        <v>618</v>
      </c>
      <c r="D198" t="s">
        <v>618</v>
      </c>
    </row>
    <row r="199" spans="1:4">
      <c r="A199" s="5" t="s">
        <v>619</v>
      </c>
      <c r="B199" s="5" t="s">
        <v>620</v>
      </c>
      <c r="C199" t="s">
        <v>621</v>
      </c>
      <c r="D199" t="s">
        <v>621</v>
      </c>
    </row>
    <row r="200" spans="1:4">
      <c r="A200" s="5" t="s">
        <v>622</v>
      </c>
      <c r="B200" s="5" t="s">
        <v>623</v>
      </c>
      <c r="C200" t="s">
        <v>624</v>
      </c>
      <c r="D200" t="s">
        <v>624</v>
      </c>
    </row>
    <row r="201" spans="1:4">
      <c r="A201" s="5" t="s">
        <v>625</v>
      </c>
      <c r="B201" s="5" t="s">
        <v>626</v>
      </c>
      <c r="C201" t="s">
        <v>627</v>
      </c>
      <c r="D201" t="s">
        <v>627</v>
      </c>
    </row>
    <row r="202" spans="1:4">
      <c r="A202" s="5" t="s">
        <v>628</v>
      </c>
      <c r="B202" s="5" t="s">
        <v>629</v>
      </c>
      <c r="C202" t="s">
        <v>630</v>
      </c>
      <c r="D202" t="s">
        <v>630</v>
      </c>
    </row>
    <row r="203" spans="1:4">
      <c r="A203" s="5" t="s">
        <v>631</v>
      </c>
      <c r="B203" s="5" t="s">
        <v>632</v>
      </c>
      <c r="C203" t="s">
        <v>633</v>
      </c>
      <c r="D203" t="s">
        <v>633</v>
      </c>
    </row>
    <row r="204" spans="1:4">
      <c r="A204" s="5" t="s">
        <v>634</v>
      </c>
      <c r="B204" s="5" t="s">
        <v>635</v>
      </c>
      <c r="C204" t="s">
        <v>636</v>
      </c>
      <c r="D204" t="s">
        <v>636</v>
      </c>
    </row>
    <row r="205" spans="1:4">
      <c r="A205" s="5" t="s">
        <v>637</v>
      </c>
      <c r="B205" s="5" t="s">
        <v>638</v>
      </c>
      <c r="C205" t="s">
        <v>639</v>
      </c>
      <c r="D205" t="s">
        <v>639</v>
      </c>
    </row>
    <row r="206" spans="1:4">
      <c r="A206" s="5" t="s">
        <v>640</v>
      </c>
      <c r="B206" s="5" t="s">
        <v>641</v>
      </c>
      <c r="C206" t="s">
        <v>642</v>
      </c>
      <c r="D206" t="s">
        <v>642</v>
      </c>
    </row>
    <row r="207" spans="1:4">
      <c r="A207" s="5" t="s">
        <v>643</v>
      </c>
      <c r="B207" s="5" t="s">
        <v>644</v>
      </c>
      <c r="C207" t="s">
        <v>645</v>
      </c>
      <c r="D207" t="s">
        <v>645</v>
      </c>
    </row>
    <row r="208" spans="1:4">
      <c r="A208" s="5" t="s">
        <v>646</v>
      </c>
      <c r="B208" s="5" t="s">
        <v>647</v>
      </c>
      <c r="C208" t="s">
        <v>648</v>
      </c>
      <c r="D208" t="s">
        <v>648</v>
      </c>
    </row>
    <row r="209" spans="1:4">
      <c r="A209" s="5" t="s">
        <v>649</v>
      </c>
      <c r="B209" s="5" t="s">
        <v>650</v>
      </c>
      <c r="C209" t="s">
        <v>651</v>
      </c>
      <c r="D209" t="s">
        <v>651</v>
      </c>
    </row>
    <row r="210" spans="1:4">
      <c r="A210" s="5" t="s">
        <v>652</v>
      </c>
      <c r="B210" s="5" t="s">
        <v>653</v>
      </c>
      <c r="C210" t="s">
        <v>654</v>
      </c>
      <c r="D210" t="s">
        <v>654</v>
      </c>
    </row>
    <row r="211" spans="1:4">
      <c r="A211" s="5" t="s">
        <v>655</v>
      </c>
      <c r="B211" s="5" t="s">
        <v>656</v>
      </c>
      <c r="C211" t="s">
        <v>657</v>
      </c>
      <c r="D211" t="s">
        <v>657</v>
      </c>
    </row>
    <row r="212" spans="1:4">
      <c r="A212" s="5" t="s">
        <v>658</v>
      </c>
      <c r="B212" s="5" t="s">
        <v>659</v>
      </c>
      <c r="C212" t="s">
        <v>660</v>
      </c>
      <c r="D212" t="s">
        <v>660</v>
      </c>
    </row>
    <row r="213" spans="1:4">
      <c r="A213" s="5" t="s">
        <v>661</v>
      </c>
      <c r="B213" s="5" t="s">
        <v>662</v>
      </c>
      <c r="C213" t="s">
        <v>663</v>
      </c>
      <c r="D213" t="s">
        <v>663</v>
      </c>
    </row>
    <row r="214" spans="1:4">
      <c r="A214" s="5" t="s">
        <v>664</v>
      </c>
      <c r="B214" s="5" t="s">
        <v>665</v>
      </c>
      <c r="C214" t="s">
        <v>666</v>
      </c>
      <c r="D214" t="s">
        <v>666</v>
      </c>
    </row>
    <row r="215" spans="1:4">
      <c r="A215" s="5" t="s">
        <v>667</v>
      </c>
      <c r="B215" s="5" t="s">
        <v>668</v>
      </c>
      <c r="C215" t="s">
        <v>669</v>
      </c>
      <c r="D215" t="s">
        <v>669</v>
      </c>
    </row>
    <row r="216" spans="1:4">
      <c r="A216" s="5" t="s">
        <v>670</v>
      </c>
      <c r="B216" s="5" t="s">
        <v>671</v>
      </c>
      <c r="C216" t="s">
        <v>672</v>
      </c>
      <c r="D216" t="s">
        <v>672</v>
      </c>
    </row>
    <row r="217" spans="1:4">
      <c r="A217" s="5" t="s">
        <v>673</v>
      </c>
      <c r="B217" s="5" t="s">
        <v>674</v>
      </c>
      <c r="C217" t="s">
        <v>675</v>
      </c>
      <c r="D217" t="s">
        <v>675</v>
      </c>
    </row>
    <row r="218" spans="1:4">
      <c r="A218" s="5" t="s">
        <v>676</v>
      </c>
      <c r="B218" s="5" t="s">
        <v>677</v>
      </c>
      <c r="C218" t="s">
        <v>678</v>
      </c>
      <c r="D218" t="s">
        <v>678</v>
      </c>
    </row>
    <row r="219" spans="1:4">
      <c r="A219" s="5" t="s">
        <v>679</v>
      </c>
      <c r="B219" s="5" t="s">
        <v>680</v>
      </c>
      <c r="C219" t="s">
        <v>681</v>
      </c>
      <c r="D219" t="s">
        <v>681</v>
      </c>
    </row>
    <row r="220" spans="1:4">
      <c r="A220" s="5" t="s">
        <v>682</v>
      </c>
      <c r="B220" s="5" t="s">
        <v>683</v>
      </c>
      <c r="C220" t="s">
        <v>684</v>
      </c>
      <c r="D220" t="s">
        <v>684</v>
      </c>
    </row>
    <row r="221" spans="1:4">
      <c r="A221" s="5" t="s">
        <v>685</v>
      </c>
      <c r="B221" s="5" t="s">
        <v>686</v>
      </c>
      <c r="C221" t="s">
        <v>687</v>
      </c>
      <c r="D221" t="s">
        <v>687</v>
      </c>
    </row>
    <row r="222" spans="1:4">
      <c r="A222" s="5" t="s">
        <v>688</v>
      </c>
      <c r="B222" s="5" t="s">
        <v>689</v>
      </c>
      <c r="C222" t="s">
        <v>690</v>
      </c>
      <c r="D222" t="s">
        <v>690</v>
      </c>
    </row>
    <row r="223" spans="1:4">
      <c r="A223" s="5" t="s">
        <v>691</v>
      </c>
      <c r="B223" s="5" t="s">
        <v>692</v>
      </c>
      <c r="C223" t="s">
        <v>693</v>
      </c>
      <c r="D223" t="s">
        <v>693</v>
      </c>
    </row>
    <row r="224" spans="1:4">
      <c r="A224" s="5" t="s">
        <v>694</v>
      </c>
      <c r="B224" s="5" t="s">
        <v>695</v>
      </c>
      <c r="C224" t="s">
        <v>696</v>
      </c>
      <c r="D224" t="s">
        <v>696</v>
      </c>
    </row>
    <row r="225" spans="1:4">
      <c r="A225" s="5" t="s">
        <v>697</v>
      </c>
      <c r="B225" s="5" t="s">
        <v>698</v>
      </c>
      <c r="C225" t="s">
        <v>699</v>
      </c>
      <c r="D225" t="s">
        <v>699</v>
      </c>
    </row>
    <row r="226" spans="1:4">
      <c r="A226" s="5" t="s">
        <v>700</v>
      </c>
      <c r="B226" s="5" t="s">
        <v>701</v>
      </c>
      <c r="C226" t="s">
        <v>702</v>
      </c>
      <c r="D226" t="s">
        <v>702</v>
      </c>
    </row>
    <row r="227" spans="1:4">
      <c r="A227" s="5" t="s">
        <v>703</v>
      </c>
      <c r="B227" s="5" t="s">
        <v>704</v>
      </c>
      <c r="C227" t="s">
        <v>705</v>
      </c>
      <c r="D227" t="s">
        <v>705</v>
      </c>
    </row>
    <row r="228" spans="1:4">
      <c r="A228" s="5" t="s">
        <v>706</v>
      </c>
      <c r="B228" s="5" t="s">
        <v>707</v>
      </c>
      <c r="C228" t="s">
        <v>708</v>
      </c>
      <c r="D228" t="s">
        <v>708</v>
      </c>
    </row>
    <row r="229" spans="1:4">
      <c r="A229" s="5" t="s">
        <v>709</v>
      </c>
      <c r="B229" s="5" t="s">
        <v>710</v>
      </c>
      <c r="C229" t="s">
        <v>711</v>
      </c>
      <c r="D229" t="s">
        <v>711</v>
      </c>
    </row>
    <row r="230" spans="1:4">
      <c r="A230" s="5" t="s">
        <v>712</v>
      </c>
      <c r="B230" s="5" t="s">
        <v>713</v>
      </c>
      <c r="C230" t="s">
        <v>714</v>
      </c>
      <c r="D230" t="s">
        <v>714</v>
      </c>
    </row>
    <row r="231" spans="1:4">
      <c r="A231" s="5" t="s">
        <v>715</v>
      </c>
      <c r="B231" s="5" t="s">
        <v>716</v>
      </c>
      <c r="C231" t="s">
        <v>717</v>
      </c>
      <c r="D231" t="s">
        <v>717</v>
      </c>
    </row>
    <row r="232" spans="1:4">
      <c r="A232" s="5" t="s">
        <v>718</v>
      </c>
      <c r="B232" s="5" t="s">
        <v>719</v>
      </c>
      <c r="C232" t="s">
        <v>720</v>
      </c>
      <c r="D232" t="s">
        <v>720</v>
      </c>
    </row>
    <row r="233" spans="1:4">
      <c r="A233" s="5" t="s">
        <v>721</v>
      </c>
      <c r="B233" s="5" t="s">
        <v>722</v>
      </c>
      <c r="C233" t="s">
        <v>723</v>
      </c>
      <c r="D233" t="s">
        <v>723</v>
      </c>
    </row>
    <row r="234" spans="1:4">
      <c r="A234" s="5" t="s">
        <v>724</v>
      </c>
      <c r="B234" s="5" t="s">
        <v>725</v>
      </c>
      <c r="C234" t="s">
        <v>726</v>
      </c>
      <c r="D234" t="s">
        <v>726</v>
      </c>
    </row>
    <row r="235" spans="1:4">
      <c r="A235" s="5" t="s">
        <v>727</v>
      </c>
      <c r="B235" s="5" t="s">
        <v>728</v>
      </c>
      <c r="C235" t="s">
        <v>729</v>
      </c>
      <c r="D235" t="s">
        <v>729</v>
      </c>
    </row>
    <row r="236" spans="1:4">
      <c r="A236" s="5" t="s">
        <v>730</v>
      </c>
      <c r="B236" s="5" t="s">
        <v>731</v>
      </c>
      <c r="C236" t="s">
        <v>732</v>
      </c>
      <c r="D236" t="s">
        <v>732</v>
      </c>
    </row>
    <row r="237" spans="1:4">
      <c r="A237" s="5" t="s">
        <v>733</v>
      </c>
      <c r="B237" s="5" t="s">
        <v>734</v>
      </c>
      <c r="C237" t="s">
        <v>735</v>
      </c>
      <c r="D237" t="s">
        <v>735</v>
      </c>
    </row>
    <row r="238" spans="1:4">
      <c r="A238" s="5" t="s">
        <v>736</v>
      </c>
      <c r="B238" s="5" t="s">
        <v>737</v>
      </c>
      <c r="C238" t="s">
        <v>738</v>
      </c>
      <c r="D238" t="s">
        <v>738</v>
      </c>
    </row>
    <row r="239" spans="1:4">
      <c r="A239" s="5" t="s">
        <v>739</v>
      </c>
      <c r="B239" s="5" t="s">
        <v>740</v>
      </c>
      <c r="C239" t="s">
        <v>741</v>
      </c>
      <c r="D239" t="s">
        <v>741</v>
      </c>
    </row>
    <row r="240" spans="1:4">
      <c r="A240" s="5" t="s">
        <v>742</v>
      </c>
      <c r="B240" s="5" t="s">
        <v>743</v>
      </c>
      <c r="C240" t="s">
        <v>744</v>
      </c>
      <c r="D240" t="s">
        <v>744</v>
      </c>
    </row>
    <row r="241" spans="1:4">
      <c r="A241" s="5" t="s">
        <v>745</v>
      </c>
      <c r="B241" s="5" t="s">
        <v>746</v>
      </c>
      <c r="C241" t="s">
        <v>747</v>
      </c>
      <c r="D241" t="s">
        <v>747</v>
      </c>
    </row>
    <row r="242" spans="1:4">
      <c r="A242" s="5" t="s">
        <v>748</v>
      </c>
      <c r="B242" s="5" t="s">
        <v>749</v>
      </c>
      <c r="C242" t="s">
        <v>750</v>
      </c>
      <c r="D242" t="s">
        <v>750</v>
      </c>
    </row>
    <row r="243" spans="1:4">
      <c r="A243" s="5" t="s">
        <v>751</v>
      </c>
      <c r="B243" s="5" t="s">
        <v>752</v>
      </c>
      <c r="C243" t="s">
        <v>753</v>
      </c>
      <c r="D243" t="s">
        <v>753</v>
      </c>
    </row>
    <row r="244" spans="1:4">
      <c r="A244" s="5" t="s">
        <v>754</v>
      </c>
      <c r="B244" s="5" t="s">
        <v>755</v>
      </c>
      <c r="C244" t="s">
        <v>756</v>
      </c>
      <c r="D244" t="s">
        <v>756</v>
      </c>
    </row>
    <row r="245" spans="1:4">
      <c r="A245" s="5" t="s">
        <v>757</v>
      </c>
      <c r="B245" s="5" t="s">
        <v>758</v>
      </c>
      <c r="C245" t="s">
        <v>759</v>
      </c>
      <c r="D245" t="s">
        <v>759</v>
      </c>
    </row>
    <row r="246" spans="1:4">
      <c r="A246" s="5" t="s">
        <v>760</v>
      </c>
      <c r="B246" s="5" t="s">
        <v>761</v>
      </c>
      <c r="C246" t="s">
        <v>762</v>
      </c>
      <c r="D246" t="s">
        <v>762</v>
      </c>
    </row>
    <row r="247" spans="1:4">
      <c r="A247" s="5" t="s">
        <v>763</v>
      </c>
      <c r="B247" s="5" t="s">
        <v>764</v>
      </c>
      <c r="C247" t="s">
        <v>765</v>
      </c>
      <c r="D247" t="s">
        <v>765</v>
      </c>
    </row>
    <row r="248" spans="1:4">
      <c r="A248" s="5" t="s">
        <v>766</v>
      </c>
      <c r="B248" s="5" t="s">
        <v>767</v>
      </c>
      <c r="C248" t="s">
        <v>768</v>
      </c>
      <c r="D248" t="s">
        <v>768</v>
      </c>
    </row>
    <row r="249" spans="1:4">
      <c r="A249" s="5" t="s">
        <v>769</v>
      </c>
      <c r="B249" s="5" t="s">
        <v>770</v>
      </c>
      <c r="C249" t="s">
        <v>771</v>
      </c>
      <c r="D249" t="s">
        <v>771</v>
      </c>
    </row>
    <row r="250" spans="1:4">
      <c r="A250" s="5" t="s">
        <v>772</v>
      </c>
      <c r="B250" s="5" t="s">
        <v>773</v>
      </c>
      <c r="C250" t="s">
        <v>774</v>
      </c>
      <c r="D250" t="s">
        <v>774</v>
      </c>
    </row>
    <row r="251" spans="1:4">
      <c r="A251" s="5" t="s">
        <v>775</v>
      </c>
      <c r="B251" s="5" t="s">
        <v>776</v>
      </c>
      <c r="C251" t="s">
        <v>777</v>
      </c>
      <c r="D251" t="s">
        <v>777</v>
      </c>
    </row>
    <row r="252" spans="1:4">
      <c r="A252" s="5" t="s">
        <v>778</v>
      </c>
      <c r="B252" s="5" t="s">
        <v>779</v>
      </c>
      <c r="C252" t="s">
        <v>780</v>
      </c>
      <c r="D252" t="s">
        <v>780</v>
      </c>
    </row>
    <row r="253" spans="1:4">
      <c r="A253" s="5" t="s">
        <v>781</v>
      </c>
      <c r="B253" s="5" t="s">
        <v>782</v>
      </c>
      <c r="C253" t="s">
        <v>783</v>
      </c>
      <c r="D253" t="s">
        <v>783</v>
      </c>
    </row>
    <row r="254" spans="1:4">
      <c r="A254" s="5" t="s">
        <v>784</v>
      </c>
      <c r="B254" s="5" t="s">
        <v>785</v>
      </c>
      <c r="C254" t="s">
        <v>786</v>
      </c>
      <c r="D254" t="s">
        <v>786</v>
      </c>
    </row>
    <row r="255" spans="1:4">
      <c r="A255" s="5" t="s">
        <v>787</v>
      </c>
      <c r="B255" s="5" t="s">
        <v>788</v>
      </c>
      <c r="C255" t="s">
        <v>789</v>
      </c>
      <c r="D255" t="s">
        <v>789</v>
      </c>
    </row>
    <row r="256" spans="1:4">
      <c r="A256" s="5" t="s">
        <v>790</v>
      </c>
      <c r="B256" s="5" t="s">
        <v>791</v>
      </c>
      <c r="C256" t="s">
        <v>792</v>
      </c>
      <c r="D256" t="s">
        <v>792</v>
      </c>
    </row>
    <row r="257" spans="1:4">
      <c r="A257" s="5" t="s">
        <v>793</v>
      </c>
      <c r="B257" s="5" t="s">
        <v>794</v>
      </c>
      <c r="C257" t="s">
        <v>795</v>
      </c>
      <c r="D257" t="s">
        <v>795</v>
      </c>
    </row>
    <row r="258" spans="1:4">
      <c r="A258" s="5" t="s">
        <v>796</v>
      </c>
      <c r="B258" s="5" t="s">
        <v>797</v>
      </c>
      <c r="C258" t="s">
        <v>798</v>
      </c>
      <c r="D258" t="s">
        <v>798</v>
      </c>
    </row>
    <row r="259" spans="1:4">
      <c r="A259" s="5" t="s">
        <v>799</v>
      </c>
      <c r="B259" s="5" t="s">
        <v>800</v>
      </c>
      <c r="C259" t="s">
        <v>801</v>
      </c>
      <c r="D259" t="s">
        <v>801</v>
      </c>
    </row>
    <row r="260" spans="1:4">
      <c r="A260" s="5" t="s">
        <v>802</v>
      </c>
      <c r="B260" s="5" t="s">
        <v>803</v>
      </c>
      <c r="C260" t="s">
        <v>804</v>
      </c>
      <c r="D260" t="s">
        <v>804</v>
      </c>
    </row>
    <row r="261" spans="1:4">
      <c r="A261" s="5" t="s">
        <v>805</v>
      </c>
      <c r="B261" s="5" t="s">
        <v>806</v>
      </c>
      <c r="C261" t="s">
        <v>807</v>
      </c>
      <c r="D261" t="s">
        <v>807</v>
      </c>
    </row>
    <row r="262" spans="1:4">
      <c r="A262" s="5" t="s">
        <v>808</v>
      </c>
      <c r="B262" s="5" t="s">
        <v>809</v>
      </c>
      <c r="C262" t="s">
        <v>810</v>
      </c>
      <c r="D262" t="s">
        <v>810</v>
      </c>
    </row>
    <row r="263" spans="1:4">
      <c r="A263" s="5" t="s">
        <v>811</v>
      </c>
      <c r="B263" s="5" t="s">
        <v>809</v>
      </c>
      <c r="C263" t="s">
        <v>812</v>
      </c>
      <c r="D263" t="s">
        <v>812</v>
      </c>
    </row>
    <row r="264" spans="1:4">
      <c r="A264" s="5" t="s">
        <v>813</v>
      </c>
      <c r="B264" s="5" t="s">
        <v>809</v>
      </c>
      <c r="C264" t="s">
        <v>814</v>
      </c>
      <c r="D264" t="s">
        <v>814</v>
      </c>
    </row>
    <row r="265" spans="1:4">
      <c r="A265" s="5" t="s">
        <v>815</v>
      </c>
      <c r="B265" s="5" t="s">
        <v>816</v>
      </c>
      <c r="C265" t="s">
        <v>817</v>
      </c>
      <c r="D265" t="s">
        <v>817</v>
      </c>
    </row>
    <row r="266" spans="1:4">
      <c r="A266" s="5" t="s">
        <v>818</v>
      </c>
      <c r="B266" s="5" t="s">
        <v>816</v>
      </c>
      <c r="C266" t="s">
        <v>819</v>
      </c>
      <c r="D266" t="s">
        <v>819</v>
      </c>
    </row>
    <row r="267" spans="1:4">
      <c r="A267" s="5" t="s">
        <v>820</v>
      </c>
      <c r="B267" s="5" t="s">
        <v>816</v>
      </c>
      <c r="C267" t="s">
        <v>821</v>
      </c>
      <c r="D267" t="s">
        <v>821</v>
      </c>
    </row>
    <row r="268" spans="1:4">
      <c r="A268" s="5" t="s">
        <v>822</v>
      </c>
      <c r="B268" s="5" t="s">
        <v>823</v>
      </c>
      <c r="C268" t="s">
        <v>824</v>
      </c>
      <c r="D268" t="s">
        <v>824</v>
      </c>
    </row>
    <row r="269" spans="1:4">
      <c r="A269" s="5" t="s">
        <v>825</v>
      </c>
      <c r="B269" s="5" t="s">
        <v>823</v>
      </c>
      <c r="C269" t="s">
        <v>826</v>
      </c>
      <c r="D269" t="s">
        <v>826</v>
      </c>
    </row>
    <row r="270" spans="1:4">
      <c r="A270" s="5" t="s">
        <v>827</v>
      </c>
      <c r="B270" s="5" t="s">
        <v>823</v>
      </c>
      <c r="C270" t="s">
        <v>828</v>
      </c>
      <c r="D270" t="s">
        <v>828</v>
      </c>
    </row>
    <row r="271" spans="1:4">
      <c r="A271" s="5" t="s">
        <v>829</v>
      </c>
      <c r="B271" s="5" t="s">
        <v>830</v>
      </c>
      <c r="C271" t="s">
        <v>831</v>
      </c>
      <c r="D271" t="s">
        <v>831</v>
      </c>
    </row>
    <row r="272" spans="1:4">
      <c r="A272" s="5" t="s">
        <v>832</v>
      </c>
      <c r="B272" s="5" t="s">
        <v>833</v>
      </c>
      <c r="C272" t="s">
        <v>834</v>
      </c>
      <c r="D272" t="s">
        <v>834</v>
      </c>
    </row>
    <row r="273" spans="1:7">
      <c r="A273" s="5" t="s">
        <v>835</v>
      </c>
      <c r="B273" s="5" t="s">
        <v>836</v>
      </c>
      <c r="C273" t="s">
        <v>837</v>
      </c>
      <c r="D273" t="s">
        <v>837</v>
      </c>
    </row>
    <row r="274" spans="1:7">
      <c r="A274" s="5" t="s">
        <v>838</v>
      </c>
      <c r="B274" s="5" t="s">
        <v>839</v>
      </c>
      <c r="C274" t="s">
        <v>840</v>
      </c>
      <c r="D274" t="s">
        <v>840</v>
      </c>
    </row>
    <row r="275" spans="1:7">
      <c r="A275" s="5" t="s">
        <v>841</v>
      </c>
      <c r="B275" s="5" t="s">
        <v>842</v>
      </c>
      <c r="C275" t="s">
        <v>843</v>
      </c>
      <c r="D275" t="s">
        <v>843</v>
      </c>
    </row>
    <row r="276" spans="1:7">
      <c r="A276" s="5" t="s">
        <v>844</v>
      </c>
      <c r="B276" s="5" t="s">
        <v>845</v>
      </c>
      <c r="C276" t="s">
        <v>846</v>
      </c>
      <c r="D276" t="s">
        <v>846</v>
      </c>
    </row>
    <row r="277" spans="1:7">
      <c r="A277" s="5" t="s">
        <v>847</v>
      </c>
      <c r="B277" s="5" t="s">
        <v>848</v>
      </c>
      <c r="C277" t="s">
        <v>849</v>
      </c>
      <c r="D277" t="s">
        <v>849</v>
      </c>
    </row>
    <row r="278" spans="1:7">
      <c r="A278" s="5" t="s">
        <v>850</v>
      </c>
      <c r="B278" s="5" t="s">
        <v>851</v>
      </c>
      <c r="C278" t="s">
        <v>852</v>
      </c>
      <c r="D278" t="s">
        <v>852</v>
      </c>
    </row>
    <row r="279" spans="1:7">
      <c r="A279" s="5" t="s">
        <v>853</v>
      </c>
      <c r="B279" s="5" t="s">
        <v>854</v>
      </c>
      <c r="C279" t="s">
        <v>855</v>
      </c>
      <c r="D279" t="s">
        <v>855</v>
      </c>
    </row>
    <row r="280" spans="1:7">
      <c r="A280" s="5" t="s">
        <v>856</v>
      </c>
      <c r="B280" s="5" t="s">
        <v>857</v>
      </c>
      <c r="C280" t="s">
        <v>858</v>
      </c>
      <c r="D280" t="s">
        <v>858</v>
      </c>
    </row>
    <row r="281" spans="1:7">
      <c r="A281" s="5" t="s">
        <v>781</v>
      </c>
      <c r="B281" s="5" t="s">
        <v>782</v>
      </c>
      <c r="C281" t="s">
        <v>783</v>
      </c>
      <c r="D281" t="s">
        <v>783</v>
      </c>
    </row>
    <row r="282" spans="1:7">
      <c r="A282" s="5" t="s">
        <v>859</v>
      </c>
      <c r="B282" s="5" t="s">
        <v>860</v>
      </c>
      <c r="C282" t="s">
        <v>861</v>
      </c>
      <c r="D282" t="s">
        <v>861</v>
      </c>
    </row>
    <row r="283" spans="1:7">
      <c r="A283" s="5" t="s">
        <v>862</v>
      </c>
      <c r="B283" s="5" t="s">
        <v>863</v>
      </c>
      <c r="C283" t="s">
        <v>864</v>
      </c>
      <c r="D283" t="s">
        <v>864</v>
      </c>
    </row>
    <row r="284" spans="1:7">
      <c r="A284" s="5" t="s">
        <v>865</v>
      </c>
      <c r="B284" s="5" t="s">
        <v>866</v>
      </c>
      <c r="C284" t="s">
        <v>867</v>
      </c>
      <c r="D284" t="s">
        <v>867</v>
      </c>
    </row>
    <row r="285" spans="1:7">
      <c r="A285" s="5" t="s">
        <v>868</v>
      </c>
      <c r="B285" s="5" t="s">
        <v>869</v>
      </c>
      <c r="C285" t="s">
        <v>870</v>
      </c>
      <c r="D285" t="s">
        <v>870</v>
      </c>
    </row>
    <row r="286" spans="1:7">
      <c r="A286" s="5" t="s">
        <v>871</v>
      </c>
      <c r="B286" s="5" t="s">
        <v>872</v>
      </c>
      <c r="C286" t="s">
        <v>873</v>
      </c>
      <c r="D286" t="s">
        <v>873</v>
      </c>
    </row>
    <row r="287" spans="1:7">
      <c r="A287" s="5"/>
      <c r="B287" s="5"/>
    </row>
    <row r="288" spans="1:7">
      <c r="A288" s="5" t="s">
        <v>987</v>
      </c>
      <c r="B288" s="5" t="s">
        <v>1250</v>
      </c>
      <c r="C288" t="s">
        <v>1540</v>
      </c>
      <c r="D288" t="s">
        <v>1540</v>
      </c>
      <c r="G288" t="s">
        <v>2221</v>
      </c>
    </row>
    <row r="289" spans="1:7">
      <c r="A289" s="5" t="s">
        <v>988</v>
      </c>
      <c r="B289" s="5" t="s">
        <v>1251</v>
      </c>
      <c r="C289" t="s">
        <v>1541</v>
      </c>
      <c r="D289" t="s">
        <v>1541</v>
      </c>
      <c r="G289" t="s">
        <v>2221</v>
      </c>
    </row>
    <row r="290" spans="1:7">
      <c r="A290" s="5" t="s">
        <v>989</v>
      </c>
      <c r="B290" s="5" t="s">
        <v>1252</v>
      </c>
      <c r="C290" t="s">
        <v>1542</v>
      </c>
      <c r="D290" t="s">
        <v>1542</v>
      </c>
      <c r="G290" t="s">
        <v>2221</v>
      </c>
    </row>
    <row r="291" spans="1:7">
      <c r="A291" s="5" t="s">
        <v>990</v>
      </c>
      <c r="B291" s="5" t="s">
        <v>1253</v>
      </c>
      <c r="C291" t="s">
        <v>1543</v>
      </c>
      <c r="D291" t="s">
        <v>1543</v>
      </c>
      <c r="G291" t="s">
        <v>2221</v>
      </c>
    </row>
    <row r="292" spans="1:7">
      <c r="A292" s="5" t="s">
        <v>991</v>
      </c>
      <c r="B292" s="5" t="s">
        <v>1254</v>
      </c>
      <c r="C292" t="s">
        <v>1544</v>
      </c>
      <c r="D292" t="s">
        <v>1544</v>
      </c>
      <c r="G292" t="s">
        <v>2221</v>
      </c>
    </row>
    <row r="293" spans="1:7">
      <c r="A293" s="5"/>
      <c r="B293" s="5"/>
    </row>
    <row r="294" spans="1:7">
      <c r="A294" s="5" t="s">
        <v>2448</v>
      </c>
      <c r="B294" s="5"/>
      <c r="C294" t="s">
        <v>2449</v>
      </c>
      <c r="G294" t="s">
        <v>2221</v>
      </c>
    </row>
    <row r="295" spans="1:7">
      <c r="A295" s="5"/>
      <c r="B295" s="5"/>
    </row>
    <row r="296" spans="1:7">
      <c r="A296" s="5"/>
      <c r="B296" s="5"/>
    </row>
    <row r="297" spans="1:7">
      <c r="A297" s="5"/>
      <c r="B297" s="5"/>
    </row>
    <row r="298" spans="1:7">
      <c r="A298" s="5"/>
      <c r="B298" s="5"/>
    </row>
    <row r="299" spans="1:7">
      <c r="A299" s="5"/>
      <c r="B299" s="5"/>
    </row>
    <row r="300" spans="1:7">
      <c r="A300" s="5"/>
      <c r="B300" s="5"/>
    </row>
    <row r="301" spans="1:7">
      <c r="A301" s="5"/>
      <c r="B301" s="5"/>
    </row>
    <row r="302" spans="1:7">
      <c r="A302" s="5"/>
      <c r="B302" s="5"/>
    </row>
    <row r="303" spans="1:7">
      <c r="A303" s="5" t="s">
        <v>769</v>
      </c>
      <c r="B303" s="5" t="s">
        <v>770</v>
      </c>
      <c r="C303" t="s">
        <v>1545</v>
      </c>
      <c r="D303" t="s">
        <v>1545</v>
      </c>
      <c r="F303" t="s">
        <v>1920</v>
      </c>
    </row>
    <row r="304" spans="1:7">
      <c r="A304" s="5" t="s">
        <v>742</v>
      </c>
      <c r="B304" s="5" t="s">
        <v>743</v>
      </c>
      <c r="C304" t="s">
        <v>1546</v>
      </c>
      <c r="D304" t="s">
        <v>1546</v>
      </c>
    </row>
    <row r="305" spans="1:6">
      <c r="A305" s="5" t="s">
        <v>766</v>
      </c>
      <c r="B305" s="5"/>
      <c r="C305" t="s">
        <v>1547</v>
      </c>
      <c r="D305" t="s">
        <v>1547</v>
      </c>
    </row>
    <row r="306" spans="1:6">
      <c r="A306" s="5"/>
      <c r="B306" s="5"/>
    </row>
    <row r="307" spans="1:6">
      <c r="A307" s="5" t="s">
        <v>992</v>
      </c>
      <c r="B307" s="5" t="s">
        <v>1255</v>
      </c>
      <c r="C307" t="s">
        <v>1548</v>
      </c>
      <c r="D307" t="s">
        <v>1548</v>
      </c>
      <c r="F307" t="s">
        <v>1921</v>
      </c>
    </row>
    <row r="308" spans="1:6">
      <c r="A308" s="5"/>
      <c r="B308" s="5" t="s">
        <v>1256</v>
      </c>
      <c r="C308" t="s">
        <v>1549</v>
      </c>
      <c r="D308" t="s">
        <v>1549</v>
      </c>
      <c r="F308" t="s">
        <v>1922</v>
      </c>
    </row>
    <row r="309" spans="1:6">
      <c r="A309" s="5"/>
      <c r="B309" s="5"/>
    </row>
    <row r="310" spans="1:6">
      <c r="A310" s="5" t="s">
        <v>993</v>
      </c>
      <c r="B310" s="5"/>
      <c r="C310" t="s">
        <v>1550</v>
      </c>
      <c r="D310" t="s">
        <v>1550</v>
      </c>
    </row>
    <row r="311" spans="1:6">
      <c r="A311" s="5"/>
      <c r="B311" s="5"/>
    </row>
    <row r="312" spans="1:6">
      <c r="A312" s="5" t="s">
        <v>994</v>
      </c>
      <c r="B312" s="5" t="s">
        <v>1257</v>
      </c>
      <c r="C312" t="s">
        <v>1551</v>
      </c>
      <c r="D312" t="s">
        <v>1551</v>
      </c>
      <c r="F312" t="s">
        <v>1923</v>
      </c>
    </row>
    <row r="313" spans="1:6">
      <c r="A313" s="5" t="s">
        <v>995</v>
      </c>
      <c r="B313" s="5" t="s">
        <v>1258</v>
      </c>
      <c r="C313" t="s">
        <v>1552</v>
      </c>
      <c r="D313" t="s">
        <v>1552</v>
      </c>
      <c r="F313" t="s">
        <v>1924</v>
      </c>
    </row>
    <row r="314" spans="1:6">
      <c r="A314" s="5" t="s">
        <v>996</v>
      </c>
      <c r="B314" s="5" t="s">
        <v>1259</v>
      </c>
      <c r="C314" t="s">
        <v>1553</v>
      </c>
      <c r="D314" t="s">
        <v>1553</v>
      </c>
    </row>
    <row r="315" spans="1:6">
      <c r="A315" s="5" t="s">
        <v>997</v>
      </c>
      <c r="B315" s="5" t="s">
        <v>1260</v>
      </c>
      <c r="C315" t="s">
        <v>1554</v>
      </c>
      <c r="D315" t="s">
        <v>1554</v>
      </c>
      <c r="F315" t="s">
        <v>1925</v>
      </c>
    </row>
    <row r="316" spans="1:6">
      <c r="A316" s="5" t="s">
        <v>998</v>
      </c>
      <c r="B316" s="5" t="s">
        <v>1261</v>
      </c>
      <c r="C316" t="s">
        <v>1555</v>
      </c>
      <c r="D316" t="s">
        <v>1555</v>
      </c>
      <c r="F316" t="s">
        <v>1926</v>
      </c>
    </row>
    <row r="317" spans="1:6">
      <c r="A317" s="5" t="s">
        <v>999</v>
      </c>
      <c r="B317" s="5" t="s">
        <v>1262</v>
      </c>
      <c r="C317" t="s">
        <v>1556</v>
      </c>
      <c r="D317" t="s">
        <v>1556</v>
      </c>
      <c r="F317" t="s">
        <v>1927</v>
      </c>
    </row>
    <row r="318" spans="1:6">
      <c r="A318" s="5" t="s">
        <v>1000</v>
      </c>
      <c r="B318" s="5" t="s">
        <v>1263</v>
      </c>
      <c r="C318" t="s">
        <v>1557</v>
      </c>
      <c r="D318" t="s">
        <v>1557</v>
      </c>
      <c r="F318" t="s">
        <v>1928</v>
      </c>
    </row>
    <row r="319" spans="1:6">
      <c r="A319" s="5" t="s">
        <v>1001</v>
      </c>
      <c r="B319" s="5" t="s">
        <v>1264</v>
      </c>
      <c r="C319" t="s">
        <v>1558</v>
      </c>
      <c r="D319" t="s">
        <v>1558</v>
      </c>
      <c r="F319" t="s">
        <v>1929</v>
      </c>
    </row>
    <row r="320" spans="1:6">
      <c r="A320" s="5" t="s">
        <v>1002</v>
      </c>
      <c r="B320" s="5" t="s">
        <v>1265</v>
      </c>
      <c r="C320" t="s">
        <v>1559</v>
      </c>
      <c r="D320" t="s">
        <v>1559</v>
      </c>
      <c r="F320" t="s">
        <v>1930</v>
      </c>
    </row>
    <row r="321" spans="1:7">
      <c r="A321" s="5" t="s">
        <v>1003</v>
      </c>
      <c r="B321" s="5" t="s">
        <v>1266</v>
      </c>
      <c r="C321" t="s">
        <v>1560</v>
      </c>
      <c r="D321" t="s">
        <v>1560</v>
      </c>
      <c r="F321" t="s">
        <v>1931</v>
      </c>
    </row>
    <row r="322" spans="1:7">
      <c r="A322" s="5" t="s">
        <v>1004</v>
      </c>
      <c r="B322" s="5" t="s">
        <v>1267</v>
      </c>
      <c r="C322" t="s">
        <v>1561</v>
      </c>
      <c r="D322" t="s">
        <v>1561</v>
      </c>
      <c r="F322" t="s">
        <v>1932</v>
      </c>
    </row>
    <row r="323" spans="1:7">
      <c r="A323" s="5" t="s">
        <v>1005</v>
      </c>
      <c r="B323" s="5" t="s">
        <v>1268</v>
      </c>
      <c r="C323" t="s">
        <v>1562</v>
      </c>
      <c r="D323" t="s">
        <v>1562</v>
      </c>
      <c r="F323" t="s">
        <v>1933</v>
      </c>
    </row>
    <row r="324" spans="1:7">
      <c r="A324" s="5" t="s">
        <v>1006</v>
      </c>
      <c r="B324" s="5" t="s">
        <v>1269</v>
      </c>
      <c r="C324" t="s">
        <v>1563</v>
      </c>
      <c r="D324" t="s">
        <v>1563</v>
      </c>
      <c r="F324" t="s">
        <v>1934</v>
      </c>
    </row>
    <row r="325" spans="1:7">
      <c r="A325" s="5" t="s">
        <v>1007</v>
      </c>
      <c r="B325" s="5" t="s">
        <v>1270</v>
      </c>
      <c r="C325" t="s">
        <v>1564</v>
      </c>
      <c r="D325" t="s">
        <v>1564</v>
      </c>
      <c r="F325" t="s">
        <v>1935</v>
      </c>
      <c r="G325" t="s">
        <v>2221</v>
      </c>
    </row>
    <row r="326" spans="1:7">
      <c r="A326" s="5" t="s">
        <v>1008</v>
      </c>
      <c r="B326" s="5" t="s">
        <v>1271</v>
      </c>
      <c r="C326" t="s">
        <v>1565</v>
      </c>
      <c r="D326" t="s">
        <v>1565</v>
      </c>
      <c r="F326" t="s">
        <v>1936</v>
      </c>
    </row>
    <row r="327" spans="1:7">
      <c r="A327" s="5" t="s">
        <v>1009</v>
      </c>
      <c r="B327" s="5" t="s">
        <v>1272</v>
      </c>
      <c r="C327" t="s">
        <v>1566</v>
      </c>
      <c r="D327" t="s">
        <v>1566</v>
      </c>
      <c r="F327" t="s">
        <v>1937</v>
      </c>
      <c r="G327" t="s">
        <v>2221</v>
      </c>
    </row>
    <row r="328" spans="1:7">
      <c r="A328" s="5" t="s">
        <v>1010</v>
      </c>
      <c r="B328" s="5" t="s">
        <v>1273</v>
      </c>
      <c r="C328" t="s">
        <v>1567</v>
      </c>
      <c r="D328" t="s">
        <v>1567</v>
      </c>
      <c r="F328" t="s">
        <v>1938</v>
      </c>
    </row>
    <row r="329" spans="1:7">
      <c r="A329" s="5" t="s">
        <v>1011</v>
      </c>
      <c r="B329" s="5" t="s">
        <v>1256</v>
      </c>
      <c r="C329" t="s">
        <v>1568</v>
      </c>
      <c r="D329" t="s">
        <v>1568</v>
      </c>
      <c r="F329" t="s">
        <v>1922</v>
      </c>
    </row>
    <row r="330" spans="1:7">
      <c r="A330" s="5" t="s">
        <v>1012</v>
      </c>
      <c r="B330" s="5" t="s">
        <v>1274</v>
      </c>
      <c r="C330" t="s">
        <v>1569</v>
      </c>
      <c r="D330" t="s">
        <v>1569</v>
      </c>
      <c r="F330" t="s">
        <v>1939</v>
      </c>
      <c r="G330" t="s">
        <v>2221</v>
      </c>
    </row>
    <row r="331" spans="1:7">
      <c r="A331" s="5" t="s">
        <v>1013</v>
      </c>
      <c r="B331" s="5" t="s">
        <v>1275</v>
      </c>
      <c r="C331" t="s">
        <v>1570</v>
      </c>
      <c r="D331" t="s">
        <v>1570</v>
      </c>
      <c r="F331" t="s">
        <v>1940</v>
      </c>
    </row>
    <row r="332" spans="1:7">
      <c r="A332" s="5" t="s">
        <v>1014</v>
      </c>
      <c r="B332" s="5" t="s">
        <v>1276</v>
      </c>
      <c r="C332" t="s">
        <v>1571</v>
      </c>
      <c r="D332" t="s">
        <v>1571</v>
      </c>
      <c r="F332" t="s">
        <v>1941</v>
      </c>
    </row>
    <row r="333" spans="1:7">
      <c r="A333" s="5" t="s">
        <v>1015</v>
      </c>
      <c r="B333" s="5" t="s">
        <v>1277</v>
      </c>
      <c r="C333" t="s">
        <v>1572</v>
      </c>
      <c r="D333" t="s">
        <v>1572</v>
      </c>
      <c r="F333" t="s">
        <v>1942</v>
      </c>
    </row>
    <row r="334" spans="1:7">
      <c r="A334" s="5" t="s">
        <v>1016</v>
      </c>
      <c r="B334" s="5" t="s">
        <v>1278</v>
      </c>
      <c r="C334" t="s">
        <v>1573</v>
      </c>
      <c r="D334" t="s">
        <v>1573</v>
      </c>
      <c r="F334" t="s">
        <v>1943</v>
      </c>
    </row>
    <row r="335" spans="1:7">
      <c r="A335" s="5" t="s">
        <v>1017</v>
      </c>
      <c r="B335" s="5" t="s">
        <v>1279</v>
      </c>
      <c r="C335" t="s">
        <v>1574</v>
      </c>
      <c r="D335" t="s">
        <v>1574</v>
      </c>
      <c r="F335" t="s">
        <v>1944</v>
      </c>
    </row>
    <row r="336" spans="1:7">
      <c r="A336" s="5" t="s">
        <v>1018</v>
      </c>
      <c r="B336" s="5" t="s">
        <v>1280</v>
      </c>
      <c r="C336" t="s">
        <v>1575</v>
      </c>
      <c r="D336" t="s">
        <v>1575</v>
      </c>
      <c r="F336" t="s">
        <v>1945</v>
      </c>
    </row>
    <row r="337" spans="1:7">
      <c r="A337" s="5" t="s">
        <v>1019</v>
      </c>
      <c r="B337" s="5" t="s">
        <v>1281</v>
      </c>
      <c r="C337" t="s">
        <v>1576</v>
      </c>
      <c r="D337" t="s">
        <v>1576</v>
      </c>
      <c r="F337" t="s">
        <v>1946</v>
      </c>
    </row>
    <row r="338" spans="1:7">
      <c r="A338" s="5" t="s">
        <v>1020</v>
      </c>
      <c r="B338" s="5" t="s">
        <v>1282</v>
      </c>
      <c r="C338" t="s">
        <v>1577</v>
      </c>
      <c r="D338" t="s">
        <v>1577</v>
      </c>
      <c r="F338" t="s">
        <v>1947</v>
      </c>
    </row>
    <row r="339" spans="1:7">
      <c r="A339" s="5" t="s">
        <v>1021</v>
      </c>
      <c r="B339" s="5" t="s">
        <v>1283</v>
      </c>
      <c r="C339" t="s">
        <v>1578</v>
      </c>
      <c r="D339" t="s">
        <v>1578</v>
      </c>
      <c r="F339" t="s">
        <v>1948</v>
      </c>
    </row>
    <row r="340" spans="1:7">
      <c r="A340" s="5" t="s">
        <v>1022</v>
      </c>
      <c r="B340" s="5" t="s">
        <v>1284</v>
      </c>
      <c r="C340" t="s">
        <v>1579</v>
      </c>
      <c r="D340" t="s">
        <v>1579</v>
      </c>
      <c r="F340" t="s">
        <v>1949</v>
      </c>
    </row>
    <row r="341" spans="1:7">
      <c r="A341" s="5" t="s">
        <v>1023</v>
      </c>
      <c r="B341" s="5" t="s">
        <v>1285</v>
      </c>
      <c r="C341" t="s">
        <v>1580</v>
      </c>
      <c r="D341" t="s">
        <v>1580</v>
      </c>
      <c r="F341" t="s">
        <v>1950</v>
      </c>
    </row>
    <row r="342" spans="1:7">
      <c r="A342" s="5" t="s">
        <v>1024</v>
      </c>
      <c r="B342" s="5" t="s">
        <v>1286</v>
      </c>
      <c r="C342" t="s">
        <v>1581</v>
      </c>
      <c r="D342" t="s">
        <v>1581</v>
      </c>
      <c r="F342" t="s">
        <v>1951</v>
      </c>
      <c r="G342" t="s">
        <v>2221</v>
      </c>
    </row>
    <row r="343" spans="1:7">
      <c r="A343" s="5" t="s">
        <v>1025</v>
      </c>
      <c r="B343" s="5" t="s">
        <v>1287</v>
      </c>
      <c r="C343" t="s">
        <v>1582</v>
      </c>
      <c r="D343" t="s">
        <v>1582</v>
      </c>
      <c r="F343" t="s">
        <v>1952</v>
      </c>
      <c r="G343" t="s">
        <v>2221</v>
      </c>
    </row>
    <row r="344" spans="1:7">
      <c r="A344" s="5" t="s">
        <v>1026</v>
      </c>
      <c r="B344" s="5" t="s">
        <v>1288</v>
      </c>
      <c r="C344" t="s">
        <v>1583</v>
      </c>
      <c r="D344" t="s">
        <v>1583</v>
      </c>
    </row>
    <row r="345" spans="1:7">
      <c r="A345" s="5" t="s">
        <v>996</v>
      </c>
      <c r="B345" s="5" t="s">
        <v>1259</v>
      </c>
      <c r="C345" t="s">
        <v>1553</v>
      </c>
      <c r="D345" t="s">
        <v>1553</v>
      </c>
    </row>
    <row r="346" spans="1:7">
      <c r="A346" s="5" t="s">
        <v>1027</v>
      </c>
      <c r="B346" s="5" t="s">
        <v>1289</v>
      </c>
      <c r="C346" t="s">
        <v>1584</v>
      </c>
      <c r="D346" t="s">
        <v>1584</v>
      </c>
    </row>
    <row r="347" spans="1:7">
      <c r="A347" s="5" t="s">
        <v>1028</v>
      </c>
      <c r="B347" s="5" t="s">
        <v>1290</v>
      </c>
      <c r="C347" t="s">
        <v>1585</v>
      </c>
      <c r="D347" t="s">
        <v>1585</v>
      </c>
    </row>
    <row r="348" spans="1:7">
      <c r="A348" s="5" t="s">
        <v>1029</v>
      </c>
      <c r="B348" s="5" t="s">
        <v>1291</v>
      </c>
      <c r="C348" t="s">
        <v>1586</v>
      </c>
      <c r="D348" t="s">
        <v>1586</v>
      </c>
    </row>
    <row r="349" spans="1:7">
      <c r="A349" s="5" t="s">
        <v>1030</v>
      </c>
      <c r="B349" s="5" t="s">
        <v>1292</v>
      </c>
      <c r="C349" t="s">
        <v>1587</v>
      </c>
      <c r="D349" t="s">
        <v>1587</v>
      </c>
    </row>
    <row r="350" spans="1:7">
      <c r="A350" s="5" t="s">
        <v>1031</v>
      </c>
      <c r="B350" s="5" t="s">
        <v>1293</v>
      </c>
      <c r="C350" t="s">
        <v>1588</v>
      </c>
      <c r="D350" t="s">
        <v>1588</v>
      </c>
    </row>
    <row r="351" spans="1:7">
      <c r="A351" s="5" t="s">
        <v>1032</v>
      </c>
      <c r="B351" s="5" t="s">
        <v>1294</v>
      </c>
      <c r="C351" t="s">
        <v>1589</v>
      </c>
      <c r="D351" t="s">
        <v>1589</v>
      </c>
    </row>
    <row r="352" spans="1:7">
      <c r="A352" s="5" t="s">
        <v>1033</v>
      </c>
      <c r="B352" s="5" t="s">
        <v>1295</v>
      </c>
      <c r="C352" t="s">
        <v>1590</v>
      </c>
      <c r="D352" t="s">
        <v>1590</v>
      </c>
      <c r="F352" t="s">
        <v>1953</v>
      </c>
      <c r="G352" t="s">
        <v>2221</v>
      </c>
    </row>
    <row r="353" spans="1:7">
      <c r="A353" s="5"/>
      <c r="B353" s="5" t="s">
        <v>1296</v>
      </c>
      <c r="C353" t="s">
        <v>1591</v>
      </c>
      <c r="D353" t="s">
        <v>1591</v>
      </c>
      <c r="F353" t="s">
        <v>1954</v>
      </c>
    </row>
    <row r="354" spans="1:7">
      <c r="A354" s="5" t="s">
        <v>1034</v>
      </c>
      <c r="B354" s="5" t="s">
        <v>1297</v>
      </c>
      <c r="C354" t="s">
        <v>1592</v>
      </c>
      <c r="D354" t="s">
        <v>1592</v>
      </c>
      <c r="F354" t="s">
        <v>1955</v>
      </c>
    </row>
    <row r="355" spans="1:7">
      <c r="A355" s="5"/>
      <c r="B355" s="5" t="s">
        <v>1298</v>
      </c>
      <c r="C355" t="s">
        <v>1593</v>
      </c>
      <c r="D355" t="s">
        <v>1593</v>
      </c>
      <c r="F355" t="s">
        <v>1956</v>
      </c>
    </row>
    <row r="356" spans="1:7">
      <c r="A356" s="5"/>
      <c r="B356" s="5" t="s">
        <v>1299</v>
      </c>
      <c r="C356" t="s">
        <v>1594</v>
      </c>
      <c r="D356" t="s">
        <v>1594</v>
      </c>
      <c r="F356" t="s">
        <v>1957</v>
      </c>
    </row>
    <row r="357" spans="1:7">
      <c r="A357" s="5" t="s">
        <v>1035</v>
      </c>
      <c r="B357" s="5" t="s">
        <v>1300</v>
      </c>
      <c r="C357" t="s">
        <v>1595</v>
      </c>
      <c r="D357" t="s">
        <v>1595</v>
      </c>
      <c r="F357" t="s">
        <v>1958</v>
      </c>
    </row>
    <row r="358" spans="1:7">
      <c r="A358" s="5" t="s">
        <v>1036</v>
      </c>
      <c r="B358" s="5" t="s">
        <v>1301</v>
      </c>
      <c r="C358" t="s">
        <v>1596</v>
      </c>
      <c r="D358" t="s">
        <v>1596</v>
      </c>
      <c r="F358" t="s">
        <v>1959</v>
      </c>
    </row>
    <row r="359" spans="1:7">
      <c r="A359" s="5" t="s">
        <v>1037</v>
      </c>
      <c r="B359" s="5" t="s">
        <v>1302</v>
      </c>
      <c r="C359" t="s">
        <v>1597</v>
      </c>
      <c r="D359" t="s">
        <v>1597</v>
      </c>
      <c r="F359" t="s">
        <v>1960</v>
      </c>
      <c r="G359" t="s">
        <v>2221</v>
      </c>
    </row>
    <row r="360" spans="1:7">
      <c r="A360" s="5" t="s">
        <v>1038</v>
      </c>
      <c r="B360" s="5" t="s">
        <v>1303</v>
      </c>
      <c r="C360" t="s">
        <v>1598</v>
      </c>
      <c r="D360" t="s">
        <v>1598</v>
      </c>
      <c r="F360" t="s">
        <v>1961</v>
      </c>
    </row>
    <row r="361" spans="1:7">
      <c r="A361" s="5" t="s">
        <v>1039</v>
      </c>
      <c r="B361" s="5" t="s">
        <v>1304</v>
      </c>
      <c r="C361" t="s">
        <v>1599</v>
      </c>
      <c r="D361" t="s">
        <v>1599</v>
      </c>
      <c r="F361" t="s">
        <v>1962</v>
      </c>
    </row>
    <row r="362" spans="1:7">
      <c r="A362" s="5" t="s">
        <v>1040</v>
      </c>
      <c r="B362" s="5" t="s">
        <v>1305</v>
      </c>
      <c r="C362" t="s">
        <v>1600</v>
      </c>
      <c r="D362" t="s">
        <v>1600</v>
      </c>
      <c r="F362" t="s">
        <v>1963</v>
      </c>
      <c r="G362" t="s">
        <v>2221</v>
      </c>
    </row>
    <row r="363" spans="1:7">
      <c r="A363" s="5" t="s">
        <v>1041</v>
      </c>
      <c r="B363" s="5" t="s">
        <v>1306</v>
      </c>
      <c r="C363" t="s">
        <v>1601</v>
      </c>
      <c r="D363" t="s">
        <v>1601</v>
      </c>
      <c r="F363" t="s">
        <v>1964</v>
      </c>
      <c r="G363" t="s">
        <v>2221</v>
      </c>
    </row>
    <row r="364" spans="1:7">
      <c r="A364" s="5" t="s">
        <v>1042</v>
      </c>
      <c r="B364" s="5" t="s">
        <v>1307</v>
      </c>
      <c r="C364" t="s">
        <v>1602</v>
      </c>
      <c r="D364" t="s">
        <v>1602</v>
      </c>
      <c r="F364" t="s">
        <v>1965</v>
      </c>
    </row>
    <row r="365" spans="1:7">
      <c r="A365" s="5" t="s">
        <v>1043</v>
      </c>
      <c r="B365" s="5" t="s">
        <v>1308</v>
      </c>
      <c r="C365" t="s">
        <v>1603</v>
      </c>
      <c r="D365" t="s">
        <v>1603</v>
      </c>
      <c r="F365" t="s">
        <v>1966</v>
      </c>
    </row>
    <row r="366" spans="1:7">
      <c r="A366" s="5" t="s">
        <v>1043</v>
      </c>
      <c r="B366" s="5" t="s">
        <v>1309</v>
      </c>
      <c r="C366" t="s">
        <v>1604</v>
      </c>
      <c r="D366" t="s">
        <v>1604</v>
      </c>
      <c r="F366" t="s">
        <v>1967</v>
      </c>
      <c r="G366" t="s">
        <v>2221</v>
      </c>
    </row>
    <row r="367" spans="1:7">
      <c r="A367" s="5" t="s">
        <v>1027</v>
      </c>
      <c r="B367" s="5" t="s">
        <v>1289</v>
      </c>
      <c r="C367" t="s">
        <v>1584</v>
      </c>
      <c r="D367" t="s">
        <v>1584</v>
      </c>
    </row>
    <row r="368" spans="1:7">
      <c r="A368" s="5" t="s">
        <v>1028</v>
      </c>
      <c r="B368" s="5" t="s">
        <v>1290</v>
      </c>
      <c r="C368" t="s">
        <v>1585</v>
      </c>
      <c r="D368" t="s">
        <v>1585</v>
      </c>
    </row>
    <row r="369" spans="1:7">
      <c r="A369" s="5" t="s">
        <v>1029</v>
      </c>
      <c r="B369" s="5" t="s">
        <v>1291</v>
      </c>
      <c r="C369" t="s">
        <v>1586</v>
      </c>
      <c r="D369" t="s">
        <v>1586</v>
      </c>
    </row>
    <row r="370" spans="1:7">
      <c r="A370" s="5" t="s">
        <v>1030</v>
      </c>
      <c r="B370" s="5" t="s">
        <v>1292</v>
      </c>
      <c r="C370" t="s">
        <v>1587</v>
      </c>
      <c r="D370" t="s">
        <v>1587</v>
      </c>
    </row>
    <row r="371" spans="1:7">
      <c r="A371" s="5" t="s">
        <v>1031</v>
      </c>
      <c r="B371" s="5" t="s">
        <v>1293</v>
      </c>
      <c r="C371" t="s">
        <v>1588</v>
      </c>
      <c r="D371" t="s">
        <v>1588</v>
      </c>
    </row>
    <row r="372" spans="1:7">
      <c r="A372" s="5" t="s">
        <v>1032</v>
      </c>
      <c r="B372" s="5" t="s">
        <v>1294</v>
      </c>
      <c r="C372" t="s">
        <v>1589</v>
      </c>
      <c r="D372" t="s">
        <v>1589</v>
      </c>
    </row>
    <row r="373" spans="1:7">
      <c r="A373" s="5" t="s">
        <v>1033</v>
      </c>
      <c r="B373" s="5" t="s">
        <v>1295</v>
      </c>
      <c r="C373" t="s">
        <v>1590</v>
      </c>
      <c r="D373" t="s">
        <v>1590</v>
      </c>
      <c r="F373" t="s">
        <v>1953</v>
      </c>
      <c r="G373" t="s">
        <v>2221</v>
      </c>
    </row>
    <row r="374" spans="1:7">
      <c r="A374" s="5"/>
      <c r="B374" s="5" t="s">
        <v>1296</v>
      </c>
      <c r="C374" t="s">
        <v>1591</v>
      </c>
      <c r="D374" t="s">
        <v>1591</v>
      </c>
      <c r="F374" t="s">
        <v>1954</v>
      </c>
    </row>
    <row r="375" spans="1:7">
      <c r="A375" s="5" t="s">
        <v>1034</v>
      </c>
      <c r="B375" s="5" t="s">
        <v>1297</v>
      </c>
      <c r="C375" t="s">
        <v>1592</v>
      </c>
      <c r="D375" t="s">
        <v>1592</v>
      </c>
      <c r="F375" t="s">
        <v>1955</v>
      </c>
    </row>
    <row r="376" spans="1:7">
      <c r="A376" s="5"/>
      <c r="B376" s="5" t="s">
        <v>1298</v>
      </c>
      <c r="C376" t="s">
        <v>1593</v>
      </c>
      <c r="D376" t="s">
        <v>1593</v>
      </c>
      <c r="F376" t="s">
        <v>1956</v>
      </c>
    </row>
    <row r="377" spans="1:7">
      <c r="A377" s="5"/>
      <c r="B377" s="5" t="s">
        <v>1299</v>
      </c>
      <c r="C377" t="s">
        <v>1594</v>
      </c>
      <c r="D377" t="s">
        <v>1594</v>
      </c>
      <c r="F377" t="s">
        <v>1957</v>
      </c>
    </row>
    <row r="378" spans="1:7">
      <c r="A378" s="5" t="s">
        <v>1035</v>
      </c>
      <c r="B378" s="5" t="s">
        <v>1300</v>
      </c>
      <c r="C378" t="s">
        <v>1595</v>
      </c>
      <c r="D378" t="s">
        <v>1595</v>
      </c>
      <c r="F378" t="s">
        <v>1958</v>
      </c>
    </row>
    <row r="379" spans="1:7">
      <c r="A379" s="5" t="s">
        <v>1036</v>
      </c>
      <c r="B379" s="5" t="s">
        <v>1301</v>
      </c>
      <c r="C379" t="s">
        <v>1596</v>
      </c>
      <c r="D379" t="s">
        <v>1596</v>
      </c>
      <c r="F379" t="s">
        <v>1959</v>
      </c>
    </row>
    <row r="380" spans="1:7">
      <c r="A380" s="5" t="s">
        <v>1044</v>
      </c>
      <c r="B380" s="5" t="s">
        <v>1302</v>
      </c>
      <c r="C380" t="s">
        <v>1597</v>
      </c>
      <c r="D380" t="s">
        <v>1597</v>
      </c>
      <c r="F380" t="s">
        <v>1960</v>
      </c>
      <c r="G380" t="s">
        <v>2221</v>
      </c>
    </row>
    <row r="381" spans="1:7">
      <c r="A381" s="5"/>
      <c r="B381" s="5" t="s">
        <v>1303</v>
      </c>
      <c r="C381" t="s">
        <v>1598</v>
      </c>
      <c r="D381" t="s">
        <v>1598</v>
      </c>
      <c r="F381" t="s">
        <v>1961</v>
      </c>
    </row>
    <row r="382" spans="1:7">
      <c r="A382" s="5" t="s">
        <v>1039</v>
      </c>
      <c r="B382" s="5" t="s">
        <v>1304</v>
      </c>
      <c r="C382" t="s">
        <v>1599</v>
      </c>
      <c r="D382" t="s">
        <v>1599</v>
      </c>
      <c r="F382" t="s">
        <v>1962</v>
      </c>
    </row>
    <row r="383" spans="1:7">
      <c r="A383" s="5"/>
      <c r="B383" s="5" t="s">
        <v>1305</v>
      </c>
      <c r="C383" t="s">
        <v>1600</v>
      </c>
      <c r="D383" t="s">
        <v>1600</v>
      </c>
      <c r="F383" t="s">
        <v>1963</v>
      </c>
      <c r="G383" t="s">
        <v>2221</v>
      </c>
    </row>
    <row r="384" spans="1:7">
      <c r="A384" s="5" t="s">
        <v>1041</v>
      </c>
      <c r="B384" s="5" t="s">
        <v>1306</v>
      </c>
      <c r="C384" t="s">
        <v>1601</v>
      </c>
      <c r="D384" t="s">
        <v>1601</v>
      </c>
      <c r="F384" t="s">
        <v>1964</v>
      </c>
      <c r="G384" t="s">
        <v>2221</v>
      </c>
    </row>
    <row r="385" spans="1:7">
      <c r="A385" s="5"/>
      <c r="B385" s="5" t="s">
        <v>1307</v>
      </c>
      <c r="C385" t="s">
        <v>1602</v>
      </c>
      <c r="D385" t="s">
        <v>1602</v>
      </c>
      <c r="F385" t="s">
        <v>1965</v>
      </c>
    </row>
    <row r="386" spans="1:7">
      <c r="A386" s="5" t="s">
        <v>1045</v>
      </c>
      <c r="B386" s="5" t="s">
        <v>1308</v>
      </c>
      <c r="C386" t="s">
        <v>1603</v>
      </c>
      <c r="D386" t="s">
        <v>1603</v>
      </c>
      <c r="F386" t="s">
        <v>1966</v>
      </c>
    </row>
    <row r="387" spans="1:7">
      <c r="A387" s="5" t="s">
        <v>1043</v>
      </c>
      <c r="B387" s="5" t="s">
        <v>1309</v>
      </c>
      <c r="C387" t="s">
        <v>1604</v>
      </c>
      <c r="D387" t="s">
        <v>1604</v>
      </c>
      <c r="F387" t="s">
        <v>1967</v>
      </c>
      <c r="G387" t="s">
        <v>2221</v>
      </c>
    </row>
    <row r="388" spans="1:7">
      <c r="A388" s="5" t="s">
        <v>1046</v>
      </c>
      <c r="B388" s="5" t="s">
        <v>1310</v>
      </c>
      <c r="C388" t="s">
        <v>1605</v>
      </c>
      <c r="D388" t="s">
        <v>1605</v>
      </c>
      <c r="F388" t="s">
        <v>1968</v>
      </c>
    </row>
    <row r="389" spans="1:7">
      <c r="A389" s="5" t="s">
        <v>1047</v>
      </c>
      <c r="B389" s="5" t="s">
        <v>1311</v>
      </c>
      <c r="C389" t="s">
        <v>1606</v>
      </c>
      <c r="D389" t="s">
        <v>1606</v>
      </c>
      <c r="F389" t="s">
        <v>1969</v>
      </c>
      <c r="G389" t="s">
        <v>2221</v>
      </c>
    </row>
    <row r="390" spans="1:7">
      <c r="A390" s="5" t="s">
        <v>1048</v>
      </c>
      <c r="B390" s="5" t="s">
        <v>1312</v>
      </c>
      <c r="C390" t="s">
        <v>1607</v>
      </c>
      <c r="D390" t="s">
        <v>1607</v>
      </c>
    </row>
    <row r="391" spans="1:7">
      <c r="A391" s="5" t="s">
        <v>1049</v>
      </c>
      <c r="B391" s="5" t="s">
        <v>1313</v>
      </c>
      <c r="C391" t="s">
        <v>1608</v>
      </c>
      <c r="D391" t="s">
        <v>1608</v>
      </c>
    </row>
    <row r="392" spans="1:7">
      <c r="A392" s="5" t="s">
        <v>1050</v>
      </c>
      <c r="B392" s="5" t="s">
        <v>1314</v>
      </c>
      <c r="C392" t="s">
        <v>1609</v>
      </c>
      <c r="D392" t="s">
        <v>1609</v>
      </c>
    </row>
    <row r="393" spans="1:7">
      <c r="A393" s="5" t="s">
        <v>1051</v>
      </c>
      <c r="B393" s="5" t="s">
        <v>1315</v>
      </c>
      <c r="C393" t="s">
        <v>1610</v>
      </c>
      <c r="D393" t="s">
        <v>1610</v>
      </c>
    </row>
    <row r="394" spans="1:7">
      <c r="A394" s="5" t="s">
        <v>1052</v>
      </c>
      <c r="B394" s="5" t="s">
        <v>1316</v>
      </c>
      <c r="C394" t="s">
        <v>1611</v>
      </c>
      <c r="D394" t="s">
        <v>1611</v>
      </c>
    </row>
    <row r="395" spans="1:7">
      <c r="A395" s="5" t="s">
        <v>1053</v>
      </c>
      <c r="B395" s="5" t="s">
        <v>1317</v>
      </c>
      <c r="C395" t="s">
        <v>1612</v>
      </c>
      <c r="D395" t="s">
        <v>1612</v>
      </c>
      <c r="F395" t="s">
        <v>1970</v>
      </c>
    </row>
    <row r="396" spans="1:7">
      <c r="A396" s="5" t="s">
        <v>1054</v>
      </c>
      <c r="B396" s="5" t="s">
        <v>1318</v>
      </c>
      <c r="C396" t="s">
        <v>1613</v>
      </c>
      <c r="D396" t="s">
        <v>1613</v>
      </c>
      <c r="F396" t="s">
        <v>1971</v>
      </c>
    </row>
    <row r="397" spans="1:7">
      <c r="A397" s="5" t="s">
        <v>1055</v>
      </c>
      <c r="B397" s="5" t="s">
        <v>1319</v>
      </c>
      <c r="C397" t="s">
        <v>1614</v>
      </c>
      <c r="D397" t="s">
        <v>1614</v>
      </c>
      <c r="F397" t="s">
        <v>1972</v>
      </c>
    </row>
    <row r="398" spans="1:7">
      <c r="A398" s="5" t="s">
        <v>1056</v>
      </c>
      <c r="B398" s="5" t="s">
        <v>1320</v>
      </c>
      <c r="C398" t="s">
        <v>1615</v>
      </c>
      <c r="D398" t="s">
        <v>1615</v>
      </c>
      <c r="F398" t="s">
        <v>1973</v>
      </c>
    </row>
    <row r="399" spans="1:7">
      <c r="A399" s="5"/>
      <c r="B399" s="5"/>
    </row>
    <row r="400" spans="1:7">
      <c r="A400" s="5" t="s">
        <v>1048</v>
      </c>
      <c r="B400" s="5" t="s">
        <v>1312</v>
      </c>
      <c r="C400" t="s">
        <v>1616</v>
      </c>
      <c r="D400" t="s">
        <v>1616</v>
      </c>
    </row>
    <row r="401" spans="1:7">
      <c r="A401" s="5" t="s">
        <v>1049</v>
      </c>
      <c r="B401" s="5" t="s">
        <v>1313</v>
      </c>
      <c r="C401" t="s">
        <v>1617</v>
      </c>
      <c r="D401" t="s">
        <v>1617</v>
      </c>
    </row>
    <row r="402" spans="1:7">
      <c r="A402" s="5" t="s">
        <v>1050</v>
      </c>
      <c r="B402" s="5" t="s">
        <v>1314</v>
      </c>
      <c r="C402" t="s">
        <v>1618</v>
      </c>
      <c r="D402" t="s">
        <v>1618</v>
      </c>
    </row>
    <row r="403" spans="1:7">
      <c r="A403" s="5" t="s">
        <v>1051</v>
      </c>
      <c r="B403" s="5" t="s">
        <v>1315</v>
      </c>
      <c r="C403" t="s">
        <v>1619</v>
      </c>
      <c r="D403" t="s">
        <v>1619</v>
      </c>
    </row>
    <row r="404" spans="1:7">
      <c r="A404" s="5" t="s">
        <v>1024</v>
      </c>
      <c r="B404" s="5" t="s">
        <v>1286</v>
      </c>
      <c r="C404" t="s">
        <v>1581</v>
      </c>
      <c r="D404" t="s">
        <v>1581</v>
      </c>
      <c r="F404" t="s">
        <v>1951</v>
      </c>
      <c r="G404" t="s">
        <v>2221</v>
      </c>
    </row>
    <row r="405" spans="1:7">
      <c r="A405" s="5" t="s">
        <v>1057</v>
      </c>
      <c r="B405" s="5" t="s">
        <v>1321</v>
      </c>
      <c r="C405" t="s">
        <v>1620</v>
      </c>
      <c r="D405" t="s">
        <v>1620</v>
      </c>
      <c r="F405" t="s">
        <v>1974</v>
      </c>
      <c r="G405" t="s">
        <v>2221</v>
      </c>
    </row>
    <row r="406" spans="1:7">
      <c r="A406" s="5" t="s">
        <v>1058</v>
      </c>
      <c r="B406" s="5" t="s">
        <v>1322</v>
      </c>
      <c r="C406" t="s">
        <v>1621</v>
      </c>
      <c r="D406" t="s">
        <v>1621</v>
      </c>
      <c r="F406" t="s">
        <v>1975</v>
      </c>
      <c r="G406" t="s">
        <v>2221</v>
      </c>
    </row>
    <row r="407" spans="1:7">
      <c r="A407" s="5" t="s">
        <v>1059</v>
      </c>
      <c r="B407" s="5" t="s">
        <v>1323</v>
      </c>
      <c r="C407" t="s">
        <v>1622</v>
      </c>
      <c r="D407" t="s">
        <v>1622</v>
      </c>
      <c r="F407" t="s">
        <v>1976</v>
      </c>
    </row>
    <row r="408" spans="1:7">
      <c r="A408" s="5" t="s">
        <v>1060</v>
      </c>
      <c r="B408" s="5" t="s">
        <v>1324</v>
      </c>
      <c r="C408" t="s">
        <v>1623</v>
      </c>
      <c r="D408" t="s">
        <v>1623</v>
      </c>
      <c r="F408" t="s">
        <v>1977</v>
      </c>
    </row>
    <row r="409" spans="1:7">
      <c r="A409" s="5" t="s">
        <v>1061</v>
      </c>
      <c r="B409" s="5" t="s">
        <v>1325</v>
      </c>
      <c r="C409" t="s">
        <v>1624</v>
      </c>
      <c r="D409" t="s">
        <v>1624</v>
      </c>
      <c r="F409" t="s">
        <v>1978</v>
      </c>
    </row>
    <row r="410" spans="1:7">
      <c r="A410" s="5" t="s">
        <v>1062</v>
      </c>
      <c r="B410" s="5" t="s">
        <v>1326</v>
      </c>
      <c r="C410" t="s">
        <v>1625</v>
      </c>
      <c r="D410" t="s">
        <v>1625</v>
      </c>
      <c r="F410" t="s">
        <v>1979</v>
      </c>
    </row>
    <row r="411" spans="1:7">
      <c r="A411" s="5" t="s">
        <v>1063</v>
      </c>
      <c r="B411" s="5" t="s">
        <v>1327</v>
      </c>
      <c r="C411" t="s">
        <v>1626</v>
      </c>
      <c r="D411" t="s">
        <v>1626</v>
      </c>
      <c r="F411" t="s">
        <v>1980</v>
      </c>
    </row>
    <row r="412" spans="1:7">
      <c r="A412" s="5" t="s">
        <v>1064</v>
      </c>
      <c r="B412" s="5" t="s">
        <v>1328</v>
      </c>
      <c r="C412" t="s">
        <v>1627</v>
      </c>
      <c r="D412" t="s">
        <v>1627</v>
      </c>
    </row>
    <row r="413" spans="1:7">
      <c r="A413" s="5" t="s">
        <v>1065</v>
      </c>
      <c r="B413" s="5" t="s">
        <v>1329</v>
      </c>
      <c r="C413" t="s">
        <v>1628</v>
      </c>
      <c r="D413" t="s">
        <v>1628</v>
      </c>
    </row>
    <row r="414" spans="1:7">
      <c r="A414" s="5" t="s">
        <v>1066</v>
      </c>
      <c r="B414" s="5" t="s">
        <v>1330</v>
      </c>
      <c r="C414" t="s">
        <v>1629</v>
      </c>
      <c r="D414" t="s">
        <v>1629</v>
      </c>
    </row>
    <row r="415" spans="1:7">
      <c r="A415" s="5" t="s">
        <v>1067</v>
      </c>
      <c r="B415" s="5" t="s">
        <v>1331</v>
      </c>
      <c r="C415" t="s">
        <v>1630</v>
      </c>
      <c r="D415" t="s">
        <v>1630</v>
      </c>
      <c r="F415" t="s">
        <v>1981</v>
      </c>
      <c r="G415" t="s">
        <v>2221</v>
      </c>
    </row>
    <row r="416" spans="1:7">
      <c r="A416" s="5" t="s">
        <v>1053</v>
      </c>
      <c r="B416" s="5" t="s">
        <v>1317</v>
      </c>
      <c r="C416" t="s">
        <v>1612</v>
      </c>
      <c r="D416" t="s">
        <v>1612</v>
      </c>
      <c r="F416" t="s">
        <v>1970</v>
      </c>
    </row>
    <row r="417" spans="1:7">
      <c r="A417" s="5" t="s">
        <v>1054</v>
      </c>
      <c r="B417" s="5" t="s">
        <v>1318</v>
      </c>
      <c r="C417" t="s">
        <v>1613</v>
      </c>
      <c r="D417" t="s">
        <v>1613</v>
      </c>
      <c r="F417" t="s">
        <v>1971</v>
      </c>
    </row>
    <row r="418" spans="1:7">
      <c r="A418" s="5" t="s">
        <v>1068</v>
      </c>
      <c r="B418" s="5" t="s">
        <v>1332</v>
      </c>
      <c r="C418" t="s">
        <v>1550</v>
      </c>
      <c r="D418" t="s">
        <v>1550</v>
      </c>
      <c r="F418" t="s">
        <v>1982</v>
      </c>
    </row>
    <row r="419" spans="1:7">
      <c r="A419" s="5" t="s">
        <v>1069</v>
      </c>
      <c r="B419" s="5" t="s">
        <v>1333</v>
      </c>
      <c r="C419" t="s">
        <v>1631</v>
      </c>
      <c r="D419" t="s">
        <v>1631</v>
      </c>
      <c r="F419" t="s">
        <v>1983</v>
      </c>
    </row>
    <row r="420" spans="1:7">
      <c r="A420" s="5" t="s">
        <v>1070</v>
      </c>
      <c r="B420" s="5" t="s">
        <v>1334</v>
      </c>
      <c r="C420" t="s">
        <v>1632</v>
      </c>
      <c r="D420" t="s">
        <v>1632</v>
      </c>
      <c r="F420" t="s">
        <v>1984</v>
      </c>
    </row>
    <row r="421" spans="1:7">
      <c r="A421" s="5" t="s">
        <v>1071</v>
      </c>
      <c r="B421" s="5" t="s">
        <v>1335</v>
      </c>
      <c r="C421" t="s">
        <v>1633</v>
      </c>
      <c r="D421" t="s">
        <v>1633</v>
      </c>
      <c r="F421" t="s">
        <v>1985</v>
      </c>
    </row>
    <row r="422" spans="1:7">
      <c r="A422" s="5" t="s">
        <v>1072</v>
      </c>
      <c r="B422" s="5" t="s">
        <v>1336</v>
      </c>
      <c r="C422" t="s">
        <v>1634</v>
      </c>
      <c r="D422" t="s">
        <v>1634</v>
      </c>
      <c r="F422" t="s">
        <v>1986</v>
      </c>
    </row>
    <row r="423" spans="1:7">
      <c r="A423" s="5" t="s">
        <v>1055</v>
      </c>
      <c r="B423" s="5" t="s">
        <v>1319</v>
      </c>
      <c r="C423" t="s">
        <v>1614</v>
      </c>
      <c r="D423" t="s">
        <v>1614</v>
      </c>
      <c r="F423" t="s">
        <v>1972</v>
      </c>
    </row>
    <row r="424" spans="1:7">
      <c r="A424" s="5" t="s">
        <v>1056</v>
      </c>
      <c r="B424" s="5" t="s">
        <v>1320</v>
      </c>
      <c r="C424" t="s">
        <v>1615</v>
      </c>
      <c r="D424" t="s">
        <v>1615</v>
      </c>
      <c r="F424" t="s">
        <v>1973</v>
      </c>
    </row>
    <row r="425" spans="1:7">
      <c r="A425" s="5" t="s">
        <v>1073</v>
      </c>
      <c r="B425" s="5" t="s">
        <v>1337</v>
      </c>
      <c r="C425" t="s">
        <v>1635</v>
      </c>
      <c r="D425" t="s">
        <v>1635</v>
      </c>
      <c r="F425" t="s">
        <v>1987</v>
      </c>
    </row>
    <row r="426" spans="1:7">
      <c r="A426" s="5" t="s">
        <v>1074</v>
      </c>
      <c r="B426" s="5" t="s">
        <v>1338</v>
      </c>
      <c r="C426" t="s">
        <v>1636</v>
      </c>
      <c r="D426" t="s">
        <v>1636</v>
      </c>
      <c r="F426" t="s">
        <v>1988</v>
      </c>
      <c r="G426" t="s">
        <v>2221</v>
      </c>
    </row>
    <row r="427" spans="1:7">
      <c r="A427" s="5"/>
      <c r="B427" s="5" t="s">
        <v>1339</v>
      </c>
      <c r="C427" t="s">
        <v>1637</v>
      </c>
      <c r="D427" t="s">
        <v>1637</v>
      </c>
      <c r="F427" t="s">
        <v>1989</v>
      </c>
      <c r="G427" t="s">
        <v>2221</v>
      </c>
    </row>
    <row r="428" spans="1:7">
      <c r="A428" s="5" t="s">
        <v>1075</v>
      </c>
      <c r="B428" s="5" t="s">
        <v>1340</v>
      </c>
      <c r="C428" t="s">
        <v>1638</v>
      </c>
      <c r="D428" t="s">
        <v>1638</v>
      </c>
      <c r="F428" t="s">
        <v>1990</v>
      </c>
      <c r="G428" t="s">
        <v>2221</v>
      </c>
    </row>
    <row r="429" spans="1:7">
      <c r="A429" s="5"/>
      <c r="B429" s="5"/>
      <c r="C429" t="s">
        <v>1639</v>
      </c>
      <c r="D429" t="s">
        <v>1639</v>
      </c>
      <c r="F429" t="s">
        <v>1991</v>
      </c>
    </row>
    <row r="430" spans="1:7">
      <c r="A430" s="5"/>
      <c r="B430" s="5"/>
      <c r="C430" t="s">
        <v>1640</v>
      </c>
      <c r="D430" t="s">
        <v>1640</v>
      </c>
      <c r="F430" t="s">
        <v>1992</v>
      </c>
    </row>
    <row r="431" spans="1:7">
      <c r="A431" s="5" t="s">
        <v>1076</v>
      </c>
      <c r="B431" s="5" t="s">
        <v>1341</v>
      </c>
      <c r="C431" t="s">
        <v>1641</v>
      </c>
      <c r="D431" t="s">
        <v>1641</v>
      </c>
      <c r="F431" t="s">
        <v>1993</v>
      </c>
      <c r="G431" t="s">
        <v>2221</v>
      </c>
    </row>
    <row r="432" spans="1:7">
      <c r="A432" s="5" t="s">
        <v>1026</v>
      </c>
      <c r="B432" s="5" t="s">
        <v>1288</v>
      </c>
      <c r="C432" t="s">
        <v>1583</v>
      </c>
      <c r="D432" t="s">
        <v>1583</v>
      </c>
    </row>
    <row r="433" spans="1:7">
      <c r="A433" s="5" t="s">
        <v>996</v>
      </c>
      <c r="B433" s="5" t="s">
        <v>1259</v>
      </c>
      <c r="C433" t="s">
        <v>1553</v>
      </c>
      <c r="D433" t="s">
        <v>1553</v>
      </c>
    </row>
    <row r="434" spans="1:7">
      <c r="A434" s="5" t="s">
        <v>1027</v>
      </c>
      <c r="B434" s="5" t="s">
        <v>1289</v>
      </c>
      <c r="C434" t="s">
        <v>1584</v>
      </c>
      <c r="D434" t="s">
        <v>1584</v>
      </c>
    </row>
    <row r="435" spans="1:7">
      <c r="A435" s="5" t="s">
        <v>1066</v>
      </c>
      <c r="B435" s="5" t="s">
        <v>1330</v>
      </c>
      <c r="C435" t="s">
        <v>1642</v>
      </c>
      <c r="D435" t="s">
        <v>1642</v>
      </c>
    </row>
    <row r="436" spans="1:7">
      <c r="A436" s="5" t="s">
        <v>1031</v>
      </c>
      <c r="B436" s="5" t="s">
        <v>1293</v>
      </c>
      <c r="C436" t="s">
        <v>1588</v>
      </c>
      <c r="D436" t="s">
        <v>1588</v>
      </c>
    </row>
    <row r="437" spans="1:7">
      <c r="A437" s="5"/>
      <c r="B437" s="5" t="s">
        <v>1291</v>
      </c>
      <c r="C437" t="s">
        <v>1643</v>
      </c>
      <c r="D437" t="s">
        <v>1643</v>
      </c>
    </row>
    <row r="438" spans="1:7">
      <c r="A438" s="5" t="s">
        <v>1077</v>
      </c>
      <c r="B438" s="5" t="s">
        <v>1342</v>
      </c>
      <c r="C438" t="s">
        <v>1644</v>
      </c>
      <c r="D438" t="s">
        <v>1644</v>
      </c>
      <c r="F438" t="s">
        <v>1994</v>
      </c>
      <c r="G438" t="s">
        <v>2221</v>
      </c>
    </row>
    <row r="439" spans="1:7">
      <c r="A439" s="5" t="s">
        <v>1078</v>
      </c>
      <c r="B439" s="5" t="s">
        <v>1343</v>
      </c>
      <c r="C439" t="s">
        <v>1645</v>
      </c>
      <c r="D439" t="s">
        <v>1645</v>
      </c>
      <c r="F439" t="s">
        <v>1995</v>
      </c>
    </row>
    <row r="440" spans="1:7">
      <c r="A440" s="5" t="s">
        <v>1079</v>
      </c>
      <c r="B440" s="5" t="s">
        <v>1344</v>
      </c>
      <c r="C440" t="s">
        <v>1646</v>
      </c>
      <c r="D440" t="s">
        <v>1646</v>
      </c>
      <c r="F440" t="s">
        <v>1996</v>
      </c>
      <c r="G440" t="s">
        <v>2221</v>
      </c>
    </row>
    <row r="441" spans="1:7">
      <c r="A441" s="5" t="s">
        <v>1080</v>
      </c>
      <c r="B441" s="5" t="s">
        <v>1345</v>
      </c>
      <c r="C441" t="s">
        <v>1647</v>
      </c>
      <c r="D441" t="s">
        <v>1647</v>
      </c>
      <c r="F441" t="s">
        <v>1997</v>
      </c>
      <c r="G441" t="s">
        <v>2221</v>
      </c>
    </row>
    <row r="442" spans="1:7">
      <c r="A442" s="5" t="s">
        <v>1081</v>
      </c>
      <c r="B442" s="5" t="s">
        <v>1346</v>
      </c>
      <c r="C442" t="s">
        <v>1648</v>
      </c>
      <c r="D442" t="s">
        <v>1648</v>
      </c>
      <c r="F442" t="s">
        <v>1998</v>
      </c>
    </row>
    <row r="443" spans="1:7">
      <c r="A443" s="5"/>
      <c r="B443" s="5" t="s">
        <v>1347</v>
      </c>
      <c r="C443" t="s">
        <v>1649</v>
      </c>
      <c r="D443" t="s">
        <v>1649</v>
      </c>
      <c r="F443" t="s">
        <v>1999</v>
      </c>
    </row>
    <row r="444" spans="1:7">
      <c r="A444" s="5"/>
      <c r="B444" s="5" t="s">
        <v>1348</v>
      </c>
      <c r="C444" t="s">
        <v>1650</v>
      </c>
      <c r="D444" t="s">
        <v>1650</v>
      </c>
      <c r="F444" t="s">
        <v>2000</v>
      </c>
    </row>
    <row r="445" spans="1:7">
      <c r="A445" s="5" t="s">
        <v>1082</v>
      </c>
      <c r="B445" s="5" t="s">
        <v>1349</v>
      </c>
      <c r="C445" t="s">
        <v>1651</v>
      </c>
      <c r="D445" t="s">
        <v>1651</v>
      </c>
      <c r="F445" t="s">
        <v>2001</v>
      </c>
      <c r="G445" t="s">
        <v>2221</v>
      </c>
    </row>
    <row r="446" spans="1:7">
      <c r="A446" s="5" t="s">
        <v>1083</v>
      </c>
      <c r="B446" s="5" t="s">
        <v>1350</v>
      </c>
      <c r="C446" t="s">
        <v>1652</v>
      </c>
      <c r="D446" t="s">
        <v>1652</v>
      </c>
      <c r="F446" t="s">
        <v>2002</v>
      </c>
      <c r="G446" t="s">
        <v>2221</v>
      </c>
    </row>
    <row r="447" spans="1:7">
      <c r="A447" s="5"/>
      <c r="B447" s="5" t="s">
        <v>1351</v>
      </c>
      <c r="C447" t="s">
        <v>1653</v>
      </c>
      <c r="D447" t="s">
        <v>1653</v>
      </c>
      <c r="F447" t="s">
        <v>2003</v>
      </c>
      <c r="G447" t="s">
        <v>2221</v>
      </c>
    </row>
    <row r="448" spans="1:7">
      <c r="A448" s="5" t="s">
        <v>1084</v>
      </c>
      <c r="B448" s="5" t="s">
        <v>1352</v>
      </c>
      <c r="C448" t="s">
        <v>1654</v>
      </c>
      <c r="D448" t="s">
        <v>1654</v>
      </c>
      <c r="F448" t="s">
        <v>2004</v>
      </c>
    </row>
    <row r="449" spans="1:7">
      <c r="A449" s="5" t="s">
        <v>1085</v>
      </c>
      <c r="B449" s="5" t="s">
        <v>1353</v>
      </c>
      <c r="C449" t="s">
        <v>1655</v>
      </c>
      <c r="D449" t="s">
        <v>1655</v>
      </c>
      <c r="F449" t="s">
        <v>2005</v>
      </c>
      <c r="G449" t="s">
        <v>2221</v>
      </c>
    </row>
    <row r="450" spans="1:7">
      <c r="A450" s="5"/>
      <c r="B450" s="5" t="s">
        <v>1354</v>
      </c>
      <c r="C450" t="s">
        <v>1656</v>
      </c>
      <c r="D450" t="s">
        <v>1656</v>
      </c>
    </row>
    <row r="451" spans="1:7">
      <c r="A451" s="5"/>
      <c r="B451" s="5" t="s">
        <v>1355</v>
      </c>
      <c r="C451" t="s">
        <v>1657</v>
      </c>
      <c r="D451" t="s">
        <v>1657</v>
      </c>
    </row>
    <row r="452" spans="1:7">
      <c r="A452" s="5"/>
      <c r="B452" s="5" t="s">
        <v>1356</v>
      </c>
      <c r="C452" t="s">
        <v>1658</v>
      </c>
      <c r="D452" t="s">
        <v>1658</v>
      </c>
    </row>
    <row r="453" spans="1:7">
      <c r="A453" s="5"/>
      <c r="B453" s="5" t="s">
        <v>1306</v>
      </c>
      <c r="C453" t="s">
        <v>1601</v>
      </c>
      <c r="D453" t="s">
        <v>1601</v>
      </c>
      <c r="F453" t="s">
        <v>1964</v>
      </c>
      <c r="G453" t="s">
        <v>2221</v>
      </c>
    </row>
    <row r="454" spans="1:7">
      <c r="A454" s="5"/>
      <c r="B454" s="5" t="s">
        <v>1357</v>
      </c>
      <c r="C454" t="s">
        <v>1659</v>
      </c>
      <c r="D454" t="s">
        <v>1659</v>
      </c>
      <c r="F454" t="s">
        <v>2006</v>
      </c>
    </row>
    <row r="455" spans="1:7">
      <c r="A455" s="5"/>
      <c r="B455" s="5" t="s">
        <v>1339</v>
      </c>
      <c r="C455" t="s">
        <v>1637</v>
      </c>
      <c r="D455" t="s">
        <v>1637</v>
      </c>
      <c r="F455" t="s">
        <v>1989</v>
      </c>
      <c r="G455" t="s">
        <v>2221</v>
      </c>
    </row>
    <row r="456" spans="1:7">
      <c r="A456" s="5"/>
      <c r="B456" s="5" t="s">
        <v>1344</v>
      </c>
      <c r="C456" t="s">
        <v>1660</v>
      </c>
      <c r="D456" t="s">
        <v>1660</v>
      </c>
      <c r="F456" t="s">
        <v>1996</v>
      </c>
      <c r="G456" t="s">
        <v>2221</v>
      </c>
    </row>
    <row r="457" spans="1:7">
      <c r="A457" s="5"/>
      <c r="B457" s="5" t="s">
        <v>1358</v>
      </c>
      <c r="C457" t="s">
        <v>1661</v>
      </c>
      <c r="D457" t="s">
        <v>1661</v>
      </c>
    </row>
    <row r="458" spans="1:7">
      <c r="A458" s="5"/>
      <c r="B458" s="5" t="s">
        <v>1359</v>
      </c>
      <c r="C458" t="s">
        <v>1662</v>
      </c>
      <c r="D458" t="s">
        <v>1662</v>
      </c>
      <c r="F458" t="s">
        <v>2007</v>
      </c>
    </row>
    <row r="459" spans="1:7">
      <c r="A459" s="5"/>
      <c r="B459" s="5" t="s">
        <v>1360</v>
      </c>
      <c r="C459" t="s">
        <v>1663</v>
      </c>
      <c r="D459" t="s">
        <v>1663</v>
      </c>
    </row>
    <row r="460" spans="1:7">
      <c r="A460" s="5"/>
      <c r="B460" s="5" t="s">
        <v>1361</v>
      </c>
      <c r="C460" t="s">
        <v>1664</v>
      </c>
      <c r="D460" t="s">
        <v>1664</v>
      </c>
    </row>
    <row r="461" spans="1:7">
      <c r="A461" s="5"/>
      <c r="B461" s="5" t="s">
        <v>1362</v>
      </c>
      <c r="C461" t="s">
        <v>1665</v>
      </c>
      <c r="D461" t="s">
        <v>1665</v>
      </c>
    </row>
    <row r="462" spans="1:7">
      <c r="A462" s="5"/>
      <c r="B462" s="5" t="s">
        <v>1363</v>
      </c>
      <c r="C462" t="s">
        <v>1666</v>
      </c>
      <c r="D462" t="s">
        <v>1666</v>
      </c>
    </row>
    <row r="463" spans="1:7">
      <c r="A463" s="5"/>
      <c r="B463" s="5" t="s">
        <v>1364</v>
      </c>
      <c r="C463" t="s">
        <v>1667</v>
      </c>
      <c r="D463" t="s">
        <v>1667</v>
      </c>
    </row>
    <row r="464" spans="1:7">
      <c r="A464" s="5"/>
      <c r="B464" s="5" t="s">
        <v>1365</v>
      </c>
      <c r="C464" t="s">
        <v>1668</v>
      </c>
      <c r="D464" t="s">
        <v>1668</v>
      </c>
    </row>
    <row r="465" spans="1:7">
      <c r="A465" s="5"/>
      <c r="B465" s="5" t="s">
        <v>1366</v>
      </c>
      <c r="C465" t="s">
        <v>1669</v>
      </c>
      <c r="D465" t="s">
        <v>1669</v>
      </c>
    </row>
    <row r="466" spans="1:7">
      <c r="A466" s="5"/>
      <c r="B466" s="5" t="s">
        <v>1367</v>
      </c>
      <c r="C466" t="s">
        <v>1670</v>
      </c>
      <c r="D466" t="s">
        <v>1670</v>
      </c>
      <c r="F466" t="s">
        <v>2008</v>
      </c>
      <c r="G466" t="s">
        <v>2221</v>
      </c>
    </row>
    <row r="467" spans="1:7">
      <c r="A467" s="5"/>
      <c r="B467" s="5" t="s">
        <v>1303</v>
      </c>
      <c r="C467" t="s">
        <v>1598</v>
      </c>
      <c r="D467" t="s">
        <v>1598</v>
      </c>
      <c r="F467" t="s">
        <v>1961</v>
      </c>
    </row>
    <row r="468" spans="1:7">
      <c r="A468" s="5"/>
      <c r="B468" s="5" t="s">
        <v>1368</v>
      </c>
      <c r="C468" t="s">
        <v>1671</v>
      </c>
      <c r="D468" t="s">
        <v>1671</v>
      </c>
    </row>
    <row r="469" spans="1:7">
      <c r="A469" s="5"/>
      <c r="B469" s="5" t="s">
        <v>1369</v>
      </c>
      <c r="C469" t="s">
        <v>1672</v>
      </c>
      <c r="D469" t="s">
        <v>1672</v>
      </c>
      <c r="F469" t="s">
        <v>2009</v>
      </c>
      <c r="G469" t="s">
        <v>2221</v>
      </c>
    </row>
    <row r="470" spans="1:7">
      <c r="A470" s="5"/>
      <c r="B470" s="5" t="s">
        <v>1298</v>
      </c>
      <c r="C470" t="s">
        <v>1673</v>
      </c>
      <c r="D470" t="s">
        <v>1673</v>
      </c>
      <c r="F470" t="s">
        <v>1956</v>
      </c>
    </row>
    <row r="471" spans="1:7">
      <c r="A471" s="5"/>
      <c r="B471" s="5" t="s">
        <v>1299</v>
      </c>
      <c r="C471" t="s">
        <v>1674</v>
      </c>
      <c r="D471" t="s">
        <v>1674</v>
      </c>
      <c r="F471" t="s">
        <v>1957</v>
      </c>
    </row>
    <row r="472" spans="1:7">
      <c r="A472" s="5"/>
      <c r="B472" s="5" t="s">
        <v>1370</v>
      </c>
      <c r="C472" t="s">
        <v>1675</v>
      </c>
      <c r="D472" t="s">
        <v>1675</v>
      </c>
      <c r="F472" t="s">
        <v>2010</v>
      </c>
    </row>
    <row r="473" spans="1:7">
      <c r="A473" s="5"/>
      <c r="B473" s="5" t="s">
        <v>1371</v>
      </c>
      <c r="C473" t="s">
        <v>1676</v>
      </c>
      <c r="D473" t="s">
        <v>1676</v>
      </c>
      <c r="F473" t="s">
        <v>2011</v>
      </c>
    </row>
    <row r="474" spans="1:7">
      <c r="A474" s="5"/>
      <c r="B474" s="5" t="s">
        <v>1353</v>
      </c>
      <c r="C474" t="s">
        <v>1655</v>
      </c>
      <c r="D474" t="s">
        <v>1655</v>
      </c>
      <c r="F474" t="s">
        <v>2005</v>
      </c>
      <c r="G474" t="s">
        <v>2221</v>
      </c>
    </row>
    <row r="475" spans="1:7">
      <c r="A475" s="5"/>
      <c r="B475" s="5" t="s">
        <v>1304</v>
      </c>
      <c r="C475" t="s">
        <v>1599</v>
      </c>
      <c r="D475" t="s">
        <v>1599</v>
      </c>
      <c r="F475" t="s">
        <v>1962</v>
      </c>
    </row>
    <row r="476" spans="1:7">
      <c r="A476" s="5"/>
      <c r="B476" s="5" t="s">
        <v>1348</v>
      </c>
      <c r="C476" t="s">
        <v>1677</v>
      </c>
      <c r="D476" t="s">
        <v>1677</v>
      </c>
      <c r="F476" t="s">
        <v>2000</v>
      </c>
    </row>
    <row r="477" spans="1:7">
      <c r="A477" s="5"/>
      <c r="B477" s="5" t="s">
        <v>1305</v>
      </c>
      <c r="C477" t="s">
        <v>1600</v>
      </c>
      <c r="D477" t="s">
        <v>1600</v>
      </c>
      <c r="F477" t="s">
        <v>1963</v>
      </c>
      <c r="G477" t="s">
        <v>2221</v>
      </c>
    </row>
    <row r="478" spans="1:7">
      <c r="A478" s="5"/>
      <c r="B478" s="5" t="s">
        <v>1340</v>
      </c>
      <c r="C478" t="s">
        <v>1638</v>
      </c>
      <c r="D478" t="s">
        <v>1638</v>
      </c>
      <c r="F478" t="s">
        <v>1990</v>
      </c>
      <c r="G478" t="s">
        <v>2221</v>
      </c>
    </row>
    <row r="479" spans="1:7">
      <c r="A479" s="5"/>
      <c r="B479" s="5" t="s">
        <v>1372</v>
      </c>
      <c r="C479" t="s">
        <v>1678</v>
      </c>
      <c r="D479" t="s">
        <v>1678</v>
      </c>
      <c r="F479" t="s">
        <v>2012</v>
      </c>
    </row>
    <row r="480" spans="1:7">
      <c r="A480" s="5" t="s">
        <v>1086</v>
      </c>
      <c r="B480" s="5" t="s">
        <v>1373</v>
      </c>
      <c r="C480" t="s">
        <v>1679</v>
      </c>
      <c r="D480" t="s">
        <v>1679</v>
      </c>
      <c r="F480" t="s">
        <v>2013</v>
      </c>
    </row>
    <row r="481" spans="1:7">
      <c r="A481" s="5" t="s">
        <v>1087</v>
      </c>
      <c r="B481" s="5" t="s">
        <v>1374</v>
      </c>
      <c r="C481" t="s">
        <v>1680</v>
      </c>
      <c r="D481" t="s">
        <v>1680</v>
      </c>
      <c r="F481" t="s">
        <v>2014</v>
      </c>
    </row>
    <row r="482" spans="1:7">
      <c r="A482" s="5" t="s">
        <v>1088</v>
      </c>
      <c r="B482" s="5" t="s">
        <v>1375</v>
      </c>
      <c r="C482" t="s">
        <v>1681</v>
      </c>
      <c r="D482" t="s">
        <v>1681</v>
      </c>
      <c r="F482" t="s">
        <v>2015</v>
      </c>
    </row>
    <row r="483" spans="1:7">
      <c r="A483" s="5" t="s">
        <v>1089</v>
      </c>
      <c r="B483" s="5" t="s">
        <v>1376</v>
      </c>
      <c r="C483" t="s">
        <v>1682</v>
      </c>
      <c r="D483" t="s">
        <v>1682</v>
      </c>
      <c r="F483" t="s">
        <v>2016</v>
      </c>
    </row>
    <row r="484" spans="1:7">
      <c r="A484" s="5" t="s">
        <v>1090</v>
      </c>
      <c r="B484" s="5" t="s">
        <v>1377</v>
      </c>
      <c r="C484" t="s">
        <v>1683</v>
      </c>
      <c r="D484" t="s">
        <v>1683</v>
      </c>
      <c r="F484" t="s">
        <v>2017</v>
      </c>
    </row>
    <row r="485" spans="1:7">
      <c r="A485" s="5" t="s">
        <v>1091</v>
      </c>
      <c r="B485" s="5" t="s">
        <v>1378</v>
      </c>
      <c r="C485" t="s">
        <v>1684</v>
      </c>
      <c r="D485" t="s">
        <v>1684</v>
      </c>
      <c r="F485" t="s">
        <v>2018</v>
      </c>
    </row>
    <row r="486" spans="1:7">
      <c r="A486" s="5" t="s">
        <v>1092</v>
      </c>
      <c r="B486" s="5" t="s">
        <v>1379</v>
      </c>
      <c r="C486" t="s">
        <v>1685</v>
      </c>
      <c r="D486" t="s">
        <v>1685</v>
      </c>
      <c r="F486" t="s">
        <v>2019</v>
      </c>
    </row>
    <row r="487" spans="1:7">
      <c r="A487" s="5" t="s">
        <v>1093</v>
      </c>
      <c r="B487" s="5" t="s">
        <v>1380</v>
      </c>
      <c r="C487" t="s">
        <v>1686</v>
      </c>
      <c r="D487" t="s">
        <v>1686</v>
      </c>
      <c r="F487" t="s">
        <v>2020</v>
      </c>
    </row>
    <row r="488" spans="1:7">
      <c r="A488" s="5" t="s">
        <v>1013</v>
      </c>
      <c r="B488" s="5" t="s">
        <v>1275</v>
      </c>
      <c r="C488" t="s">
        <v>1687</v>
      </c>
      <c r="D488" t="s">
        <v>1687</v>
      </c>
      <c r="F488" t="s">
        <v>1940</v>
      </c>
    </row>
    <row r="489" spans="1:7">
      <c r="A489" s="5" t="s">
        <v>188</v>
      </c>
      <c r="B489" s="5" t="s">
        <v>1381</v>
      </c>
      <c r="C489" t="s">
        <v>1688</v>
      </c>
      <c r="D489" t="s">
        <v>1688</v>
      </c>
      <c r="F489" t="s">
        <v>2021</v>
      </c>
      <c r="G489" t="s">
        <v>2221</v>
      </c>
    </row>
    <row r="490" spans="1:7">
      <c r="A490" s="5" t="s">
        <v>1094</v>
      </c>
      <c r="B490" s="5" t="s">
        <v>1382</v>
      </c>
      <c r="C490" t="s">
        <v>1689</v>
      </c>
      <c r="D490" t="s">
        <v>1689</v>
      </c>
      <c r="F490" t="s">
        <v>2022</v>
      </c>
    </row>
    <row r="491" spans="1:7">
      <c r="A491" s="5" t="s">
        <v>1039</v>
      </c>
      <c r="B491" s="5" t="s">
        <v>1304</v>
      </c>
      <c r="C491" t="s">
        <v>1599</v>
      </c>
      <c r="D491" t="s">
        <v>1599</v>
      </c>
      <c r="F491" t="s">
        <v>1962</v>
      </c>
    </row>
    <row r="492" spans="1:7">
      <c r="A492" s="5" t="s">
        <v>1095</v>
      </c>
      <c r="B492" s="5" t="s">
        <v>1383</v>
      </c>
      <c r="C492" t="s">
        <v>1690</v>
      </c>
      <c r="D492" t="s">
        <v>1690</v>
      </c>
      <c r="F492" t="s">
        <v>2023</v>
      </c>
      <c r="G492" t="s">
        <v>2221</v>
      </c>
    </row>
    <row r="493" spans="1:7">
      <c r="A493" s="5" t="s">
        <v>1058</v>
      </c>
      <c r="B493" s="5" t="s">
        <v>1322</v>
      </c>
      <c r="C493" t="s">
        <v>1691</v>
      </c>
      <c r="D493" t="s">
        <v>1691</v>
      </c>
      <c r="F493" t="s">
        <v>1989</v>
      </c>
      <c r="G493" t="s">
        <v>2221</v>
      </c>
    </row>
    <row r="494" spans="1:7">
      <c r="A494" s="5" t="s">
        <v>1096</v>
      </c>
      <c r="B494" s="5" t="s">
        <v>1384</v>
      </c>
      <c r="C494" t="s">
        <v>1692</v>
      </c>
      <c r="D494" t="s">
        <v>1692</v>
      </c>
      <c r="F494" t="s">
        <v>2024</v>
      </c>
    </row>
    <row r="495" spans="1:7">
      <c r="A495" s="5" t="s">
        <v>1097</v>
      </c>
      <c r="B495" s="5" t="s">
        <v>1097</v>
      </c>
      <c r="C495" t="s">
        <v>1693</v>
      </c>
      <c r="D495" t="s">
        <v>1693</v>
      </c>
    </row>
    <row r="496" spans="1:7">
      <c r="A496" s="5" t="s">
        <v>906</v>
      </c>
      <c r="B496" s="5" t="s">
        <v>906</v>
      </c>
      <c r="C496" t="s">
        <v>1694</v>
      </c>
      <c r="D496" t="s">
        <v>1694</v>
      </c>
    </row>
    <row r="497" spans="1:7">
      <c r="A497" s="5" t="s">
        <v>1086</v>
      </c>
      <c r="B497" s="5" t="s">
        <v>1373</v>
      </c>
      <c r="C497" t="s">
        <v>1695</v>
      </c>
      <c r="D497" t="s">
        <v>1695</v>
      </c>
      <c r="F497" t="s">
        <v>2013</v>
      </c>
    </row>
    <row r="498" spans="1:7">
      <c r="A498" s="5" t="s">
        <v>1088</v>
      </c>
      <c r="B498" s="5" t="s">
        <v>1375</v>
      </c>
      <c r="C498" t="s">
        <v>1696</v>
      </c>
      <c r="D498" t="s">
        <v>1696</v>
      </c>
      <c r="F498" t="s">
        <v>2015</v>
      </c>
    </row>
    <row r="499" spans="1:7">
      <c r="A499" s="5" t="s">
        <v>1090</v>
      </c>
      <c r="B499" s="5" t="s">
        <v>1377</v>
      </c>
      <c r="C499" t="s">
        <v>1697</v>
      </c>
      <c r="D499" t="s">
        <v>1697</v>
      </c>
      <c r="F499" t="s">
        <v>2017</v>
      </c>
    </row>
    <row r="500" spans="1:7">
      <c r="A500" s="5" t="s">
        <v>1092</v>
      </c>
      <c r="B500" s="5" t="s">
        <v>1379</v>
      </c>
      <c r="C500" t="s">
        <v>1685</v>
      </c>
      <c r="D500" t="s">
        <v>1685</v>
      </c>
      <c r="F500" t="s">
        <v>2019</v>
      </c>
    </row>
    <row r="501" spans="1:7">
      <c r="A501" s="5" t="s">
        <v>1098</v>
      </c>
      <c r="B501" s="5" t="s">
        <v>1385</v>
      </c>
      <c r="C501" t="s">
        <v>1698</v>
      </c>
      <c r="D501" t="s">
        <v>1698</v>
      </c>
      <c r="F501" t="s">
        <v>2025</v>
      </c>
      <c r="G501" t="s">
        <v>2221</v>
      </c>
    </row>
    <row r="502" spans="1:7">
      <c r="A502" s="5" t="s">
        <v>1099</v>
      </c>
      <c r="B502" s="5" t="s">
        <v>1386</v>
      </c>
      <c r="C502" t="s">
        <v>1699</v>
      </c>
      <c r="D502" t="s">
        <v>1699</v>
      </c>
      <c r="F502" t="s">
        <v>2026</v>
      </c>
    </row>
    <row r="503" spans="1:7">
      <c r="A503" s="5" t="s">
        <v>1100</v>
      </c>
      <c r="B503" s="5" t="s">
        <v>1387</v>
      </c>
      <c r="C503" t="s">
        <v>1700</v>
      </c>
      <c r="D503" t="s">
        <v>1700</v>
      </c>
      <c r="F503" t="s">
        <v>2027</v>
      </c>
    </row>
    <row r="504" spans="1:7">
      <c r="A504" s="5" t="s">
        <v>1101</v>
      </c>
      <c r="B504" s="5" t="s">
        <v>1388</v>
      </c>
      <c r="C504" t="s">
        <v>1701</v>
      </c>
      <c r="D504" t="s">
        <v>1701</v>
      </c>
      <c r="F504" t="s">
        <v>2028</v>
      </c>
    </row>
    <row r="505" spans="1:7">
      <c r="A505" s="5" t="s">
        <v>1102</v>
      </c>
      <c r="B505" s="5" t="s">
        <v>1389</v>
      </c>
      <c r="C505" t="s">
        <v>1702</v>
      </c>
      <c r="D505" t="s">
        <v>1702</v>
      </c>
      <c r="F505" t="s">
        <v>2029</v>
      </c>
    </row>
    <row r="506" spans="1:7">
      <c r="A506" s="5" t="s">
        <v>1103</v>
      </c>
      <c r="B506" s="5" t="s">
        <v>1286</v>
      </c>
      <c r="C506" t="s">
        <v>1703</v>
      </c>
      <c r="D506" t="s">
        <v>1703</v>
      </c>
      <c r="F506" t="s">
        <v>2030</v>
      </c>
      <c r="G506" t="s">
        <v>2221</v>
      </c>
    </row>
    <row r="507" spans="1:7">
      <c r="A507" s="5" t="s">
        <v>1104</v>
      </c>
      <c r="B507" s="5" t="s">
        <v>1390</v>
      </c>
      <c r="C507" t="s">
        <v>1704</v>
      </c>
      <c r="D507" t="s">
        <v>1704</v>
      </c>
    </row>
    <row r="508" spans="1:7">
      <c r="A508" s="5" t="s">
        <v>1043</v>
      </c>
      <c r="B508" s="5" t="s">
        <v>1309</v>
      </c>
      <c r="C508" t="s">
        <v>1705</v>
      </c>
      <c r="D508" t="s">
        <v>1705</v>
      </c>
      <c r="F508" t="s">
        <v>1967</v>
      </c>
      <c r="G508" t="s">
        <v>2221</v>
      </c>
    </row>
    <row r="509" spans="1:7">
      <c r="A509" s="5"/>
      <c r="B509" s="5"/>
    </row>
    <row r="510" spans="1:7">
      <c r="A510" s="5" t="s">
        <v>1105</v>
      </c>
      <c r="B510" s="5" t="s">
        <v>1391</v>
      </c>
      <c r="C510" t="s">
        <v>1706</v>
      </c>
      <c r="D510" t="s">
        <v>1706</v>
      </c>
      <c r="F510" t="s">
        <v>2031</v>
      </c>
    </row>
    <row r="511" spans="1:7">
      <c r="A511" s="5" t="s">
        <v>1106</v>
      </c>
      <c r="B511" s="5" t="s">
        <v>1392</v>
      </c>
      <c r="C511" t="s">
        <v>1707</v>
      </c>
      <c r="D511" t="s">
        <v>1707</v>
      </c>
      <c r="F511" t="s">
        <v>2032</v>
      </c>
    </row>
    <row r="512" spans="1:7">
      <c r="A512" s="5" t="s">
        <v>1107</v>
      </c>
      <c r="B512" s="5" t="s">
        <v>1393</v>
      </c>
      <c r="C512" t="s">
        <v>1708</v>
      </c>
      <c r="D512" t="s">
        <v>1708</v>
      </c>
      <c r="F512" t="s">
        <v>2033</v>
      </c>
    </row>
    <row r="513" spans="1:7">
      <c r="A513" s="5" t="s">
        <v>1108</v>
      </c>
      <c r="B513" s="5" t="s">
        <v>1394</v>
      </c>
      <c r="C513" t="s">
        <v>1709</v>
      </c>
      <c r="D513" t="s">
        <v>1709</v>
      </c>
      <c r="F513" t="s">
        <v>2034</v>
      </c>
    </row>
    <row r="514" spans="1:7">
      <c r="A514" s="5" t="s">
        <v>1109</v>
      </c>
      <c r="B514" s="5" t="s">
        <v>1395</v>
      </c>
      <c r="C514" t="s">
        <v>1710</v>
      </c>
      <c r="D514" t="s">
        <v>1710</v>
      </c>
      <c r="F514" t="s">
        <v>2035</v>
      </c>
    </row>
    <row r="515" spans="1:7">
      <c r="A515" s="5" t="s">
        <v>1110</v>
      </c>
      <c r="B515" s="5" t="s">
        <v>1396</v>
      </c>
      <c r="C515" t="s">
        <v>1711</v>
      </c>
      <c r="D515" t="s">
        <v>1711</v>
      </c>
      <c r="F515" t="s">
        <v>2036</v>
      </c>
    </row>
    <row r="516" spans="1:7">
      <c r="A516" s="5" t="s">
        <v>1111</v>
      </c>
      <c r="B516" s="5" t="s">
        <v>1397</v>
      </c>
      <c r="C516" t="s">
        <v>1712</v>
      </c>
      <c r="D516" t="s">
        <v>1712</v>
      </c>
      <c r="F516" t="s">
        <v>2037</v>
      </c>
    </row>
    <row r="517" spans="1:7">
      <c r="A517" s="5" t="s">
        <v>1112</v>
      </c>
      <c r="B517" s="5" t="s">
        <v>1398</v>
      </c>
      <c r="C517" t="s">
        <v>1713</v>
      </c>
      <c r="D517" t="s">
        <v>1713</v>
      </c>
    </row>
    <row r="518" spans="1:7">
      <c r="A518" s="5" t="s">
        <v>1113</v>
      </c>
      <c r="B518" s="5" t="s">
        <v>1399</v>
      </c>
      <c r="C518" t="s">
        <v>1714</v>
      </c>
      <c r="D518" t="s">
        <v>1714</v>
      </c>
    </row>
    <row r="519" spans="1:7">
      <c r="A519" s="5" t="s">
        <v>1077</v>
      </c>
      <c r="B519" s="5" t="s">
        <v>1342</v>
      </c>
      <c r="C519" t="s">
        <v>1644</v>
      </c>
      <c r="D519" t="s">
        <v>1644</v>
      </c>
      <c r="F519" t="s">
        <v>1994</v>
      </c>
      <c r="G519" t="s">
        <v>2221</v>
      </c>
    </row>
    <row r="520" spans="1:7">
      <c r="A520" s="5" t="s">
        <v>1114</v>
      </c>
      <c r="B520" s="5" t="s">
        <v>1400</v>
      </c>
      <c r="C520" t="s">
        <v>1715</v>
      </c>
      <c r="D520" t="s">
        <v>1715</v>
      </c>
    </row>
    <row r="521" spans="1:7">
      <c r="A521" s="5" t="s">
        <v>1115</v>
      </c>
      <c r="B521" s="5" t="s">
        <v>1401</v>
      </c>
      <c r="C521" t="s">
        <v>1716</v>
      </c>
      <c r="D521" t="s">
        <v>1716</v>
      </c>
    </row>
    <row r="522" spans="1:7">
      <c r="A522" s="5" t="s">
        <v>1033</v>
      </c>
      <c r="B522" s="5" t="s">
        <v>1295</v>
      </c>
      <c r="C522" t="s">
        <v>1717</v>
      </c>
      <c r="D522" t="s">
        <v>1717</v>
      </c>
      <c r="F522" t="s">
        <v>1953</v>
      </c>
    </row>
    <row r="523" spans="1:7">
      <c r="A523" s="5" t="s">
        <v>1057</v>
      </c>
      <c r="B523" s="5" t="s">
        <v>1321</v>
      </c>
      <c r="C523" t="s">
        <v>1718</v>
      </c>
      <c r="D523" t="s">
        <v>1718</v>
      </c>
      <c r="F523" t="s">
        <v>1974</v>
      </c>
      <c r="G523" t="s">
        <v>2221</v>
      </c>
    </row>
    <row r="524" spans="1:7">
      <c r="A524" s="5" t="s">
        <v>1116</v>
      </c>
      <c r="B524" s="5" t="s">
        <v>1402</v>
      </c>
      <c r="C524" t="s">
        <v>1719</v>
      </c>
      <c r="D524" t="s">
        <v>1719</v>
      </c>
    </row>
    <row r="525" spans="1:7">
      <c r="A525" s="5" t="s">
        <v>1117</v>
      </c>
      <c r="B525" s="5" t="s">
        <v>1403</v>
      </c>
      <c r="C525" t="s">
        <v>1720</v>
      </c>
      <c r="D525" t="s">
        <v>1720</v>
      </c>
    </row>
    <row r="526" spans="1:7">
      <c r="A526" s="5" t="s">
        <v>1031</v>
      </c>
      <c r="B526" s="5" t="s">
        <v>1293</v>
      </c>
      <c r="C526" t="s">
        <v>1721</v>
      </c>
      <c r="D526" t="s">
        <v>1721</v>
      </c>
    </row>
    <row r="527" spans="1:7">
      <c r="A527" s="5" t="s">
        <v>1024</v>
      </c>
      <c r="B527" s="5" t="s">
        <v>1286</v>
      </c>
      <c r="C527" t="s">
        <v>1581</v>
      </c>
      <c r="D527" t="s">
        <v>1581</v>
      </c>
      <c r="F527" t="s">
        <v>1951</v>
      </c>
      <c r="G527" t="s">
        <v>2221</v>
      </c>
    </row>
    <row r="528" spans="1:7">
      <c r="A528" s="5"/>
      <c r="B528" s="5"/>
    </row>
    <row r="529" spans="1:7">
      <c r="A529" s="5" t="s">
        <v>1103</v>
      </c>
      <c r="B529" s="5" t="s">
        <v>1286</v>
      </c>
      <c r="C529" t="s">
        <v>1703</v>
      </c>
      <c r="D529" t="s">
        <v>1703</v>
      </c>
      <c r="F529" t="s">
        <v>2030</v>
      </c>
      <c r="G529" t="s">
        <v>2221</v>
      </c>
    </row>
    <row r="530" spans="1:7">
      <c r="A530" s="5" t="s">
        <v>1118</v>
      </c>
      <c r="B530" s="5" t="s">
        <v>1404</v>
      </c>
      <c r="C530" t="s">
        <v>1722</v>
      </c>
      <c r="D530" t="s">
        <v>1722</v>
      </c>
      <c r="F530" t="s">
        <v>2038</v>
      </c>
    </row>
    <row r="531" spans="1:7">
      <c r="A531" s="5" t="s">
        <v>1067</v>
      </c>
      <c r="B531" s="5" t="s">
        <v>1331</v>
      </c>
      <c r="C531" t="s">
        <v>1630</v>
      </c>
      <c r="D531" t="s">
        <v>1630</v>
      </c>
      <c r="F531" t="s">
        <v>1981</v>
      </c>
      <c r="G531" t="s">
        <v>2221</v>
      </c>
    </row>
    <row r="532" spans="1:7">
      <c r="A532" s="5" t="s">
        <v>1082</v>
      </c>
      <c r="B532" s="5" t="s">
        <v>1349</v>
      </c>
      <c r="C532" t="s">
        <v>1723</v>
      </c>
      <c r="D532" t="s">
        <v>1723</v>
      </c>
      <c r="F532" t="s">
        <v>2001</v>
      </c>
      <c r="G532" t="s">
        <v>2221</v>
      </c>
    </row>
    <row r="533" spans="1:7">
      <c r="A533" s="5" t="s">
        <v>1119</v>
      </c>
      <c r="B533" s="5" t="s">
        <v>1405</v>
      </c>
      <c r="C533" t="s">
        <v>1724</v>
      </c>
      <c r="D533" t="s">
        <v>1724</v>
      </c>
    </row>
    <row r="534" spans="1:7">
      <c r="A534" s="5" t="s">
        <v>1032</v>
      </c>
      <c r="B534" s="5" t="s">
        <v>1294</v>
      </c>
      <c r="C534" t="s">
        <v>1725</v>
      </c>
      <c r="D534" t="s">
        <v>1725</v>
      </c>
    </row>
    <row r="535" spans="1:7">
      <c r="A535" s="5" t="s">
        <v>1120</v>
      </c>
      <c r="B535" s="5" t="s">
        <v>1406</v>
      </c>
      <c r="C535" t="s">
        <v>1726</v>
      </c>
      <c r="D535" t="s">
        <v>1726</v>
      </c>
    </row>
    <row r="536" spans="1:7">
      <c r="A536" s="5" t="s">
        <v>1121</v>
      </c>
      <c r="B536" s="5" t="s">
        <v>1407</v>
      </c>
      <c r="C536" t="s">
        <v>1727</v>
      </c>
      <c r="D536" t="s">
        <v>1727</v>
      </c>
    </row>
    <row r="537" spans="1:7">
      <c r="A537" s="5" t="s">
        <v>1030</v>
      </c>
      <c r="B537" s="5" t="s">
        <v>1292</v>
      </c>
      <c r="C537" t="s">
        <v>1728</v>
      </c>
      <c r="D537" t="s">
        <v>1728</v>
      </c>
    </row>
    <row r="538" spans="1:7">
      <c r="A538" s="5" t="s">
        <v>1032</v>
      </c>
      <c r="B538" s="5" t="s">
        <v>1294</v>
      </c>
      <c r="C538" t="s">
        <v>1725</v>
      </c>
      <c r="D538" t="s">
        <v>1725</v>
      </c>
    </row>
    <row r="539" spans="1:7">
      <c r="A539" s="5" t="s">
        <v>1122</v>
      </c>
      <c r="B539" s="5" t="s">
        <v>1408</v>
      </c>
      <c r="C539" t="s">
        <v>1729</v>
      </c>
      <c r="D539" t="s">
        <v>1729</v>
      </c>
    </row>
    <row r="540" spans="1:7">
      <c r="A540" s="5" t="s">
        <v>1076</v>
      </c>
      <c r="B540" s="5" t="s">
        <v>1341</v>
      </c>
      <c r="C540" t="s">
        <v>1641</v>
      </c>
      <c r="D540" t="s">
        <v>1641</v>
      </c>
      <c r="F540" t="s">
        <v>1993</v>
      </c>
      <c r="G540" t="s">
        <v>2221</v>
      </c>
    </row>
    <row r="541" spans="1:7">
      <c r="A541" s="5" t="s">
        <v>1034</v>
      </c>
      <c r="B541" s="5" t="s">
        <v>1297</v>
      </c>
      <c r="C541" t="s">
        <v>1730</v>
      </c>
      <c r="D541" t="s">
        <v>1730</v>
      </c>
      <c r="F541" t="s">
        <v>1955</v>
      </c>
    </row>
    <row r="542" spans="1:7">
      <c r="A542" s="5" t="s">
        <v>1045</v>
      </c>
      <c r="B542" s="5" t="s">
        <v>1308</v>
      </c>
      <c r="C542" t="s">
        <v>1731</v>
      </c>
      <c r="D542" t="s">
        <v>1731</v>
      </c>
      <c r="F542" t="s">
        <v>1966</v>
      </c>
    </row>
    <row r="543" spans="1:7">
      <c r="A543" s="5" t="s">
        <v>1123</v>
      </c>
      <c r="B543" s="5" t="s">
        <v>1409</v>
      </c>
      <c r="C543" t="s">
        <v>1732</v>
      </c>
      <c r="D543" t="s">
        <v>1732</v>
      </c>
      <c r="F543" t="s">
        <v>2039</v>
      </c>
    </row>
    <row r="544" spans="1:7">
      <c r="A544" s="5" t="s">
        <v>1116</v>
      </c>
      <c r="B544" s="5" t="s">
        <v>1402</v>
      </c>
      <c r="C544" t="s">
        <v>1719</v>
      </c>
      <c r="D544" t="s">
        <v>1719</v>
      </c>
    </row>
    <row r="545" spans="1:7">
      <c r="A545" s="5" t="s">
        <v>1117</v>
      </c>
      <c r="B545" s="5" t="s">
        <v>1403</v>
      </c>
      <c r="C545" t="s">
        <v>1720</v>
      </c>
      <c r="D545" t="s">
        <v>1720</v>
      </c>
    </row>
    <row r="546" spans="1:7">
      <c r="A546" s="5" t="s">
        <v>1124</v>
      </c>
      <c r="B546" s="5" t="s">
        <v>1410</v>
      </c>
      <c r="C546" t="s">
        <v>1733</v>
      </c>
      <c r="D546" t="s">
        <v>1733</v>
      </c>
      <c r="F546" t="s">
        <v>2040</v>
      </c>
    </row>
    <row r="547" spans="1:7">
      <c r="A547" s="5" t="s">
        <v>1125</v>
      </c>
      <c r="B547" s="5" t="s">
        <v>1411</v>
      </c>
      <c r="C547" t="s">
        <v>1734</v>
      </c>
      <c r="D547" t="s">
        <v>1734</v>
      </c>
      <c r="F547" t="s">
        <v>2041</v>
      </c>
    </row>
    <row r="548" spans="1:7">
      <c r="A548" s="5" t="s">
        <v>1126</v>
      </c>
      <c r="B548" s="5" t="s">
        <v>1412</v>
      </c>
      <c r="C548" t="s">
        <v>1735</v>
      </c>
      <c r="D548" t="s">
        <v>1735</v>
      </c>
      <c r="F548" t="s">
        <v>2042</v>
      </c>
    </row>
    <row r="549" spans="1:7">
      <c r="A549" s="5" t="s">
        <v>1127</v>
      </c>
      <c r="B549" s="5" t="s">
        <v>1413</v>
      </c>
      <c r="C549" t="s">
        <v>1736</v>
      </c>
      <c r="D549" t="s">
        <v>1736</v>
      </c>
      <c r="F549" t="s">
        <v>2043</v>
      </c>
    </row>
    <row r="550" spans="1:7">
      <c r="A550" s="5" t="s">
        <v>1128</v>
      </c>
      <c r="B550" s="5" t="s">
        <v>1414</v>
      </c>
      <c r="C550" t="s">
        <v>1737</v>
      </c>
      <c r="D550" t="s">
        <v>1737</v>
      </c>
      <c r="F550" t="s">
        <v>2044</v>
      </c>
    </row>
    <row r="551" spans="1:7">
      <c r="A551" s="5" t="s">
        <v>1129</v>
      </c>
      <c r="B551" s="5" t="s">
        <v>1415</v>
      </c>
      <c r="C551" t="s">
        <v>1738</v>
      </c>
      <c r="D551" t="s">
        <v>1738</v>
      </c>
      <c r="F551" t="s">
        <v>2045</v>
      </c>
      <c r="G551" t="s">
        <v>2221</v>
      </c>
    </row>
    <row r="552" spans="1:7">
      <c r="A552" s="5" t="s">
        <v>1130</v>
      </c>
      <c r="B552" s="5" t="s">
        <v>1416</v>
      </c>
      <c r="C552" t="s">
        <v>1739</v>
      </c>
      <c r="D552" t="s">
        <v>1739</v>
      </c>
    </row>
    <row r="553" spans="1:7">
      <c r="A553" s="5" t="s">
        <v>1131</v>
      </c>
      <c r="B553" s="5" t="s">
        <v>1417</v>
      </c>
      <c r="C553" t="s">
        <v>1740</v>
      </c>
      <c r="D553" t="s">
        <v>1740</v>
      </c>
    </row>
    <row r="554" spans="1:7">
      <c r="A554" s="5" t="s">
        <v>1132</v>
      </c>
      <c r="B554" s="5" t="s">
        <v>1418</v>
      </c>
      <c r="C554" t="s">
        <v>1741</v>
      </c>
      <c r="D554" t="s">
        <v>1741</v>
      </c>
      <c r="F554" t="s">
        <v>2046</v>
      </c>
    </row>
    <row r="555" spans="1:7">
      <c r="A555" s="5" t="s">
        <v>1079</v>
      </c>
      <c r="B555" s="5" t="s">
        <v>1344</v>
      </c>
      <c r="C555" t="s">
        <v>1660</v>
      </c>
      <c r="D555" t="s">
        <v>1660</v>
      </c>
      <c r="F555" t="s">
        <v>1996</v>
      </c>
      <c r="G555" t="s">
        <v>2221</v>
      </c>
    </row>
    <row r="556" spans="1:7">
      <c r="A556" s="5" t="s">
        <v>1044</v>
      </c>
      <c r="B556" s="5" t="s">
        <v>1302</v>
      </c>
      <c r="C556" t="s">
        <v>1742</v>
      </c>
      <c r="D556" t="s">
        <v>1742</v>
      </c>
      <c r="F556" t="s">
        <v>1960</v>
      </c>
    </row>
    <row r="557" spans="1:7">
      <c r="A557" s="5" t="s">
        <v>1024</v>
      </c>
      <c r="B557" s="5" t="s">
        <v>1286</v>
      </c>
      <c r="C557" t="s">
        <v>1743</v>
      </c>
      <c r="D557" t="s">
        <v>1743</v>
      </c>
      <c r="F557" t="s">
        <v>1951</v>
      </c>
    </row>
    <row r="558" spans="1:7">
      <c r="A558" s="5" t="s">
        <v>1080</v>
      </c>
      <c r="B558" s="5" t="s">
        <v>1345</v>
      </c>
      <c r="C558" t="s">
        <v>1744</v>
      </c>
      <c r="D558" t="s">
        <v>1744</v>
      </c>
      <c r="F558" t="s">
        <v>1997</v>
      </c>
      <c r="G558" t="s">
        <v>2221</v>
      </c>
    </row>
    <row r="559" spans="1:7">
      <c r="A559" s="5" t="s">
        <v>1133</v>
      </c>
      <c r="B559" s="5" t="s">
        <v>1419</v>
      </c>
      <c r="C559" t="s">
        <v>1745</v>
      </c>
      <c r="D559" t="s">
        <v>1745</v>
      </c>
      <c r="F559" t="s">
        <v>2047</v>
      </c>
    </row>
    <row r="560" spans="1:7">
      <c r="A560" s="5" t="s">
        <v>1045</v>
      </c>
      <c r="B560" s="5" t="s">
        <v>1308</v>
      </c>
      <c r="C560" t="s">
        <v>1603</v>
      </c>
      <c r="D560" t="s">
        <v>1603</v>
      </c>
      <c r="F560" t="s">
        <v>1966</v>
      </c>
    </row>
    <row r="561" spans="1:7">
      <c r="A561" s="5" t="s">
        <v>1134</v>
      </c>
      <c r="B561" s="5" t="s">
        <v>1331</v>
      </c>
      <c r="C561" t="s">
        <v>1746</v>
      </c>
      <c r="D561" t="s">
        <v>1746</v>
      </c>
      <c r="F561" t="s">
        <v>1981</v>
      </c>
      <c r="G561" t="s">
        <v>2221</v>
      </c>
    </row>
    <row r="562" spans="1:7">
      <c r="A562" s="5" t="s">
        <v>1134</v>
      </c>
      <c r="B562" s="5" t="s">
        <v>1331</v>
      </c>
      <c r="C562" t="s">
        <v>1746</v>
      </c>
      <c r="D562" t="s">
        <v>1746</v>
      </c>
      <c r="F562" t="s">
        <v>1981</v>
      </c>
      <c r="G562" t="s">
        <v>2221</v>
      </c>
    </row>
    <row r="563" spans="1:7">
      <c r="A563" s="5" t="s">
        <v>1107</v>
      </c>
      <c r="B563" s="5" t="s">
        <v>1393</v>
      </c>
      <c r="C563" t="s">
        <v>1708</v>
      </c>
      <c r="D563" t="s">
        <v>1708</v>
      </c>
      <c r="F563" t="s">
        <v>2033</v>
      </c>
    </row>
    <row r="564" spans="1:7">
      <c r="A564" s="5" t="s">
        <v>1108</v>
      </c>
      <c r="B564" s="5" t="s">
        <v>1394</v>
      </c>
      <c r="C564" t="s">
        <v>1709</v>
      </c>
      <c r="D564" t="s">
        <v>1709</v>
      </c>
      <c r="F564" t="s">
        <v>2034</v>
      </c>
    </row>
    <row r="565" spans="1:7">
      <c r="A565" s="5" t="s">
        <v>1135</v>
      </c>
      <c r="B565" s="5" t="s">
        <v>1420</v>
      </c>
      <c r="C565" t="s">
        <v>1747</v>
      </c>
      <c r="D565" t="s">
        <v>1747</v>
      </c>
      <c r="F565" t="s">
        <v>2048</v>
      </c>
    </row>
    <row r="566" spans="1:7">
      <c r="A566" s="5" t="s">
        <v>1136</v>
      </c>
      <c r="B566" s="5" t="s">
        <v>1421</v>
      </c>
      <c r="C566" t="s">
        <v>1748</v>
      </c>
      <c r="D566" t="s">
        <v>1748</v>
      </c>
      <c r="F566" t="s">
        <v>2049</v>
      </c>
      <c r="G566" t="s">
        <v>2221</v>
      </c>
    </row>
    <row r="567" spans="1:7">
      <c r="A567" s="5" t="s">
        <v>1013</v>
      </c>
      <c r="B567" s="5" t="s">
        <v>1275</v>
      </c>
      <c r="C567" t="s">
        <v>1570</v>
      </c>
      <c r="D567" t="s">
        <v>1570</v>
      </c>
      <c r="F567" t="s">
        <v>1940</v>
      </c>
    </row>
    <row r="568" spans="1:7">
      <c r="A568" s="5" t="s">
        <v>1041</v>
      </c>
      <c r="B568" s="5" t="s">
        <v>1306</v>
      </c>
      <c r="C568" t="s">
        <v>1601</v>
      </c>
      <c r="D568" t="s">
        <v>1601</v>
      </c>
      <c r="F568" t="s">
        <v>1964</v>
      </c>
      <c r="G568" t="s">
        <v>2221</v>
      </c>
    </row>
    <row r="569" spans="1:7">
      <c r="A569" s="5" t="s">
        <v>1075</v>
      </c>
      <c r="B569" s="5" t="s">
        <v>1340</v>
      </c>
      <c r="C569" t="s">
        <v>1638</v>
      </c>
      <c r="D569" t="s">
        <v>1638</v>
      </c>
      <c r="F569" t="s">
        <v>1990</v>
      </c>
      <c r="G569" t="s">
        <v>2221</v>
      </c>
    </row>
    <row r="570" spans="1:7">
      <c r="A570" s="5" t="s">
        <v>1137</v>
      </c>
      <c r="B570" s="5" t="s">
        <v>1422</v>
      </c>
      <c r="C570" t="s">
        <v>1749</v>
      </c>
      <c r="D570" t="s">
        <v>1749</v>
      </c>
    </row>
    <row r="571" spans="1:7">
      <c r="A571" s="5" t="s">
        <v>1138</v>
      </c>
      <c r="B571" s="5" t="s">
        <v>1423</v>
      </c>
      <c r="C571" t="s">
        <v>1750</v>
      </c>
      <c r="D571" t="s">
        <v>1750</v>
      </c>
    </row>
    <row r="572" spans="1:7">
      <c r="A572" s="5" t="s">
        <v>1036</v>
      </c>
      <c r="B572" s="5" t="s">
        <v>1301</v>
      </c>
      <c r="C572" t="s">
        <v>1596</v>
      </c>
      <c r="D572" t="s">
        <v>1596</v>
      </c>
      <c r="F572" t="s">
        <v>1959</v>
      </c>
    </row>
    <row r="573" spans="1:7">
      <c r="A573" s="5" t="s">
        <v>1078</v>
      </c>
      <c r="B573" s="5" t="s">
        <v>1343</v>
      </c>
      <c r="C573" t="s">
        <v>1645</v>
      </c>
      <c r="D573" t="s">
        <v>1645</v>
      </c>
      <c r="F573" t="s">
        <v>1995</v>
      </c>
    </row>
    <row r="574" spans="1:7">
      <c r="A574" s="5" t="s">
        <v>1078</v>
      </c>
      <c r="B574" s="5" t="s">
        <v>1343</v>
      </c>
      <c r="C574" t="s">
        <v>1645</v>
      </c>
      <c r="D574" t="s">
        <v>1645</v>
      </c>
      <c r="F574" t="s">
        <v>1995</v>
      </c>
    </row>
    <row r="575" spans="1:7">
      <c r="A575" s="5" t="s">
        <v>1057</v>
      </c>
      <c r="B575" s="5" t="s">
        <v>1321</v>
      </c>
      <c r="C575" t="s">
        <v>1718</v>
      </c>
      <c r="D575" t="s">
        <v>1718</v>
      </c>
      <c r="F575" t="s">
        <v>1974</v>
      </c>
      <c r="G575" t="s">
        <v>2221</v>
      </c>
    </row>
    <row r="576" spans="1:7">
      <c r="A576" s="5" t="s">
        <v>1057</v>
      </c>
      <c r="B576" s="5" t="s">
        <v>1321</v>
      </c>
      <c r="C576" t="s">
        <v>1718</v>
      </c>
      <c r="D576" t="s">
        <v>1718</v>
      </c>
      <c r="F576" t="s">
        <v>1974</v>
      </c>
      <c r="G576" t="s">
        <v>2221</v>
      </c>
    </row>
    <row r="577" spans="1:7">
      <c r="A577" s="5" t="s">
        <v>1058</v>
      </c>
      <c r="B577" s="5" t="s">
        <v>1322</v>
      </c>
      <c r="C577" t="s">
        <v>1751</v>
      </c>
      <c r="D577" t="s">
        <v>1751</v>
      </c>
      <c r="F577" t="s">
        <v>1975</v>
      </c>
    </row>
    <row r="578" spans="1:7">
      <c r="A578" s="5" t="s">
        <v>1139</v>
      </c>
      <c r="B578" s="5" t="s">
        <v>1357</v>
      </c>
      <c r="C578" t="s">
        <v>1752</v>
      </c>
      <c r="D578" t="s">
        <v>1752</v>
      </c>
      <c r="F578" t="s">
        <v>2006</v>
      </c>
    </row>
    <row r="579" spans="1:7">
      <c r="A579" s="5" t="s">
        <v>1140</v>
      </c>
      <c r="B579" s="5" t="s">
        <v>1424</v>
      </c>
      <c r="C579" t="s">
        <v>1753</v>
      </c>
      <c r="D579" t="s">
        <v>1753</v>
      </c>
    </row>
    <row r="580" spans="1:7">
      <c r="A580" s="5" t="s">
        <v>1117</v>
      </c>
      <c r="B580" s="5" t="s">
        <v>1403</v>
      </c>
      <c r="C580" t="s">
        <v>1754</v>
      </c>
      <c r="D580" t="s">
        <v>1754</v>
      </c>
    </row>
    <row r="581" spans="1:7">
      <c r="A581" s="5" t="s">
        <v>1107</v>
      </c>
      <c r="B581" s="5" t="s">
        <v>1393</v>
      </c>
      <c r="C581" t="s">
        <v>1755</v>
      </c>
      <c r="D581" t="s">
        <v>1755</v>
      </c>
    </row>
    <row r="582" spans="1:7">
      <c r="A582" s="5" t="s">
        <v>1108</v>
      </c>
      <c r="B582" s="5" t="s">
        <v>1394</v>
      </c>
      <c r="C582" t="s">
        <v>1756</v>
      </c>
      <c r="D582" t="s">
        <v>1756</v>
      </c>
    </row>
    <row r="583" spans="1:7">
      <c r="A583" s="5"/>
      <c r="B583" s="5"/>
    </row>
    <row r="584" spans="1:7">
      <c r="A584" s="5" t="s">
        <v>1033</v>
      </c>
      <c r="B584" s="5" t="s">
        <v>1295</v>
      </c>
      <c r="C584" t="s">
        <v>1757</v>
      </c>
      <c r="D584" t="s">
        <v>1757</v>
      </c>
      <c r="F584" t="s">
        <v>1953</v>
      </c>
      <c r="G584" t="s">
        <v>2221</v>
      </c>
    </row>
    <row r="585" spans="1:7">
      <c r="A585" s="5" t="s">
        <v>1082</v>
      </c>
      <c r="B585" s="5" t="s">
        <v>1349</v>
      </c>
      <c r="C585" t="s">
        <v>1723</v>
      </c>
      <c r="D585" t="s">
        <v>1723</v>
      </c>
      <c r="F585" t="s">
        <v>2001</v>
      </c>
      <c r="G585" t="s">
        <v>2221</v>
      </c>
    </row>
    <row r="586" spans="1:7">
      <c r="A586" s="5" t="s">
        <v>1141</v>
      </c>
      <c r="B586" s="5" t="s">
        <v>1347</v>
      </c>
      <c r="C586" t="s">
        <v>1758</v>
      </c>
      <c r="D586" t="s">
        <v>1758</v>
      </c>
      <c r="F586" t="s">
        <v>1999</v>
      </c>
    </row>
    <row r="587" spans="1:7">
      <c r="A587" s="5" t="s">
        <v>1142</v>
      </c>
      <c r="B587" s="5" t="s">
        <v>1425</v>
      </c>
      <c r="C587" t="s">
        <v>1759</v>
      </c>
      <c r="D587" t="s">
        <v>1759</v>
      </c>
      <c r="F587" t="s">
        <v>2050</v>
      </c>
    </row>
    <row r="588" spans="1:7">
      <c r="A588" s="5" t="s">
        <v>1143</v>
      </c>
      <c r="B588" s="5" t="s">
        <v>1426</v>
      </c>
      <c r="C588" t="s">
        <v>1760</v>
      </c>
      <c r="D588" t="s">
        <v>1760</v>
      </c>
      <c r="F588" t="s">
        <v>2051</v>
      </c>
    </row>
    <row r="589" spans="1:7">
      <c r="A589" s="5" t="s">
        <v>1144</v>
      </c>
      <c r="B589" s="5" t="s">
        <v>1427</v>
      </c>
      <c r="C589" t="s">
        <v>1761</v>
      </c>
      <c r="D589" t="s">
        <v>1761</v>
      </c>
      <c r="F589" t="s">
        <v>2052</v>
      </c>
    </row>
    <row r="590" spans="1:7">
      <c r="A590" s="5" t="s">
        <v>1145</v>
      </c>
      <c r="B590" s="5" t="s">
        <v>1428</v>
      </c>
      <c r="C590" t="s">
        <v>1762</v>
      </c>
      <c r="D590" t="s">
        <v>1762</v>
      </c>
      <c r="F590" t="s">
        <v>2053</v>
      </c>
    </row>
    <row r="591" spans="1:7">
      <c r="A591" s="5" t="s">
        <v>1146</v>
      </c>
      <c r="B591" s="5" t="s">
        <v>1429</v>
      </c>
      <c r="C591" t="s">
        <v>1763</v>
      </c>
      <c r="D591" t="s">
        <v>1763</v>
      </c>
      <c r="F591" t="s">
        <v>2054</v>
      </c>
    </row>
    <row r="592" spans="1:7">
      <c r="A592" s="5" t="s">
        <v>1147</v>
      </c>
      <c r="B592" s="5" t="s">
        <v>1430</v>
      </c>
      <c r="C592" t="s">
        <v>1764</v>
      </c>
      <c r="D592" t="s">
        <v>1764</v>
      </c>
      <c r="F592" t="s">
        <v>2055</v>
      </c>
    </row>
    <row r="593" spans="1:6">
      <c r="A593" s="5" t="s">
        <v>1148</v>
      </c>
      <c r="B593" s="5" t="s">
        <v>1431</v>
      </c>
      <c r="C593" t="s">
        <v>1765</v>
      </c>
      <c r="D593" t="s">
        <v>1765</v>
      </c>
      <c r="F593" t="s">
        <v>2056</v>
      </c>
    </row>
    <row r="594" spans="1:6">
      <c r="A594" s="5" t="s">
        <v>1149</v>
      </c>
      <c r="B594" s="5" t="s">
        <v>1432</v>
      </c>
      <c r="C594" t="s">
        <v>1766</v>
      </c>
      <c r="D594" t="s">
        <v>1766</v>
      </c>
      <c r="F594" t="s">
        <v>1992</v>
      </c>
    </row>
    <row r="595" spans="1:6">
      <c r="A595" s="5" t="s">
        <v>1150</v>
      </c>
      <c r="B595" s="5" t="s">
        <v>1433</v>
      </c>
      <c r="C595" t="s">
        <v>1767</v>
      </c>
      <c r="D595" t="s">
        <v>1767</v>
      </c>
      <c r="F595" t="s">
        <v>2057</v>
      </c>
    </row>
    <row r="596" spans="1:6">
      <c r="A596" s="5" t="s">
        <v>1151</v>
      </c>
      <c r="B596" s="5" t="s">
        <v>1434</v>
      </c>
      <c r="C596" t="s">
        <v>1768</v>
      </c>
      <c r="D596" t="s">
        <v>1768</v>
      </c>
      <c r="F596" t="s">
        <v>2058</v>
      </c>
    </row>
    <row r="597" spans="1:6">
      <c r="A597" s="5" t="s">
        <v>1152</v>
      </c>
      <c r="B597" s="5" t="s">
        <v>1435</v>
      </c>
      <c r="C597" t="s">
        <v>1769</v>
      </c>
      <c r="D597" t="s">
        <v>1769</v>
      </c>
      <c r="F597" t="s">
        <v>2059</v>
      </c>
    </row>
    <row r="598" spans="1:6">
      <c r="A598" s="5" t="s">
        <v>1153</v>
      </c>
      <c r="B598" s="5" t="s">
        <v>1436</v>
      </c>
      <c r="C598" t="s">
        <v>1770</v>
      </c>
      <c r="D598" t="s">
        <v>1770</v>
      </c>
      <c r="F598" t="s">
        <v>2060</v>
      </c>
    </row>
    <row r="599" spans="1:6">
      <c r="A599" s="5" t="s">
        <v>1154</v>
      </c>
      <c r="B599" s="5" t="s">
        <v>1437</v>
      </c>
      <c r="C599" t="s">
        <v>1771</v>
      </c>
      <c r="D599" t="s">
        <v>1771</v>
      </c>
      <c r="F599" t="s">
        <v>2061</v>
      </c>
    </row>
    <row r="600" spans="1:6">
      <c r="A600" s="5" t="s">
        <v>1155</v>
      </c>
      <c r="B600" s="5" t="s">
        <v>1327</v>
      </c>
      <c r="C600" t="s">
        <v>1626</v>
      </c>
      <c r="D600" t="s">
        <v>1626</v>
      </c>
      <c r="F600" t="s">
        <v>1980</v>
      </c>
    </row>
    <row r="601" spans="1:6">
      <c r="A601" s="5" t="s">
        <v>1156</v>
      </c>
      <c r="B601" s="5" t="s">
        <v>1390</v>
      </c>
      <c r="C601" t="s">
        <v>1772</v>
      </c>
      <c r="D601" t="s">
        <v>1772</v>
      </c>
      <c r="F601" t="s">
        <v>2062</v>
      </c>
    </row>
    <row r="602" spans="1:6">
      <c r="A602" s="5" t="s">
        <v>1157</v>
      </c>
      <c r="B602" s="5" t="s">
        <v>1438</v>
      </c>
      <c r="C602" t="s">
        <v>1772</v>
      </c>
      <c r="D602" t="s">
        <v>1772</v>
      </c>
      <c r="F602" t="s">
        <v>2062</v>
      </c>
    </row>
    <row r="603" spans="1:6">
      <c r="A603" s="5" t="s">
        <v>1158</v>
      </c>
      <c r="B603" s="5" t="s">
        <v>1439</v>
      </c>
      <c r="C603" t="s">
        <v>1773</v>
      </c>
      <c r="D603" t="s">
        <v>1773</v>
      </c>
      <c r="F603" t="s">
        <v>2063</v>
      </c>
    </row>
    <row r="604" spans="1:6">
      <c r="A604" s="5" t="s">
        <v>1159</v>
      </c>
      <c r="B604" s="5" t="s">
        <v>1440</v>
      </c>
      <c r="C604" t="s">
        <v>1774</v>
      </c>
      <c r="D604" t="s">
        <v>1774</v>
      </c>
      <c r="F604" t="s">
        <v>2064</v>
      </c>
    </row>
    <row r="605" spans="1:6">
      <c r="A605" s="5" t="s">
        <v>1160</v>
      </c>
      <c r="B605" s="5" t="s">
        <v>1441</v>
      </c>
      <c r="C605" t="s">
        <v>1775</v>
      </c>
      <c r="D605" t="s">
        <v>1775</v>
      </c>
      <c r="F605" t="s">
        <v>2065</v>
      </c>
    </row>
    <row r="606" spans="1:6">
      <c r="A606" s="5" t="s">
        <v>1161</v>
      </c>
      <c r="B606" s="5" t="s">
        <v>1442</v>
      </c>
      <c r="C606" t="s">
        <v>1776</v>
      </c>
      <c r="D606" t="s">
        <v>1776</v>
      </c>
      <c r="F606" t="s">
        <v>2066</v>
      </c>
    </row>
    <row r="607" spans="1:6">
      <c r="A607" s="5" t="s">
        <v>1162</v>
      </c>
      <c r="B607" s="5" t="s">
        <v>1443</v>
      </c>
      <c r="C607" t="s">
        <v>1777</v>
      </c>
      <c r="D607" t="s">
        <v>1777</v>
      </c>
      <c r="F607" t="s">
        <v>2067</v>
      </c>
    </row>
    <row r="608" spans="1:6">
      <c r="A608" s="5" t="s">
        <v>1163</v>
      </c>
      <c r="B608" s="5" t="s">
        <v>1444</v>
      </c>
      <c r="C608" t="s">
        <v>1778</v>
      </c>
      <c r="D608" t="s">
        <v>1778</v>
      </c>
      <c r="F608" t="s">
        <v>2068</v>
      </c>
    </row>
    <row r="609" spans="1:6">
      <c r="A609" s="5" t="s">
        <v>1164</v>
      </c>
      <c r="B609" s="5" t="s">
        <v>1445</v>
      </c>
      <c r="C609" t="s">
        <v>1779</v>
      </c>
      <c r="D609" t="s">
        <v>1779</v>
      </c>
      <c r="F609" t="s">
        <v>2069</v>
      </c>
    </row>
    <row r="610" spans="1:6">
      <c r="A610" s="5" t="s">
        <v>1165</v>
      </c>
      <c r="B610" s="5" t="s">
        <v>1446</v>
      </c>
      <c r="C610" t="s">
        <v>1780</v>
      </c>
      <c r="D610" t="s">
        <v>1780</v>
      </c>
      <c r="F610" t="s">
        <v>2070</v>
      </c>
    </row>
    <row r="611" spans="1:6">
      <c r="A611" s="5" t="s">
        <v>1166</v>
      </c>
      <c r="B611" s="5" t="s">
        <v>1447</v>
      </c>
      <c r="C611" t="s">
        <v>1781</v>
      </c>
      <c r="D611" t="s">
        <v>1781</v>
      </c>
      <c r="F611" t="s">
        <v>2071</v>
      </c>
    </row>
    <row r="612" spans="1:6">
      <c r="A612" s="5" t="s">
        <v>1167</v>
      </c>
      <c r="B612" s="5" t="s">
        <v>1448</v>
      </c>
      <c r="C612" t="s">
        <v>1782</v>
      </c>
      <c r="D612" t="s">
        <v>1782</v>
      </c>
      <c r="F612" t="s">
        <v>2072</v>
      </c>
    </row>
    <row r="613" spans="1:6">
      <c r="A613" s="5" t="s">
        <v>1168</v>
      </c>
      <c r="B613" s="5" t="s">
        <v>1449</v>
      </c>
      <c r="C613" t="s">
        <v>1783</v>
      </c>
      <c r="D613" t="s">
        <v>1783</v>
      </c>
      <c r="F613" t="s">
        <v>2073</v>
      </c>
    </row>
    <row r="614" spans="1:6">
      <c r="A614" s="5" t="s">
        <v>1169</v>
      </c>
      <c r="B614" s="5" t="s">
        <v>1450</v>
      </c>
      <c r="C614" t="s">
        <v>1784</v>
      </c>
      <c r="D614" t="s">
        <v>1784</v>
      </c>
      <c r="F614" t="s">
        <v>2074</v>
      </c>
    </row>
    <row r="615" spans="1:6">
      <c r="A615" s="5" t="s">
        <v>1170</v>
      </c>
      <c r="B615" s="5" t="s">
        <v>1451</v>
      </c>
      <c r="C615" t="s">
        <v>1785</v>
      </c>
      <c r="D615" t="s">
        <v>1785</v>
      </c>
      <c r="F615" t="s">
        <v>2075</v>
      </c>
    </row>
    <row r="616" spans="1:6">
      <c r="A616" s="5" t="s">
        <v>1171</v>
      </c>
      <c r="B616" s="5" t="s">
        <v>1452</v>
      </c>
      <c r="C616" t="s">
        <v>1786</v>
      </c>
      <c r="D616" t="s">
        <v>1786</v>
      </c>
      <c r="F616" t="s">
        <v>2076</v>
      </c>
    </row>
    <row r="617" spans="1:6">
      <c r="A617" s="5" t="s">
        <v>1172</v>
      </c>
      <c r="B617" s="5" t="s">
        <v>1453</v>
      </c>
      <c r="C617" t="s">
        <v>1787</v>
      </c>
      <c r="D617" t="s">
        <v>1787</v>
      </c>
      <c r="F617" t="s">
        <v>2077</v>
      </c>
    </row>
    <row r="618" spans="1:6">
      <c r="A618" s="5" t="s">
        <v>1173</v>
      </c>
      <c r="B618" s="5" t="s">
        <v>1454</v>
      </c>
      <c r="C618" t="s">
        <v>1788</v>
      </c>
      <c r="D618" t="s">
        <v>1788</v>
      </c>
      <c r="F618" t="s">
        <v>2078</v>
      </c>
    </row>
    <row r="619" spans="1:6">
      <c r="A619" s="5" t="s">
        <v>1174</v>
      </c>
      <c r="B619" s="5" t="s">
        <v>1455</v>
      </c>
      <c r="C619" t="s">
        <v>1789</v>
      </c>
      <c r="D619" t="s">
        <v>1789</v>
      </c>
      <c r="F619" t="s">
        <v>2079</v>
      </c>
    </row>
    <row r="620" spans="1:6">
      <c r="A620" s="5" t="s">
        <v>1175</v>
      </c>
      <c r="B620" s="5" t="s">
        <v>1456</v>
      </c>
      <c r="C620" t="s">
        <v>1790</v>
      </c>
      <c r="D620" t="s">
        <v>1790</v>
      </c>
      <c r="F620" t="s">
        <v>2080</v>
      </c>
    </row>
    <row r="621" spans="1:6">
      <c r="A621" s="5" t="s">
        <v>1084</v>
      </c>
      <c r="B621" s="5" t="s">
        <v>1352</v>
      </c>
      <c r="C621" t="s">
        <v>1654</v>
      </c>
      <c r="D621" t="s">
        <v>1654</v>
      </c>
      <c r="F621" t="s">
        <v>2004</v>
      </c>
    </row>
    <row r="622" spans="1:6">
      <c r="A622" s="5" t="s">
        <v>1176</v>
      </c>
      <c r="B622" s="5" t="s">
        <v>1457</v>
      </c>
      <c r="C622" t="s">
        <v>1791</v>
      </c>
      <c r="D622" t="s">
        <v>1791</v>
      </c>
      <c r="F622" t="s">
        <v>2081</v>
      </c>
    </row>
    <row r="623" spans="1:6">
      <c r="A623" s="5" t="s">
        <v>1177</v>
      </c>
      <c r="B623" s="5" t="s">
        <v>1276</v>
      </c>
      <c r="C623" t="s">
        <v>1792</v>
      </c>
      <c r="D623" t="s">
        <v>1792</v>
      </c>
      <c r="F623" t="s">
        <v>2082</v>
      </c>
    </row>
    <row r="624" spans="1:6">
      <c r="A624" s="5" t="s">
        <v>1178</v>
      </c>
      <c r="B624" s="5" t="s">
        <v>1458</v>
      </c>
      <c r="C624" t="s">
        <v>1793</v>
      </c>
      <c r="D624" t="s">
        <v>1793</v>
      </c>
      <c r="F624" t="s">
        <v>2083</v>
      </c>
    </row>
    <row r="625" spans="1:7">
      <c r="A625" s="5" t="s">
        <v>1179</v>
      </c>
      <c r="B625" s="5" t="s">
        <v>1459</v>
      </c>
      <c r="C625" t="s">
        <v>1794</v>
      </c>
      <c r="D625" t="s">
        <v>1794</v>
      </c>
      <c r="F625" t="s">
        <v>2084</v>
      </c>
    </row>
    <row r="626" spans="1:7">
      <c r="A626" s="5" t="s">
        <v>1180</v>
      </c>
      <c r="B626" s="5" t="s">
        <v>1460</v>
      </c>
      <c r="C626" t="s">
        <v>1795</v>
      </c>
      <c r="D626" t="s">
        <v>1795</v>
      </c>
      <c r="F626" t="s">
        <v>2085</v>
      </c>
    </row>
    <row r="627" spans="1:7">
      <c r="A627" s="5" t="s">
        <v>1181</v>
      </c>
      <c r="B627" s="5" t="s">
        <v>1461</v>
      </c>
      <c r="C627" t="s">
        <v>1796</v>
      </c>
      <c r="D627" t="s">
        <v>1796</v>
      </c>
      <c r="F627" t="s">
        <v>2086</v>
      </c>
    </row>
    <row r="628" spans="1:7">
      <c r="A628" s="5" t="s">
        <v>1182</v>
      </c>
      <c r="B628" s="5" t="s">
        <v>1462</v>
      </c>
      <c r="C628" t="s">
        <v>1797</v>
      </c>
      <c r="D628" t="s">
        <v>1797</v>
      </c>
      <c r="F628" t="s">
        <v>2087</v>
      </c>
    </row>
    <row r="629" spans="1:7">
      <c r="A629" s="5" t="s">
        <v>1183</v>
      </c>
      <c r="B629" s="5" t="s">
        <v>1463</v>
      </c>
      <c r="C629" t="s">
        <v>1798</v>
      </c>
      <c r="D629" t="s">
        <v>1798</v>
      </c>
      <c r="F629" t="s">
        <v>2088</v>
      </c>
    </row>
    <row r="630" spans="1:7">
      <c r="A630" s="5" t="s">
        <v>1184</v>
      </c>
      <c r="B630" s="5" t="s">
        <v>1464</v>
      </c>
      <c r="C630" t="s">
        <v>1799</v>
      </c>
      <c r="D630" t="s">
        <v>1799</v>
      </c>
      <c r="F630" t="s">
        <v>2089</v>
      </c>
    </row>
    <row r="631" spans="1:7">
      <c r="A631" s="5" t="s">
        <v>1185</v>
      </c>
      <c r="B631" s="5" t="s">
        <v>1465</v>
      </c>
      <c r="C631" t="s">
        <v>1800</v>
      </c>
      <c r="D631" t="s">
        <v>1800</v>
      </c>
      <c r="F631" t="s">
        <v>2090</v>
      </c>
    </row>
    <row r="632" spans="1:7">
      <c r="A632" s="5" t="s">
        <v>1186</v>
      </c>
      <c r="B632" s="5" t="s">
        <v>1466</v>
      </c>
      <c r="C632" t="s">
        <v>1801</v>
      </c>
      <c r="D632" t="s">
        <v>1801</v>
      </c>
      <c r="F632" t="s">
        <v>2091</v>
      </c>
    </row>
    <row r="633" spans="1:7">
      <c r="A633" s="5" t="s">
        <v>1187</v>
      </c>
      <c r="B633" s="5" t="s">
        <v>1467</v>
      </c>
      <c r="C633" t="s">
        <v>1802</v>
      </c>
      <c r="D633" t="s">
        <v>1802</v>
      </c>
      <c r="F633" t="s">
        <v>2092</v>
      </c>
    </row>
    <row r="634" spans="1:7">
      <c r="A634" s="5" t="s">
        <v>1117</v>
      </c>
      <c r="B634" s="5" t="s">
        <v>1403</v>
      </c>
      <c r="C634" t="s">
        <v>1754</v>
      </c>
      <c r="D634" t="s">
        <v>1754</v>
      </c>
    </row>
    <row r="635" spans="1:7">
      <c r="A635" s="5" t="s">
        <v>1024</v>
      </c>
      <c r="B635" s="5" t="s">
        <v>1286</v>
      </c>
      <c r="C635" t="s">
        <v>1581</v>
      </c>
      <c r="D635" t="s">
        <v>1581</v>
      </c>
      <c r="F635" t="s">
        <v>1951</v>
      </c>
      <c r="G635" t="s">
        <v>2221</v>
      </c>
    </row>
    <row r="636" spans="1:7">
      <c r="A636" s="5" t="s">
        <v>1140</v>
      </c>
      <c r="B636" s="5" t="s">
        <v>1424</v>
      </c>
      <c r="C636" t="s">
        <v>1753</v>
      </c>
      <c r="D636" t="s">
        <v>1753</v>
      </c>
    </row>
    <row r="637" spans="1:7">
      <c r="A637" s="5" t="s">
        <v>1120</v>
      </c>
      <c r="B637" s="5" t="s">
        <v>1406</v>
      </c>
      <c r="C637" t="s">
        <v>1726</v>
      </c>
      <c r="D637" t="s">
        <v>1726</v>
      </c>
    </row>
    <row r="638" spans="1:7">
      <c r="A638" s="5" t="s">
        <v>1121</v>
      </c>
      <c r="B638" s="5" t="s">
        <v>1407</v>
      </c>
      <c r="C638" t="s">
        <v>1727</v>
      </c>
      <c r="D638" t="s">
        <v>1727</v>
      </c>
    </row>
    <row r="639" spans="1:7">
      <c r="A639" s="5" t="s">
        <v>1188</v>
      </c>
      <c r="B639" s="5" t="s">
        <v>1468</v>
      </c>
      <c r="C639" t="s">
        <v>1803</v>
      </c>
      <c r="D639" t="s">
        <v>1803</v>
      </c>
    </row>
    <row r="640" spans="1:7">
      <c r="A640" s="5" t="s">
        <v>1189</v>
      </c>
      <c r="B640" s="5" t="s">
        <v>1469</v>
      </c>
      <c r="C640" t="s">
        <v>1804</v>
      </c>
      <c r="D640" t="s">
        <v>1804</v>
      </c>
    </row>
    <row r="641" spans="1:7">
      <c r="A641" s="5" t="s">
        <v>1027</v>
      </c>
      <c r="B641" s="5" t="s">
        <v>1289</v>
      </c>
      <c r="C641" t="s">
        <v>1584</v>
      </c>
      <c r="D641" t="s">
        <v>1584</v>
      </c>
    </row>
    <row r="642" spans="1:7">
      <c r="A642" s="5" t="s">
        <v>1190</v>
      </c>
      <c r="B642" s="5" t="s">
        <v>1470</v>
      </c>
      <c r="C642" t="s">
        <v>1805</v>
      </c>
      <c r="D642" t="s">
        <v>1805</v>
      </c>
    </row>
    <row r="643" spans="1:7">
      <c r="A643" s="5" t="s">
        <v>1191</v>
      </c>
      <c r="B643" s="5" t="s">
        <v>1471</v>
      </c>
      <c r="C643" t="s">
        <v>1806</v>
      </c>
      <c r="D643" t="s">
        <v>1806</v>
      </c>
    </row>
    <row r="644" spans="1:7">
      <c r="A644" s="5" t="s">
        <v>1192</v>
      </c>
      <c r="B644" s="5" t="s">
        <v>1472</v>
      </c>
      <c r="C644" t="s">
        <v>1807</v>
      </c>
      <c r="D644" t="s">
        <v>1807</v>
      </c>
    </row>
    <row r="645" spans="1:7">
      <c r="A645" s="5" t="s">
        <v>1193</v>
      </c>
      <c r="B645" s="5" t="s">
        <v>1473</v>
      </c>
      <c r="C645" t="s">
        <v>1808</v>
      </c>
      <c r="D645" t="s">
        <v>1808</v>
      </c>
    </row>
    <row r="646" spans="1:7">
      <c r="A646" s="5" t="s">
        <v>1064</v>
      </c>
      <c r="B646" s="5" t="s">
        <v>1328</v>
      </c>
      <c r="C646" t="s">
        <v>1627</v>
      </c>
      <c r="D646" t="s">
        <v>1627</v>
      </c>
    </row>
    <row r="647" spans="1:7">
      <c r="A647" s="5" t="s">
        <v>1194</v>
      </c>
      <c r="B647" s="5" t="s">
        <v>1474</v>
      </c>
      <c r="C647" t="s">
        <v>1809</v>
      </c>
      <c r="D647" t="s">
        <v>1809</v>
      </c>
    </row>
    <row r="648" spans="1:7">
      <c r="A648" s="5" t="s">
        <v>1028</v>
      </c>
      <c r="B648" s="5" t="s">
        <v>1290</v>
      </c>
      <c r="C648" t="s">
        <v>1585</v>
      </c>
      <c r="D648" t="s">
        <v>1585</v>
      </c>
    </row>
    <row r="649" spans="1:7">
      <c r="A649" s="5" t="s">
        <v>1195</v>
      </c>
      <c r="B649" s="5" t="s">
        <v>1475</v>
      </c>
      <c r="C649" t="s">
        <v>1810</v>
      </c>
      <c r="D649" t="s">
        <v>1810</v>
      </c>
    </row>
    <row r="650" spans="1:7">
      <c r="A650" s="5"/>
      <c r="B650" s="5" t="s">
        <v>1476</v>
      </c>
      <c r="C650" t="s">
        <v>1811</v>
      </c>
      <c r="D650" t="s">
        <v>1811</v>
      </c>
      <c r="F650" t="s">
        <v>2093</v>
      </c>
    </row>
    <row r="651" spans="1:7">
      <c r="A651" s="5" t="s">
        <v>1196</v>
      </c>
      <c r="B651" s="5" t="s">
        <v>1477</v>
      </c>
      <c r="C651" t="s">
        <v>1812</v>
      </c>
      <c r="D651" t="s">
        <v>1812</v>
      </c>
      <c r="F651" t="s">
        <v>2094</v>
      </c>
    </row>
    <row r="652" spans="1:7">
      <c r="A652" s="5" t="s">
        <v>1197</v>
      </c>
      <c r="B652" s="5" t="s">
        <v>1478</v>
      </c>
      <c r="C652" t="s">
        <v>1813</v>
      </c>
      <c r="D652" t="s">
        <v>1813</v>
      </c>
      <c r="F652" t="s">
        <v>2095</v>
      </c>
    </row>
    <row r="653" spans="1:7">
      <c r="A653" s="5" t="s">
        <v>1074</v>
      </c>
      <c r="B653" s="5" t="s">
        <v>1338</v>
      </c>
      <c r="C653" t="s">
        <v>1814</v>
      </c>
      <c r="D653" t="s">
        <v>1814</v>
      </c>
      <c r="F653" t="s">
        <v>1988</v>
      </c>
      <c r="G653" t="s">
        <v>2221</v>
      </c>
    </row>
    <row r="654" spans="1:7">
      <c r="A654" s="5" t="s">
        <v>1198</v>
      </c>
      <c r="B654" s="5" t="s">
        <v>1479</v>
      </c>
      <c r="C654" t="s">
        <v>1815</v>
      </c>
      <c r="D654" t="s">
        <v>1815</v>
      </c>
      <c r="F654" t="s">
        <v>2096</v>
      </c>
      <c r="G654" t="s">
        <v>2221</v>
      </c>
    </row>
    <row r="655" spans="1:7">
      <c r="A655" s="5" t="s">
        <v>1080</v>
      </c>
      <c r="B655" s="5" t="s">
        <v>1345</v>
      </c>
      <c r="C655" t="s">
        <v>1647</v>
      </c>
      <c r="D655" t="s">
        <v>1647</v>
      </c>
      <c r="F655" t="s">
        <v>1997</v>
      </c>
      <c r="G655" t="s">
        <v>2221</v>
      </c>
    </row>
    <row r="656" spans="1:7">
      <c r="A656" s="5" t="s">
        <v>1199</v>
      </c>
      <c r="B656" s="5" t="s">
        <v>1480</v>
      </c>
      <c r="C656" t="s">
        <v>1816</v>
      </c>
      <c r="D656" t="s">
        <v>1816</v>
      </c>
      <c r="F656" t="s">
        <v>2097</v>
      </c>
    </row>
    <row r="657" spans="1:7">
      <c r="A657" s="5" t="s">
        <v>1200</v>
      </c>
      <c r="B657" s="5" t="s">
        <v>1481</v>
      </c>
      <c r="C657" t="s">
        <v>1817</v>
      </c>
      <c r="D657" t="s">
        <v>1817</v>
      </c>
      <c r="F657" t="s">
        <v>2098</v>
      </c>
    </row>
    <row r="658" spans="1:7">
      <c r="A658" s="5" t="s">
        <v>1201</v>
      </c>
      <c r="B658" s="5" t="s">
        <v>1482</v>
      </c>
      <c r="C658" t="s">
        <v>1818</v>
      </c>
      <c r="D658" t="s">
        <v>1818</v>
      </c>
      <c r="F658" t="s">
        <v>2099</v>
      </c>
      <c r="G658" t="s">
        <v>2221</v>
      </c>
    </row>
    <row r="659" spans="1:7">
      <c r="A659" s="5" t="s">
        <v>1027</v>
      </c>
      <c r="B659" s="5" t="s">
        <v>1289</v>
      </c>
      <c r="C659" t="s">
        <v>1584</v>
      </c>
      <c r="D659" t="s">
        <v>1584</v>
      </c>
    </row>
    <row r="660" spans="1:7">
      <c r="A660" s="5" t="s">
        <v>1192</v>
      </c>
      <c r="B660" s="5" t="s">
        <v>1472</v>
      </c>
      <c r="C660" t="s">
        <v>1807</v>
      </c>
      <c r="D660" t="s">
        <v>1807</v>
      </c>
    </row>
    <row r="661" spans="1:7">
      <c r="A661" s="5" t="s">
        <v>1193</v>
      </c>
      <c r="B661" s="5" t="s">
        <v>1473</v>
      </c>
      <c r="C661" t="s">
        <v>1808</v>
      </c>
      <c r="D661" t="s">
        <v>1808</v>
      </c>
    </row>
    <row r="662" spans="1:7">
      <c r="A662" s="5" t="s">
        <v>1064</v>
      </c>
      <c r="B662" s="5" t="s">
        <v>1328</v>
      </c>
      <c r="C662" t="s">
        <v>1627</v>
      </c>
      <c r="D662" t="s">
        <v>1627</v>
      </c>
    </row>
    <row r="663" spans="1:7">
      <c r="A663" s="5" t="s">
        <v>1194</v>
      </c>
      <c r="B663" s="5" t="s">
        <v>1474</v>
      </c>
      <c r="C663" t="s">
        <v>1809</v>
      </c>
      <c r="D663" t="s">
        <v>1809</v>
      </c>
    </row>
    <row r="664" spans="1:7">
      <c r="A664" s="5" t="s">
        <v>1028</v>
      </c>
      <c r="B664" s="5" t="s">
        <v>1290</v>
      </c>
      <c r="C664" t="s">
        <v>1585</v>
      </c>
      <c r="D664" t="s">
        <v>1585</v>
      </c>
    </row>
    <row r="665" spans="1:7">
      <c r="A665" s="5" t="s">
        <v>1195</v>
      </c>
      <c r="B665" s="5" t="s">
        <v>1475</v>
      </c>
      <c r="C665" t="s">
        <v>1810</v>
      </c>
      <c r="D665" t="s">
        <v>1810</v>
      </c>
    </row>
    <row r="666" spans="1:7">
      <c r="A666" s="5" t="s">
        <v>1190</v>
      </c>
      <c r="B666" s="5" t="s">
        <v>1470</v>
      </c>
      <c r="C666" t="s">
        <v>1805</v>
      </c>
      <c r="D666" t="s">
        <v>1805</v>
      </c>
    </row>
    <row r="667" spans="1:7">
      <c r="A667" s="5" t="s">
        <v>1191</v>
      </c>
      <c r="B667" s="5" t="s">
        <v>1471</v>
      </c>
      <c r="C667" t="s">
        <v>1806</v>
      </c>
      <c r="D667" t="s">
        <v>1806</v>
      </c>
    </row>
    <row r="668" spans="1:7">
      <c r="A668" s="5" t="s">
        <v>1202</v>
      </c>
      <c r="B668" s="5" t="s">
        <v>1483</v>
      </c>
      <c r="C668" t="s">
        <v>1819</v>
      </c>
      <c r="D668" t="s">
        <v>1819</v>
      </c>
      <c r="F668" t="s">
        <v>2100</v>
      </c>
      <c r="G668" t="s">
        <v>2221</v>
      </c>
    </row>
    <row r="669" spans="1:7">
      <c r="A669" s="5" t="s">
        <v>1068</v>
      </c>
      <c r="B669" s="5" t="s">
        <v>1332</v>
      </c>
      <c r="C669" t="s">
        <v>1820</v>
      </c>
      <c r="D669" t="s">
        <v>1820</v>
      </c>
      <c r="F669" t="s">
        <v>2101</v>
      </c>
    </row>
    <row r="670" spans="1:7">
      <c r="A670" s="5" t="s">
        <v>1203</v>
      </c>
      <c r="B670" s="5" t="s">
        <v>1484</v>
      </c>
      <c r="C670" t="s">
        <v>1821</v>
      </c>
      <c r="D670" t="s">
        <v>1821</v>
      </c>
      <c r="F670" t="s">
        <v>2102</v>
      </c>
    </row>
    <row r="671" spans="1:7">
      <c r="A671" s="5" t="s">
        <v>1200</v>
      </c>
      <c r="B671" s="5" t="s">
        <v>1481</v>
      </c>
      <c r="C671" t="s">
        <v>1817</v>
      </c>
      <c r="D671" t="s">
        <v>1817</v>
      </c>
      <c r="F671" t="s">
        <v>2098</v>
      </c>
    </row>
    <row r="672" spans="1:7">
      <c r="A672" s="5" t="s">
        <v>1204</v>
      </c>
      <c r="B672" s="5" t="s">
        <v>1485</v>
      </c>
      <c r="C672" t="s">
        <v>1822</v>
      </c>
      <c r="D672" t="s">
        <v>1822</v>
      </c>
      <c r="F672" t="s">
        <v>2103</v>
      </c>
    </row>
    <row r="673" spans="1:7">
      <c r="A673" s="5" t="s">
        <v>1058</v>
      </c>
      <c r="B673" s="5" t="s">
        <v>1322</v>
      </c>
      <c r="C673" t="s">
        <v>1823</v>
      </c>
      <c r="D673" t="s">
        <v>1823</v>
      </c>
      <c r="F673" t="s">
        <v>1975</v>
      </c>
      <c r="G673" t="s">
        <v>2221</v>
      </c>
    </row>
    <row r="674" spans="1:7">
      <c r="A674" s="5" t="s">
        <v>1083</v>
      </c>
      <c r="B674" s="5" t="s">
        <v>1350</v>
      </c>
      <c r="C674" t="s">
        <v>1824</v>
      </c>
      <c r="D674" t="s">
        <v>1824</v>
      </c>
      <c r="F674" t="s">
        <v>2002</v>
      </c>
      <c r="G674" t="s">
        <v>2221</v>
      </c>
    </row>
    <row r="675" spans="1:7">
      <c r="A675" s="5" t="s">
        <v>1205</v>
      </c>
      <c r="B675" s="5" t="s">
        <v>1486</v>
      </c>
      <c r="C675" t="s">
        <v>1825</v>
      </c>
      <c r="D675" t="s">
        <v>1825</v>
      </c>
      <c r="F675" t="s">
        <v>2104</v>
      </c>
      <c r="G675" t="s">
        <v>2221</v>
      </c>
    </row>
    <row r="676" spans="1:7">
      <c r="A676" s="5" t="s">
        <v>1135</v>
      </c>
      <c r="B676" s="5" t="s">
        <v>1487</v>
      </c>
      <c r="C676" t="s">
        <v>1826</v>
      </c>
      <c r="D676" t="s">
        <v>1826</v>
      </c>
      <c r="F676" t="s">
        <v>2048</v>
      </c>
    </row>
    <row r="677" spans="1:7">
      <c r="A677" s="5" t="s">
        <v>1206</v>
      </c>
      <c r="B677" s="5" t="s">
        <v>1488</v>
      </c>
      <c r="C677" t="s">
        <v>1827</v>
      </c>
      <c r="D677" t="s">
        <v>1827</v>
      </c>
      <c r="F677" t="s">
        <v>2105</v>
      </c>
    </row>
    <row r="678" spans="1:7">
      <c r="A678" s="5" t="s">
        <v>1207</v>
      </c>
      <c r="B678" s="5" t="s">
        <v>1489</v>
      </c>
      <c r="C678" t="s">
        <v>1828</v>
      </c>
      <c r="D678" t="s">
        <v>1828</v>
      </c>
      <c r="F678" t="s">
        <v>2106</v>
      </c>
    </row>
    <row r="679" spans="1:7">
      <c r="A679" s="5" t="s">
        <v>1208</v>
      </c>
      <c r="B679" s="5" t="s">
        <v>1490</v>
      </c>
      <c r="C679" t="s">
        <v>1829</v>
      </c>
      <c r="D679" t="s">
        <v>1829</v>
      </c>
      <c r="F679" t="s">
        <v>2107</v>
      </c>
    </row>
    <row r="680" spans="1:7">
      <c r="A680" s="5" t="s">
        <v>1209</v>
      </c>
      <c r="B680" s="5" t="s">
        <v>1491</v>
      </c>
      <c r="C680" t="s">
        <v>1830</v>
      </c>
      <c r="D680" t="s">
        <v>1830</v>
      </c>
      <c r="F680" t="s">
        <v>2108</v>
      </c>
    </row>
    <row r="681" spans="1:7">
      <c r="A681" s="5" t="s">
        <v>1075</v>
      </c>
      <c r="B681" s="5" t="s">
        <v>1340</v>
      </c>
      <c r="C681" t="s">
        <v>1638</v>
      </c>
      <c r="D681" t="s">
        <v>1638</v>
      </c>
      <c r="F681" t="s">
        <v>1990</v>
      </c>
      <c r="G681" t="s">
        <v>2221</v>
      </c>
    </row>
    <row r="682" spans="1:7">
      <c r="A682" s="5" t="s">
        <v>1082</v>
      </c>
      <c r="B682" s="5" t="s">
        <v>1349</v>
      </c>
      <c r="C682" t="s">
        <v>1651</v>
      </c>
      <c r="D682" t="s">
        <v>1651</v>
      </c>
      <c r="F682" t="s">
        <v>2001</v>
      </c>
      <c r="G682" t="s">
        <v>2221</v>
      </c>
    </row>
    <row r="683" spans="1:7">
      <c r="A683" s="5" t="s">
        <v>1210</v>
      </c>
      <c r="B683" s="5" t="s">
        <v>1492</v>
      </c>
      <c r="C683" t="s">
        <v>1831</v>
      </c>
      <c r="D683" t="s">
        <v>1831</v>
      </c>
      <c r="F683" t="s">
        <v>2109</v>
      </c>
    </row>
    <row r="684" spans="1:7">
      <c r="A684" s="5" t="s">
        <v>1136</v>
      </c>
      <c r="B684" s="5" t="s">
        <v>1421</v>
      </c>
      <c r="C684" t="s">
        <v>1748</v>
      </c>
      <c r="D684" t="s">
        <v>1748</v>
      </c>
      <c r="F684" t="s">
        <v>2049</v>
      </c>
      <c r="G684" t="s">
        <v>2221</v>
      </c>
    </row>
    <row r="685" spans="1:7">
      <c r="A685" s="5" t="s">
        <v>1079</v>
      </c>
      <c r="B685" s="5" t="s">
        <v>1344</v>
      </c>
      <c r="C685" t="s">
        <v>1646</v>
      </c>
      <c r="D685" t="s">
        <v>1646</v>
      </c>
      <c r="F685" t="s">
        <v>1996</v>
      </c>
      <c r="G685" t="s">
        <v>2221</v>
      </c>
    </row>
    <row r="686" spans="1:7">
      <c r="A686" s="5" t="s">
        <v>1057</v>
      </c>
      <c r="B686" s="5" t="s">
        <v>1321</v>
      </c>
      <c r="C686" t="s">
        <v>1620</v>
      </c>
      <c r="D686" t="s">
        <v>1620</v>
      </c>
      <c r="F686" t="s">
        <v>1974</v>
      </c>
      <c r="G686" t="s">
        <v>2221</v>
      </c>
    </row>
    <row r="687" spans="1:7">
      <c r="A687" s="5" t="s">
        <v>1211</v>
      </c>
      <c r="B687" s="5" t="s">
        <v>1493</v>
      </c>
      <c r="C687" t="s">
        <v>1832</v>
      </c>
      <c r="D687" t="s">
        <v>1832</v>
      </c>
      <c r="F687" t="s">
        <v>2110</v>
      </c>
    </row>
    <row r="688" spans="1:7">
      <c r="A688" s="5" t="s">
        <v>1212</v>
      </c>
      <c r="B688" s="5" t="s">
        <v>1494</v>
      </c>
      <c r="C688" t="s">
        <v>1833</v>
      </c>
      <c r="D688" t="s">
        <v>1833</v>
      </c>
      <c r="F688" t="s">
        <v>2111</v>
      </c>
    </row>
    <row r="689" spans="1:7">
      <c r="A689" s="5" t="s">
        <v>1213</v>
      </c>
      <c r="B689" s="5" t="s">
        <v>1495</v>
      </c>
      <c r="C689" t="s">
        <v>1678</v>
      </c>
      <c r="D689" t="s">
        <v>1678</v>
      </c>
      <c r="F689" t="s">
        <v>2012</v>
      </c>
    </row>
    <row r="690" spans="1:7">
      <c r="A690" s="5" t="s">
        <v>1078</v>
      </c>
      <c r="B690" s="5" t="s">
        <v>1343</v>
      </c>
      <c r="C690" t="s">
        <v>1645</v>
      </c>
      <c r="D690" t="s">
        <v>1645</v>
      </c>
      <c r="F690" t="s">
        <v>1995</v>
      </c>
    </row>
    <row r="691" spans="1:7">
      <c r="A691" s="5" t="s">
        <v>188</v>
      </c>
      <c r="B691" s="5" t="s">
        <v>1381</v>
      </c>
      <c r="C691" t="s">
        <v>1688</v>
      </c>
      <c r="D691" t="s">
        <v>1688</v>
      </c>
      <c r="F691" t="s">
        <v>2021</v>
      </c>
      <c r="G691" t="s">
        <v>2221</v>
      </c>
    </row>
    <row r="692" spans="1:7">
      <c r="A692" s="5" t="s">
        <v>1214</v>
      </c>
      <c r="B692" s="5" t="s">
        <v>1496</v>
      </c>
      <c r="C692" t="s">
        <v>1834</v>
      </c>
      <c r="D692" t="s">
        <v>1834</v>
      </c>
      <c r="F692" t="s">
        <v>2112</v>
      </c>
    </row>
    <row r="693" spans="1:7">
      <c r="A693" s="5" t="s">
        <v>1207</v>
      </c>
      <c r="B693" s="5" t="s">
        <v>1489</v>
      </c>
      <c r="C693" t="s">
        <v>1828</v>
      </c>
      <c r="D693" t="s">
        <v>1828</v>
      </c>
      <c r="F693" t="s">
        <v>2106</v>
      </c>
    </row>
    <row r="694" spans="1:7">
      <c r="A694" s="5" t="s">
        <v>1215</v>
      </c>
      <c r="B694" s="5" t="s">
        <v>1479</v>
      </c>
      <c r="C694" t="s">
        <v>1835</v>
      </c>
      <c r="D694" t="s">
        <v>1835</v>
      </c>
      <c r="F694" t="s">
        <v>2113</v>
      </c>
      <c r="G694" t="s">
        <v>2221</v>
      </c>
    </row>
    <row r="695" spans="1:7">
      <c r="A695" s="5" t="s">
        <v>1067</v>
      </c>
      <c r="B695" s="5" t="s">
        <v>1331</v>
      </c>
      <c r="C695" t="s">
        <v>1836</v>
      </c>
      <c r="D695" t="s">
        <v>1836</v>
      </c>
      <c r="F695" t="s">
        <v>1981</v>
      </c>
      <c r="G695" t="s">
        <v>2221</v>
      </c>
    </row>
    <row r="696" spans="1:7">
      <c r="A696" s="5" t="s">
        <v>1045</v>
      </c>
      <c r="B696" s="5" t="s">
        <v>1308</v>
      </c>
      <c r="C696" t="s">
        <v>1603</v>
      </c>
      <c r="D696" t="s">
        <v>1603</v>
      </c>
      <c r="F696" t="s">
        <v>1966</v>
      </c>
    </row>
    <row r="697" spans="1:7">
      <c r="A697" s="5" t="s">
        <v>1211</v>
      </c>
      <c r="B697" s="5" t="s">
        <v>1493</v>
      </c>
      <c r="C697" t="s">
        <v>1832</v>
      </c>
      <c r="D697" t="s">
        <v>1832</v>
      </c>
      <c r="F697" t="s">
        <v>2110</v>
      </c>
    </row>
    <row r="698" spans="1:7">
      <c r="A698" s="5" t="s">
        <v>1212</v>
      </c>
      <c r="B698" s="5" t="s">
        <v>1494</v>
      </c>
      <c r="C698" t="s">
        <v>1833</v>
      </c>
      <c r="D698" t="s">
        <v>1833</v>
      </c>
      <c r="F698" t="s">
        <v>2111</v>
      </c>
    </row>
    <row r="699" spans="1:7">
      <c r="A699" s="5" t="s">
        <v>1213</v>
      </c>
      <c r="B699" s="5" t="s">
        <v>1495</v>
      </c>
      <c r="C699" t="s">
        <v>1678</v>
      </c>
      <c r="D699" t="s">
        <v>1678</v>
      </c>
      <c r="F699" t="s">
        <v>2012</v>
      </c>
    </row>
    <row r="700" spans="1:7">
      <c r="A700" s="5" t="s">
        <v>1078</v>
      </c>
      <c r="B700" s="5" t="s">
        <v>1343</v>
      </c>
      <c r="C700" t="s">
        <v>1645</v>
      </c>
      <c r="D700" t="s">
        <v>1645</v>
      </c>
      <c r="F700" t="s">
        <v>1995</v>
      </c>
    </row>
    <row r="701" spans="1:7">
      <c r="A701" s="5" t="s">
        <v>188</v>
      </c>
      <c r="B701" s="5" t="s">
        <v>1381</v>
      </c>
      <c r="C701" t="s">
        <v>1688</v>
      </c>
      <c r="D701" t="s">
        <v>1688</v>
      </c>
      <c r="F701" t="s">
        <v>2021</v>
      </c>
      <c r="G701" t="s">
        <v>2221</v>
      </c>
    </row>
    <row r="702" spans="1:7">
      <c r="A702" s="5" t="s">
        <v>1216</v>
      </c>
      <c r="B702" s="5" t="s">
        <v>1496</v>
      </c>
      <c r="C702" t="s">
        <v>1834</v>
      </c>
      <c r="D702" t="s">
        <v>1834</v>
      </c>
      <c r="F702" t="s">
        <v>2112</v>
      </c>
    </row>
    <row r="703" spans="1:7">
      <c r="A703" s="5" t="s">
        <v>1207</v>
      </c>
      <c r="B703" s="5" t="s">
        <v>1489</v>
      </c>
      <c r="C703" t="s">
        <v>1828</v>
      </c>
      <c r="D703" t="s">
        <v>1828</v>
      </c>
      <c r="F703" t="s">
        <v>2106</v>
      </c>
    </row>
    <row r="704" spans="1:7">
      <c r="A704" s="5" t="s">
        <v>1215</v>
      </c>
      <c r="B704" s="5" t="s">
        <v>1479</v>
      </c>
      <c r="C704" t="s">
        <v>1835</v>
      </c>
      <c r="D704" t="s">
        <v>1835</v>
      </c>
      <c r="F704" t="s">
        <v>2113</v>
      </c>
      <c r="G704" t="s">
        <v>2221</v>
      </c>
    </row>
    <row r="705" spans="1:7">
      <c r="A705" s="5" t="s">
        <v>1199</v>
      </c>
      <c r="B705" s="5" t="s">
        <v>1480</v>
      </c>
      <c r="C705" t="s">
        <v>1816</v>
      </c>
      <c r="D705" t="s">
        <v>1816</v>
      </c>
      <c r="F705" t="s">
        <v>2097</v>
      </c>
    </row>
    <row r="706" spans="1:7">
      <c r="A706" s="5" t="s">
        <v>1067</v>
      </c>
      <c r="B706" s="5" t="s">
        <v>1331</v>
      </c>
      <c r="C706" t="s">
        <v>1836</v>
      </c>
      <c r="D706" t="s">
        <v>1836</v>
      </c>
      <c r="F706" t="s">
        <v>1981</v>
      </c>
      <c r="G706" t="s">
        <v>2221</v>
      </c>
    </row>
    <row r="707" spans="1:7">
      <c r="A707" s="5" t="s">
        <v>1045</v>
      </c>
      <c r="B707" s="5" t="s">
        <v>1308</v>
      </c>
      <c r="C707" t="s">
        <v>1603</v>
      </c>
      <c r="D707" t="s">
        <v>1603</v>
      </c>
      <c r="F707" t="s">
        <v>1966</v>
      </c>
    </row>
    <row r="708" spans="1:7">
      <c r="A708" s="5" t="s">
        <v>1212</v>
      </c>
      <c r="B708" s="5" t="s">
        <v>1494</v>
      </c>
      <c r="C708" t="s">
        <v>1833</v>
      </c>
      <c r="D708" t="s">
        <v>1833</v>
      </c>
      <c r="F708" t="s">
        <v>2111</v>
      </c>
    </row>
    <row r="709" spans="1:7">
      <c r="A709" s="5"/>
      <c r="B709" s="5"/>
    </row>
    <row r="710" spans="1:7">
      <c r="A710" s="5"/>
      <c r="B710" s="5"/>
    </row>
    <row r="711" spans="1:7">
      <c r="A711" s="5" t="s">
        <v>563</v>
      </c>
      <c r="B711" s="5" t="s">
        <v>564</v>
      </c>
      <c r="C711" t="s">
        <v>1837</v>
      </c>
      <c r="D711" t="s">
        <v>1837</v>
      </c>
    </row>
    <row r="712" spans="1:7">
      <c r="A712" s="5" t="s">
        <v>1217</v>
      </c>
      <c r="B712" s="5" t="s">
        <v>1497</v>
      </c>
      <c r="C712" t="s">
        <v>1838</v>
      </c>
      <c r="D712" t="s">
        <v>1838</v>
      </c>
      <c r="F712" t="s">
        <v>2114</v>
      </c>
    </row>
    <row r="713" spans="1:7">
      <c r="A713" s="5" t="s">
        <v>566</v>
      </c>
      <c r="B713" s="5" t="s">
        <v>1498</v>
      </c>
      <c r="C713" t="s">
        <v>1839</v>
      </c>
      <c r="D713" t="s">
        <v>1839</v>
      </c>
    </row>
    <row r="714" spans="1:7">
      <c r="A714" s="5" t="s">
        <v>560</v>
      </c>
      <c r="B714" s="5" t="s">
        <v>561</v>
      </c>
      <c r="C714" t="s">
        <v>1840</v>
      </c>
      <c r="D714" t="s">
        <v>1840</v>
      </c>
      <c r="F714" t="s">
        <v>2115</v>
      </c>
    </row>
    <row r="715" spans="1:7">
      <c r="A715" s="5" t="s">
        <v>569</v>
      </c>
      <c r="B715" s="5" t="s">
        <v>570</v>
      </c>
      <c r="C715" t="s">
        <v>1841</v>
      </c>
      <c r="D715" t="s">
        <v>1841</v>
      </c>
    </row>
    <row r="716" spans="1:7">
      <c r="A716" s="5" t="s">
        <v>572</v>
      </c>
      <c r="B716" s="5" t="s">
        <v>573</v>
      </c>
      <c r="C716" t="s">
        <v>1842</v>
      </c>
      <c r="D716" t="s">
        <v>1842</v>
      </c>
    </row>
    <row r="717" spans="1:7">
      <c r="A717" s="5" t="s">
        <v>575</v>
      </c>
      <c r="B717" s="5" t="s">
        <v>576</v>
      </c>
      <c r="C717" t="s">
        <v>1843</v>
      </c>
      <c r="D717" t="s">
        <v>1843</v>
      </c>
    </row>
    <row r="718" spans="1:7">
      <c r="A718" s="5" t="s">
        <v>578</v>
      </c>
      <c r="B718" s="5" t="s">
        <v>579</v>
      </c>
      <c r="C718" t="s">
        <v>1844</v>
      </c>
      <c r="D718" t="s">
        <v>1844</v>
      </c>
    </row>
    <row r="719" spans="1:7">
      <c r="A719" s="5" t="s">
        <v>1218</v>
      </c>
      <c r="B719" s="5" t="s">
        <v>1499</v>
      </c>
      <c r="C719" t="s">
        <v>1845</v>
      </c>
      <c r="D719" t="s">
        <v>1845</v>
      </c>
      <c r="F719" t="s">
        <v>2116</v>
      </c>
    </row>
    <row r="720" spans="1:7">
      <c r="A720" s="5" t="s">
        <v>1219</v>
      </c>
      <c r="B720" s="5" t="s">
        <v>1500</v>
      </c>
      <c r="C720" t="s">
        <v>1846</v>
      </c>
      <c r="D720" t="s">
        <v>1846</v>
      </c>
      <c r="F720" t="s">
        <v>2117</v>
      </c>
    </row>
    <row r="721" spans="1:6">
      <c r="A721" s="5" t="s">
        <v>1220</v>
      </c>
      <c r="B721" s="5" t="s">
        <v>1501</v>
      </c>
      <c r="C721" t="s">
        <v>1847</v>
      </c>
      <c r="D721" t="s">
        <v>1847</v>
      </c>
      <c r="F721" t="s">
        <v>2118</v>
      </c>
    </row>
    <row r="722" spans="1:6">
      <c r="A722" s="5" t="s">
        <v>1221</v>
      </c>
      <c r="B722" s="5" t="s">
        <v>1502</v>
      </c>
      <c r="C722" t="s">
        <v>1848</v>
      </c>
      <c r="D722" t="s">
        <v>1848</v>
      </c>
      <c r="F722" t="s">
        <v>2119</v>
      </c>
    </row>
    <row r="723" spans="1:6">
      <c r="A723" s="5" t="s">
        <v>1222</v>
      </c>
      <c r="B723" s="5" t="s">
        <v>1503</v>
      </c>
      <c r="C723" t="s">
        <v>1849</v>
      </c>
      <c r="D723" t="s">
        <v>1849</v>
      </c>
      <c r="F723" t="s">
        <v>2120</v>
      </c>
    </row>
    <row r="724" spans="1:6">
      <c r="A724" s="5"/>
      <c r="B724" s="5"/>
    </row>
    <row r="725" spans="1:6">
      <c r="A725" s="5" t="s">
        <v>727</v>
      </c>
      <c r="B725" s="5" t="s">
        <v>728</v>
      </c>
      <c r="C725" t="s">
        <v>1850</v>
      </c>
      <c r="D725" t="s">
        <v>1850</v>
      </c>
      <c r="F725" t="s">
        <v>2121</v>
      </c>
    </row>
    <row r="726" spans="1:6">
      <c r="A726" s="5" t="s">
        <v>721</v>
      </c>
      <c r="B726" s="5" t="s">
        <v>722</v>
      </c>
      <c r="C726" t="s">
        <v>1851</v>
      </c>
      <c r="D726" t="s">
        <v>1851</v>
      </c>
      <c r="F726" t="s">
        <v>2122</v>
      </c>
    </row>
    <row r="727" spans="1:6">
      <c r="A727" s="5" t="s">
        <v>724</v>
      </c>
      <c r="B727" s="5" t="s">
        <v>725</v>
      </c>
      <c r="C727" t="s">
        <v>1852</v>
      </c>
      <c r="D727" t="s">
        <v>1852</v>
      </c>
    </row>
    <row r="728" spans="1:6">
      <c r="A728" s="5" t="s">
        <v>739</v>
      </c>
      <c r="B728" s="5" t="s">
        <v>740</v>
      </c>
      <c r="C728" t="s">
        <v>1853</v>
      </c>
      <c r="D728" t="s">
        <v>1853</v>
      </c>
      <c r="F728" t="s">
        <v>2123</v>
      </c>
    </row>
    <row r="729" spans="1:6">
      <c r="A729" s="5" t="s">
        <v>715</v>
      </c>
      <c r="B729" s="5" t="s">
        <v>716</v>
      </c>
      <c r="C729" t="s">
        <v>1854</v>
      </c>
      <c r="D729" t="s">
        <v>1854</v>
      </c>
      <c r="F729" t="s">
        <v>2124</v>
      </c>
    </row>
    <row r="730" spans="1:6">
      <c r="A730" s="5" t="s">
        <v>742</v>
      </c>
      <c r="B730" s="5" t="s">
        <v>743</v>
      </c>
      <c r="C730" t="s">
        <v>1546</v>
      </c>
      <c r="D730" t="s">
        <v>1546</v>
      </c>
      <c r="F730" t="s">
        <v>2125</v>
      </c>
    </row>
    <row r="731" spans="1:6">
      <c r="A731" s="5" t="s">
        <v>748</v>
      </c>
      <c r="B731" s="5" t="s">
        <v>749</v>
      </c>
      <c r="C731" t="s">
        <v>1855</v>
      </c>
      <c r="D731" t="s">
        <v>1855</v>
      </c>
      <c r="F731" t="s">
        <v>2126</v>
      </c>
    </row>
    <row r="732" spans="1:6">
      <c r="A732" s="5" t="s">
        <v>745</v>
      </c>
      <c r="B732" s="5" t="s">
        <v>746</v>
      </c>
      <c r="C732" t="s">
        <v>1856</v>
      </c>
      <c r="D732" t="s">
        <v>1856</v>
      </c>
      <c r="F732" t="s">
        <v>2127</v>
      </c>
    </row>
    <row r="733" spans="1:6">
      <c r="A733" s="5" t="s">
        <v>443</v>
      </c>
      <c r="B733" s="5" t="s">
        <v>444</v>
      </c>
      <c r="C733" t="s">
        <v>1858</v>
      </c>
      <c r="D733" t="s">
        <v>1858</v>
      </c>
      <c r="F733" t="s">
        <v>2129</v>
      </c>
    </row>
    <row r="734" spans="1:6">
      <c r="A734" s="5" t="s">
        <v>452</v>
      </c>
      <c r="B734" s="5" t="s">
        <v>453</v>
      </c>
      <c r="C734" t="s">
        <v>1859</v>
      </c>
      <c r="D734" t="s">
        <v>1859</v>
      </c>
      <c r="F734" t="s">
        <v>2130</v>
      </c>
    </row>
    <row r="735" spans="1:6">
      <c r="A735" s="5" t="s">
        <v>455</v>
      </c>
      <c r="B735" s="5" t="s">
        <v>456</v>
      </c>
      <c r="C735" t="s">
        <v>1860</v>
      </c>
      <c r="D735" t="s">
        <v>1860</v>
      </c>
      <c r="F735" t="s">
        <v>2131</v>
      </c>
    </row>
    <row r="736" spans="1:6">
      <c r="A736" s="5" t="s">
        <v>1223</v>
      </c>
      <c r="B736" s="5" t="s">
        <v>1504</v>
      </c>
      <c r="C736" t="s">
        <v>1861</v>
      </c>
      <c r="D736" t="s">
        <v>1861</v>
      </c>
    </row>
    <row r="737" spans="1:4">
      <c r="A737" s="5" t="s">
        <v>329</v>
      </c>
      <c r="B737" s="5" t="s">
        <v>330</v>
      </c>
      <c r="C737" t="s">
        <v>1862</v>
      </c>
      <c r="D737" t="s">
        <v>1862</v>
      </c>
    </row>
    <row r="738" spans="1:4">
      <c r="A738" s="5"/>
      <c r="B738" s="5"/>
    </row>
    <row r="739" spans="1:4">
      <c r="A739" s="5" t="s">
        <v>1224</v>
      </c>
      <c r="B739" s="5" t="s">
        <v>1505</v>
      </c>
      <c r="C739" t="s">
        <v>1863</v>
      </c>
      <c r="D739" t="s">
        <v>1863</v>
      </c>
    </row>
    <row r="740" spans="1:4">
      <c r="A740" s="5" t="s">
        <v>1225</v>
      </c>
      <c r="B740" s="5" t="s">
        <v>1506</v>
      </c>
      <c r="C740" t="s">
        <v>1864</v>
      </c>
      <c r="D740" t="s">
        <v>1864</v>
      </c>
    </row>
    <row r="741" spans="1:4">
      <c r="A741" s="5" t="s">
        <v>1226</v>
      </c>
      <c r="B741" s="5" t="s">
        <v>1507</v>
      </c>
      <c r="C741" t="s">
        <v>1865</v>
      </c>
      <c r="D741" t="s">
        <v>1865</v>
      </c>
    </row>
    <row r="742" spans="1:4">
      <c r="A742" s="5" t="s">
        <v>1026</v>
      </c>
      <c r="B742" s="5" t="s">
        <v>1288</v>
      </c>
      <c r="C742" t="s">
        <v>1866</v>
      </c>
      <c r="D742" t="s">
        <v>1866</v>
      </c>
    </row>
    <row r="743" spans="1:4">
      <c r="A743" s="5" t="s">
        <v>1137</v>
      </c>
      <c r="B743" s="5" t="s">
        <v>1422</v>
      </c>
      <c r="C743" t="s">
        <v>1867</v>
      </c>
      <c r="D743" t="s">
        <v>1867</v>
      </c>
    </row>
    <row r="744" spans="1:4">
      <c r="A744" s="5" t="s">
        <v>996</v>
      </c>
      <c r="B744" s="5" t="s">
        <v>1259</v>
      </c>
      <c r="C744" t="s">
        <v>1868</v>
      </c>
      <c r="D744" t="s">
        <v>1868</v>
      </c>
    </row>
    <row r="745" spans="1:4">
      <c r="A745" s="5" t="s">
        <v>1227</v>
      </c>
      <c r="B745" s="5" t="s">
        <v>1508</v>
      </c>
      <c r="C745" t="s">
        <v>1869</v>
      </c>
      <c r="D745" t="s">
        <v>1869</v>
      </c>
    </row>
    <row r="746" spans="1:4">
      <c r="A746" s="5" t="s">
        <v>1228</v>
      </c>
      <c r="B746" s="5" t="s">
        <v>1509</v>
      </c>
      <c r="C746" t="s">
        <v>1870</v>
      </c>
      <c r="D746" t="s">
        <v>1870</v>
      </c>
    </row>
    <row r="747" spans="1:4">
      <c r="A747" s="5" t="s">
        <v>1065</v>
      </c>
      <c r="B747" s="5" t="s">
        <v>1329</v>
      </c>
      <c r="C747" t="s">
        <v>1871</v>
      </c>
      <c r="D747" t="s">
        <v>1871</v>
      </c>
    </row>
    <row r="748" spans="1:4">
      <c r="A748" s="5" t="s">
        <v>1122</v>
      </c>
      <c r="B748" s="5" t="s">
        <v>1408</v>
      </c>
      <c r="C748" t="s">
        <v>1872</v>
      </c>
      <c r="D748" t="s">
        <v>1872</v>
      </c>
    </row>
    <row r="749" spans="1:4">
      <c r="A749" s="5" t="s">
        <v>1109</v>
      </c>
      <c r="B749" s="5" t="s">
        <v>1395</v>
      </c>
      <c r="C749" t="s">
        <v>1873</v>
      </c>
      <c r="D749" t="s">
        <v>1873</v>
      </c>
    </row>
    <row r="750" spans="1:4">
      <c r="A750" s="5" t="s">
        <v>1029</v>
      </c>
      <c r="B750" s="5" t="s">
        <v>1291</v>
      </c>
      <c r="C750" t="s">
        <v>1874</v>
      </c>
      <c r="D750" t="s">
        <v>1874</v>
      </c>
    </row>
    <row r="751" spans="1:4">
      <c r="A751" s="5" t="s">
        <v>1229</v>
      </c>
      <c r="B751" s="5" t="s">
        <v>1510</v>
      </c>
      <c r="C751" t="s">
        <v>1875</v>
      </c>
      <c r="D751" t="s">
        <v>1875</v>
      </c>
    </row>
    <row r="752" spans="1:4">
      <c r="A752" s="5" t="s">
        <v>1066</v>
      </c>
      <c r="B752" s="5" t="s">
        <v>1330</v>
      </c>
      <c r="C752" t="s">
        <v>1876</v>
      </c>
      <c r="D752" t="s">
        <v>1876</v>
      </c>
    </row>
    <row r="753" spans="1:4">
      <c r="A753" s="5" t="s">
        <v>1230</v>
      </c>
      <c r="B753" s="5" t="s">
        <v>1511</v>
      </c>
      <c r="C753" t="s">
        <v>1877</v>
      </c>
      <c r="D753" t="s">
        <v>1877</v>
      </c>
    </row>
    <row r="754" spans="1:4">
      <c r="A754" s="5" t="s">
        <v>1107</v>
      </c>
      <c r="B754" s="5" t="s">
        <v>1393</v>
      </c>
      <c r="C754" t="s">
        <v>1878</v>
      </c>
      <c r="D754" t="s">
        <v>1878</v>
      </c>
    </row>
    <row r="755" spans="1:4">
      <c r="A755" s="5" t="s">
        <v>1108</v>
      </c>
      <c r="B755" s="5" t="s">
        <v>1394</v>
      </c>
      <c r="C755" t="s">
        <v>1879</v>
      </c>
      <c r="D755" t="s">
        <v>1879</v>
      </c>
    </row>
    <row r="756" spans="1:4">
      <c r="A756" s="5" t="s">
        <v>1032</v>
      </c>
      <c r="B756" s="5" t="s">
        <v>1294</v>
      </c>
      <c r="C756" t="s">
        <v>1880</v>
      </c>
      <c r="D756" t="s">
        <v>1880</v>
      </c>
    </row>
    <row r="757" spans="1:4">
      <c r="A757" s="5" t="s">
        <v>1031</v>
      </c>
      <c r="B757" s="5" t="s">
        <v>1293</v>
      </c>
      <c r="C757" t="s">
        <v>1881</v>
      </c>
      <c r="D757" t="s">
        <v>1881</v>
      </c>
    </row>
    <row r="758" spans="1:4">
      <c r="A758" s="5" t="s">
        <v>1231</v>
      </c>
      <c r="B758" s="5" t="s">
        <v>1512</v>
      </c>
      <c r="C758" t="s">
        <v>1882</v>
      </c>
      <c r="D758" t="s">
        <v>1882</v>
      </c>
    </row>
    <row r="759" spans="1:4">
      <c r="A759" s="5" t="s">
        <v>1232</v>
      </c>
      <c r="B759" s="5" t="s">
        <v>1513</v>
      </c>
      <c r="C759" t="s">
        <v>1883</v>
      </c>
      <c r="D759" t="s">
        <v>1883</v>
      </c>
    </row>
    <row r="760" spans="1:4">
      <c r="A760" s="5" t="s">
        <v>1233</v>
      </c>
      <c r="B760" s="5" t="s">
        <v>1514</v>
      </c>
      <c r="C760" t="s">
        <v>1884</v>
      </c>
      <c r="D760" t="s">
        <v>1884</v>
      </c>
    </row>
    <row r="761" spans="1:4">
      <c r="A761" s="5" t="s">
        <v>1027</v>
      </c>
      <c r="B761" s="5" t="s">
        <v>1289</v>
      </c>
      <c r="C761" t="s">
        <v>1584</v>
      </c>
      <c r="D761" t="s">
        <v>1584</v>
      </c>
    </row>
    <row r="762" spans="1:4">
      <c r="A762" s="5" t="s">
        <v>1190</v>
      </c>
      <c r="B762" s="5" t="s">
        <v>1470</v>
      </c>
      <c r="C762" t="s">
        <v>1805</v>
      </c>
      <c r="D762" t="s">
        <v>1805</v>
      </c>
    </row>
    <row r="763" spans="1:4">
      <c r="A763" s="5" t="s">
        <v>1191</v>
      </c>
      <c r="B763" s="5" t="s">
        <v>1471</v>
      </c>
      <c r="C763" t="s">
        <v>1806</v>
      </c>
      <c r="D763" t="s">
        <v>1806</v>
      </c>
    </row>
    <row r="764" spans="1:4">
      <c r="A764" s="5" t="s">
        <v>1192</v>
      </c>
      <c r="B764" s="5" t="s">
        <v>1472</v>
      </c>
      <c r="C764" t="s">
        <v>1807</v>
      </c>
      <c r="D764" t="s">
        <v>1807</v>
      </c>
    </row>
    <row r="765" spans="1:4">
      <c r="A765" s="5" t="s">
        <v>1193</v>
      </c>
      <c r="B765" s="5" t="s">
        <v>1473</v>
      </c>
      <c r="C765" t="s">
        <v>1808</v>
      </c>
      <c r="D765" t="s">
        <v>1808</v>
      </c>
    </row>
    <row r="766" spans="1:4">
      <c r="A766" s="5" t="s">
        <v>1064</v>
      </c>
      <c r="B766" s="5" t="s">
        <v>1328</v>
      </c>
      <c r="C766" t="s">
        <v>1627</v>
      </c>
      <c r="D766" t="s">
        <v>1627</v>
      </c>
    </row>
    <row r="767" spans="1:4">
      <c r="A767" s="5" t="s">
        <v>1194</v>
      </c>
      <c r="B767" s="5" t="s">
        <v>1474</v>
      </c>
      <c r="C767" t="s">
        <v>1809</v>
      </c>
      <c r="D767" t="s">
        <v>1809</v>
      </c>
    </row>
    <row r="768" spans="1:4">
      <c r="A768" s="5" t="s">
        <v>1028</v>
      </c>
      <c r="B768" s="5" t="s">
        <v>1290</v>
      </c>
      <c r="C768" t="s">
        <v>1585</v>
      </c>
      <c r="D768" t="s">
        <v>1585</v>
      </c>
    </row>
    <row r="769" spans="1:6">
      <c r="A769" s="5" t="s">
        <v>1195</v>
      </c>
      <c r="B769" s="5" t="s">
        <v>1475</v>
      </c>
      <c r="C769" t="s">
        <v>1810</v>
      </c>
      <c r="D769" t="s">
        <v>1810</v>
      </c>
    </row>
    <row r="770" spans="1:6">
      <c r="A770" s="5" t="s">
        <v>534</v>
      </c>
      <c r="B770" s="5" t="s">
        <v>535</v>
      </c>
      <c r="C770" t="s">
        <v>1885</v>
      </c>
      <c r="D770" t="s">
        <v>1885</v>
      </c>
    </row>
    <row r="771" spans="1:6">
      <c r="A771" s="5" t="s">
        <v>549</v>
      </c>
      <c r="B771" s="5" t="s">
        <v>550</v>
      </c>
      <c r="C771" t="s">
        <v>1886</v>
      </c>
      <c r="D771" t="s">
        <v>1886</v>
      </c>
    </row>
    <row r="772" spans="1:6">
      <c r="A772" s="5" t="s">
        <v>531</v>
      </c>
      <c r="B772" s="5" t="s">
        <v>1515</v>
      </c>
      <c r="C772" t="s">
        <v>1887</v>
      </c>
      <c r="D772" t="s">
        <v>1887</v>
      </c>
    </row>
    <row r="773" spans="1:6">
      <c r="A773" s="5" t="s">
        <v>537</v>
      </c>
      <c r="B773" s="5" t="s">
        <v>1516</v>
      </c>
      <c r="C773" t="s">
        <v>1888</v>
      </c>
      <c r="D773" t="s">
        <v>1888</v>
      </c>
    </row>
    <row r="774" spans="1:6">
      <c r="A774" s="5" t="s">
        <v>540</v>
      </c>
      <c r="B774" s="5" t="s">
        <v>1517</v>
      </c>
      <c r="C774" t="s">
        <v>1889</v>
      </c>
      <c r="D774" t="s">
        <v>1889</v>
      </c>
    </row>
    <row r="775" spans="1:6">
      <c r="A775" s="5" t="s">
        <v>543</v>
      </c>
      <c r="B775" s="5" t="s">
        <v>1518</v>
      </c>
      <c r="C775" t="s">
        <v>1890</v>
      </c>
      <c r="D775" t="s">
        <v>1890</v>
      </c>
    </row>
    <row r="776" spans="1:6">
      <c r="A776" s="5" t="s">
        <v>546</v>
      </c>
      <c r="B776" s="5" t="s">
        <v>1519</v>
      </c>
      <c r="C776" t="s">
        <v>1891</v>
      </c>
      <c r="D776" t="s">
        <v>1891</v>
      </c>
    </row>
    <row r="777" spans="1:6">
      <c r="A777" s="5" t="s">
        <v>1234</v>
      </c>
      <c r="B777" s="5" t="s">
        <v>1520</v>
      </c>
      <c r="C777" t="s">
        <v>1892</v>
      </c>
      <c r="D777" t="s">
        <v>1892</v>
      </c>
    </row>
    <row r="778" spans="1:6">
      <c r="A778" s="5" t="s">
        <v>1235</v>
      </c>
      <c r="B778" s="5" t="s">
        <v>1521</v>
      </c>
      <c r="C778" t="s">
        <v>1893</v>
      </c>
      <c r="D778" t="s">
        <v>1893</v>
      </c>
    </row>
    <row r="779" spans="1:6">
      <c r="A779" s="5" t="s">
        <v>1236</v>
      </c>
      <c r="B779" s="5" t="s">
        <v>1522</v>
      </c>
      <c r="C779" t="s">
        <v>1544</v>
      </c>
      <c r="D779" t="s">
        <v>1544</v>
      </c>
    </row>
    <row r="780" spans="1:6">
      <c r="A780" s="5" t="s">
        <v>1237</v>
      </c>
      <c r="B780" s="5" t="s">
        <v>1523</v>
      </c>
      <c r="C780" t="s">
        <v>1894</v>
      </c>
      <c r="D780" t="s">
        <v>1894</v>
      </c>
    </row>
    <row r="781" spans="1:6">
      <c r="A781" s="5" t="s">
        <v>522</v>
      </c>
      <c r="B781" s="5" t="s">
        <v>523</v>
      </c>
      <c r="C781" t="s">
        <v>1895</v>
      </c>
      <c r="D781" t="s">
        <v>1895</v>
      </c>
    </row>
    <row r="782" spans="1:6">
      <c r="A782" s="5" t="s">
        <v>525</v>
      </c>
      <c r="B782" s="5" t="s">
        <v>1359</v>
      </c>
      <c r="C782" t="s">
        <v>1896</v>
      </c>
      <c r="D782" t="s">
        <v>1896</v>
      </c>
    </row>
    <row r="783" spans="1:6">
      <c r="A783" s="5" t="s">
        <v>528</v>
      </c>
      <c r="B783" s="5" t="s">
        <v>1524</v>
      </c>
      <c r="C783" t="s">
        <v>1897</v>
      </c>
      <c r="D783" t="s">
        <v>1897</v>
      </c>
    </row>
    <row r="784" spans="1:6">
      <c r="A784" s="5" t="s">
        <v>486</v>
      </c>
      <c r="B784" s="5" t="s">
        <v>487</v>
      </c>
      <c r="C784" t="s">
        <v>1898</v>
      </c>
      <c r="D784" t="s">
        <v>1898</v>
      </c>
      <c r="F784" t="s">
        <v>2132</v>
      </c>
    </row>
    <row r="785" spans="1:7">
      <c r="A785" s="5" t="s">
        <v>489</v>
      </c>
      <c r="B785" s="5" t="s">
        <v>1525</v>
      </c>
      <c r="C785" t="s">
        <v>1899</v>
      </c>
      <c r="D785" t="s">
        <v>1899</v>
      </c>
    </row>
    <row r="786" spans="1:7">
      <c r="A786" s="5" t="s">
        <v>492</v>
      </c>
      <c r="B786" s="5" t="s">
        <v>1526</v>
      </c>
      <c r="C786" t="s">
        <v>1900</v>
      </c>
      <c r="D786" t="s">
        <v>1900</v>
      </c>
    </row>
    <row r="787" spans="1:7">
      <c r="A787" s="5" t="s">
        <v>513</v>
      </c>
      <c r="B787" s="5" t="s">
        <v>1527</v>
      </c>
      <c r="C787" t="s">
        <v>1901</v>
      </c>
      <c r="D787" t="s">
        <v>1901</v>
      </c>
    </row>
    <row r="788" spans="1:7">
      <c r="A788" s="5" t="s">
        <v>516</v>
      </c>
      <c r="B788" s="5" t="s">
        <v>1528</v>
      </c>
      <c r="C788" t="s">
        <v>1902</v>
      </c>
      <c r="D788" t="s">
        <v>1902</v>
      </c>
    </row>
    <row r="789" spans="1:7">
      <c r="A789" s="5" t="s">
        <v>519</v>
      </c>
      <c r="B789" s="5" t="s">
        <v>520</v>
      </c>
      <c r="C789" t="s">
        <v>1903</v>
      </c>
      <c r="D789" t="s">
        <v>1903</v>
      </c>
    </row>
    <row r="790" spans="1:7">
      <c r="A790" s="5" t="s">
        <v>495</v>
      </c>
      <c r="B790" s="5" t="s">
        <v>1529</v>
      </c>
      <c r="C790" t="s">
        <v>1904</v>
      </c>
      <c r="D790" t="s">
        <v>1904</v>
      </c>
    </row>
    <row r="791" spans="1:7">
      <c r="A791" s="5" t="s">
        <v>498</v>
      </c>
      <c r="B791" s="5" t="s">
        <v>1530</v>
      </c>
      <c r="C791" t="s">
        <v>1905</v>
      </c>
      <c r="D791" t="s">
        <v>1905</v>
      </c>
    </row>
    <row r="792" spans="1:7">
      <c r="A792" s="5" t="s">
        <v>501</v>
      </c>
      <c r="B792" s="5" t="s">
        <v>502</v>
      </c>
      <c r="C792" t="s">
        <v>1906</v>
      </c>
      <c r="D792" t="s">
        <v>1906</v>
      </c>
    </row>
    <row r="793" spans="1:7">
      <c r="A793" s="5" t="s">
        <v>507</v>
      </c>
      <c r="B793" s="5" t="s">
        <v>1531</v>
      </c>
      <c r="C793" t="s">
        <v>1907</v>
      </c>
      <c r="D793" t="s">
        <v>1907</v>
      </c>
    </row>
    <row r="794" spans="1:7">
      <c r="A794" s="5" t="s">
        <v>510</v>
      </c>
      <c r="B794" s="5" t="s">
        <v>1532</v>
      </c>
      <c r="C794" t="s">
        <v>1908</v>
      </c>
      <c r="D794" t="s">
        <v>1908</v>
      </c>
    </row>
    <row r="795" spans="1:7">
      <c r="A795" s="5"/>
      <c r="B795" s="5"/>
    </row>
    <row r="796" spans="1:7">
      <c r="A796" s="5" t="s">
        <v>1238</v>
      </c>
      <c r="B796" s="5" t="s">
        <v>1300</v>
      </c>
      <c r="C796" t="s">
        <v>1595</v>
      </c>
      <c r="D796" t="s">
        <v>1595</v>
      </c>
      <c r="F796" t="s">
        <v>1958</v>
      </c>
    </row>
    <row r="797" spans="1:7">
      <c r="A797" s="5" t="s">
        <v>1036</v>
      </c>
      <c r="B797" s="5" t="s">
        <v>1301</v>
      </c>
      <c r="C797" t="s">
        <v>1596</v>
      </c>
      <c r="D797" t="s">
        <v>1596</v>
      </c>
      <c r="F797" t="s">
        <v>1959</v>
      </c>
    </row>
    <row r="798" spans="1:7">
      <c r="A798" s="5" t="s">
        <v>1037</v>
      </c>
      <c r="B798" s="5" t="s">
        <v>1302</v>
      </c>
      <c r="C798" t="s">
        <v>1597</v>
      </c>
      <c r="D798" t="s">
        <v>1597</v>
      </c>
      <c r="F798" t="s">
        <v>1960</v>
      </c>
      <c r="G798" t="s">
        <v>2221</v>
      </c>
    </row>
    <row r="799" spans="1:7">
      <c r="A799" s="5" t="s">
        <v>1038</v>
      </c>
      <c r="B799" s="5" t="s">
        <v>1303</v>
      </c>
      <c r="C799" t="s">
        <v>1598</v>
      </c>
      <c r="D799" t="s">
        <v>1598</v>
      </c>
      <c r="F799" t="s">
        <v>1961</v>
      </c>
    </row>
    <row r="800" spans="1:7">
      <c r="A800" s="5" t="s">
        <v>1039</v>
      </c>
      <c r="B800" s="5" t="s">
        <v>1304</v>
      </c>
      <c r="C800" t="s">
        <v>1599</v>
      </c>
      <c r="D800" t="s">
        <v>1599</v>
      </c>
      <c r="F800" t="s">
        <v>1962</v>
      </c>
    </row>
    <row r="801" spans="1:7">
      <c r="A801" s="5" t="s">
        <v>1040</v>
      </c>
      <c r="B801" s="5" t="s">
        <v>1305</v>
      </c>
      <c r="C801" t="s">
        <v>1600</v>
      </c>
      <c r="D801" t="s">
        <v>1600</v>
      </c>
      <c r="F801" t="s">
        <v>1963</v>
      </c>
      <c r="G801" t="s">
        <v>2221</v>
      </c>
    </row>
    <row r="802" spans="1:7">
      <c r="A802" s="5" t="s">
        <v>1041</v>
      </c>
      <c r="B802" s="5" t="s">
        <v>1306</v>
      </c>
      <c r="C802" t="s">
        <v>1601</v>
      </c>
      <c r="D802" t="s">
        <v>1601</v>
      </c>
      <c r="F802" t="s">
        <v>1964</v>
      </c>
      <c r="G802" t="s">
        <v>2221</v>
      </c>
    </row>
    <row r="803" spans="1:7">
      <c r="A803" s="5" t="s">
        <v>1042</v>
      </c>
      <c r="B803" s="5" t="s">
        <v>1307</v>
      </c>
      <c r="C803" t="s">
        <v>1602</v>
      </c>
      <c r="D803" t="s">
        <v>1602</v>
      </c>
      <c r="F803" t="s">
        <v>1965</v>
      </c>
    </row>
    <row r="804" spans="1:7">
      <c r="A804" s="5" t="s">
        <v>1239</v>
      </c>
      <c r="B804" s="5" t="s">
        <v>1308</v>
      </c>
      <c r="C804" t="s">
        <v>1603</v>
      </c>
      <c r="D804" t="s">
        <v>1603</v>
      </c>
      <c r="F804" t="s">
        <v>1966</v>
      </c>
    </row>
    <row r="805" spans="1:7">
      <c r="A805" s="5" t="s">
        <v>1043</v>
      </c>
      <c r="B805" s="5" t="s">
        <v>1309</v>
      </c>
      <c r="C805" t="s">
        <v>1604</v>
      </c>
      <c r="D805" t="s">
        <v>1604</v>
      </c>
      <c r="F805" t="s">
        <v>1967</v>
      </c>
      <c r="G805" t="s">
        <v>2221</v>
      </c>
    </row>
    <row r="806" spans="1:7">
      <c r="A806" s="5" t="s">
        <v>1048</v>
      </c>
      <c r="B806" s="5" t="s">
        <v>1312</v>
      </c>
      <c r="C806" t="s">
        <v>1616</v>
      </c>
      <c r="D806" t="s">
        <v>1616</v>
      </c>
    </row>
    <row r="807" spans="1:7">
      <c r="A807" s="5" t="s">
        <v>1049</v>
      </c>
      <c r="B807" s="5" t="s">
        <v>1313</v>
      </c>
      <c r="C807" t="s">
        <v>1617</v>
      </c>
      <c r="D807" t="s">
        <v>1617</v>
      </c>
    </row>
    <row r="808" spans="1:7">
      <c r="A808" s="5" t="s">
        <v>1050</v>
      </c>
      <c r="B808" s="5" t="s">
        <v>1314</v>
      </c>
      <c r="C808" t="s">
        <v>1618</v>
      </c>
      <c r="D808" t="s">
        <v>1618</v>
      </c>
    </row>
    <row r="809" spans="1:7">
      <c r="A809" s="5" t="s">
        <v>1051</v>
      </c>
      <c r="B809" s="5" t="s">
        <v>1315</v>
      </c>
      <c r="C809" t="s">
        <v>1619</v>
      </c>
      <c r="D809" t="s">
        <v>1619</v>
      </c>
    </row>
    <row r="810" spans="1:7">
      <c r="A810" s="5" t="s">
        <v>1024</v>
      </c>
      <c r="B810" s="5" t="s">
        <v>1286</v>
      </c>
      <c r="C810" t="s">
        <v>1581</v>
      </c>
      <c r="D810" t="s">
        <v>1581</v>
      </c>
      <c r="F810" t="s">
        <v>1951</v>
      </c>
      <c r="G810" t="s">
        <v>2221</v>
      </c>
    </row>
    <row r="811" spans="1:7">
      <c r="A811" s="5" t="s">
        <v>1057</v>
      </c>
      <c r="B811" s="5" t="s">
        <v>1321</v>
      </c>
      <c r="C811" t="s">
        <v>1620</v>
      </c>
      <c r="D811" t="s">
        <v>1620</v>
      </c>
      <c r="F811" t="s">
        <v>1974</v>
      </c>
      <c r="G811" t="s">
        <v>2221</v>
      </c>
    </row>
    <row r="812" spans="1:7">
      <c r="A812" s="5" t="s">
        <v>1058</v>
      </c>
      <c r="B812" s="5" t="s">
        <v>1322</v>
      </c>
      <c r="C812" t="s">
        <v>1621</v>
      </c>
      <c r="D812" t="s">
        <v>1621</v>
      </c>
      <c r="F812" t="s">
        <v>1975</v>
      </c>
      <c r="G812" t="s">
        <v>2221</v>
      </c>
    </row>
    <row r="813" spans="1:7">
      <c r="A813" s="5" t="s">
        <v>1059</v>
      </c>
      <c r="B813" s="5" t="s">
        <v>1323</v>
      </c>
      <c r="C813" t="s">
        <v>1622</v>
      </c>
      <c r="D813" t="s">
        <v>1622</v>
      </c>
      <c r="F813" t="s">
        <v>1976</v>
      </c>
    </row>
    <row r="814" spans="1:7">
      <c r="A814" s="5" t="s">
        <v>1060</v>
      </c>
      <c r="B814" s="5" t="s">
        <v>1324</v>
      </c>
      <c r="C814" t="s">
        <v>1623</v>
      </c>
      <c r="D814" t="s">
        <v>1623</v>
      </c>
      <c r="F814" t="s">
        <v>1977</v>
      </c>
    </row>
    <row r="815" spans="1:7">
      <c r="A815" s="5" t="s">
        <v>1061</v>
      </c>
      <c r="B815" s="5" t="s">
        <v>1325</v>
      </c>
      <c r="C815" t="s">
        <v>1624</v>
      </c>
      <c r="D815" t="s">
        <v>1624</v>
      </c>
      <c r="F815" t="s">
        <v>1978</v>
      </c>
    </row>
    <row r="816" spans="1:7">
      <c r="A816" s="5" t="s">
        <v>1062</v>
      </c>
      <c r="B816" s="5" t="s">
        <v>1326</v>
      </c>
      <c r="C816" t="s">
        <v>1625</v>
      </c>
      <c r="D816" t="s">
        <v>1625</v>
      </c>
      <c r="F816" t="s">
        <v>1979</v>
      </c>
    </row>
    <row r="817" spans="1:7">
      <c r="A817" s="5" t="s">
        <v>1063</v>
      </c>
      <c r="B817" s="5" t="s">
        <v>1327</v>
      </c>
      <c r="C817" t="s">
        <v>1626</v>
      </c>
      <c r="D817" t="s">
        <v>1626</v>
      </c>
      <c r="F817" t="s">
        <v>1980</v>
      </c>
    </row>
    <row r="818" spans="1:7">
      <c r="A818" s="5" t="s">
        <v>1064</v>
      </c>
      <c r="B818" s="5" t="s">
        <v>1328</v>
      </c>
      <c r="C818" t="s">
        <v>1627</v>
      </c>
      <c r="D818" t="s">
        <v>1627</v>
      </c>
    </row>
    <row r="819" spans="1:7">
      <c r="A819" s="5" t="s">
        <v>1065</v>
      </c>
      <c r="B819" s="5" t="s">
        <v>1329</v>
      </c>
      <c r="C819" t="s">
        <v>1628</v>
      </c>
      <c r="D819" t="s">
        <v>1628</v>
      </c>
    </row>
    <row r="820" spans="1:7">
      <c r="A820" s="5" t="s">
        <v>1066</v>
      </c>
      <c r="B820" s="5" t="s">
        <v>1330</v>
      </c>
      <c r="C820" t="s">
        <v>1629</v>
      </c>
      <c r="D820" t="s">
        <v>1629</v>
      </c>
    </row>
    <row r="821" spans="1:7">
      <c r="A821" s="5" t="s">
        <v>1067</v>
      </c>
      <c r="B821" s="5" t="s">
        <v>1331</v>
      </c>
      <c r="C821" t="s">
        <v>1630</v>
      </c>
      <c r="D821" t="s">
        <v>1630</v>
      </c>
      <c r="F821" t="s">
        <v>1981</v>
      </c>
      <c r="G821" t="s">
        <v>2221</v>
      </c>
    </row>
    <row r="822" spans="1:7">
      <c r="A822" s="5" t="s">
        <v>1053</v>
      </c>
      <c r="B822" s="5" t="s">
        <v>1317</v>
      </c>
      <c r="C822" t="s">
        <v>1612</v>
      </c>
      <c r="D822" t="s">
        <v>1612</v>
      </c>
      <c r="F822" t="s">
        <v>1970</v>
      </c>
    </row>
    <row r="823" spans="1:7">
      <c r="A823" s="5" t="s">
        <v>1054</v>
      </c>
      <c r="B823" s="5" t="s">
        <v>1318</v>
      </c>
      <c r="C823" t="s">
        <v>1613</v>
      </c>
      <c r="D823" t="s">
        <v>1613</v>
      </c>
      <c r="F823" t="s">
        <v>1971</v>
      </c>
    </row>
    <row r="824" spans="1:7">
      <c r="A824" s="5" t="s">
        <v>1068</v>
      </c>
      <c r="B824" s="5" t="s">
        <v>1332</v>
      </c>
      <c r="C824" t="s">
        <v>1550</v>
      </c>
      <c r="D824" t="s">
        <v>1550</v>
      </c>
      <c r="F824" t="s">
        <v>1982</v>
      </c>
    </row>
    <row r="825" spans="1:7">
      <c r="A825" s="5" t="s">
        <v>1069</v>
      </c>
      <c r="B825" s="5" t="s">
        <v>1333</v>
      </c>
      <c r="C825" t="s">
        <v>1631</v>
      </c>
      <c r="D825" t="s">
        <v>1631</v>
      </c>
      <c r="F825" t="s">
        <v>1983</v>
      </c>
    </row>
    <row r="826" spans="1:7">
      <c r="A826" s="5" t="s">
        <v>1070</v>
      </c>
      <c r="B826" s="5" t="s">
        <v>1334</v>
      </c>
      <c r="C826" t="s">
        <v>1632</v>
      </c>
      <c r="D826" t="s">
        <v>1632</v>
      </c>
      <c r="F826" t="s">
        <v>1984</v>
      </c>
    </row>
    <row r="827" spans="1:7">
      <c r="A827" s="5" t="s">
        <v>1071</v>
      </c>
      <c r="B827" s="5" t="s">
        <v>1335</v>
      </c>
      <c r="C827" t="s">
        <v>1633</v>
      </c>
      <c r="D827" t="s">
        <v>1633</v>
      </c>
      <c r="F827" t="s">
        <v>1985</v>
      </c>
    </row>
    <row r="828" spans="1:7">
      <c r="A828" s="5" t="s">
        <v>1072</v>
      </c>
      <c r="B828" s="5" t="s">
        <v>1336</v>
      </c>
      <c r="C828" t="s">
        <v>1634</v>
      </c>
      <c r="D828" t="s">
        <v>1634</v>
      </c>
      <c r="F828" t="s">
        <v>1986</v>
      </c>
    </row>
    <row r="829" spans="1:7">
      <c r="A829" s="5" t="s">
        <v>1055</v>
      </c>
      <c r="B829" s="5" t="s">
        <v>1319</v>
      </c>
      <c r="C829" t="s">
        <v>1614</v>
      </c>
      <c r="D829" t="s">
        <v>1614</v>
      </c>
      <c r="F829" t="s">
        <v>1972</v>
      </c>
    </row>
    <row r="830" spans="1:7">
      <c r="A830" s="5" t="s">
        <v>1056</v>
      </c>
      <c r="B830" s="5" t="s">
        <v>1320</v>
      </c>
      <c r="C830" t="s">
        <v>1615</v>
      </c>
      <c r="D830" t="s">
        <v>1615</v>
      </c>
      <c r="F830" t="s">
        <v>1973</v>
      </c>
    </row>
    <row r="831" spans="1:7">
      <c r="A831" s="5" t="s">
        <v>1073</v>
      </c>
      <c r="B831" s="5" t="s">
        <v>1337</v>
      </c>
      <c r="C831" t="s">
        <v>1635</v>
      </c>
      <c r="D831" t="s">
        <v>1635</v>
      </c>
      <c r="F831" t="s">
        <v>1987</v>
      </c>
    </row>
    <row r="832" spans="1:7">
      <c r="A832" s="5" t="s">
        <v>1074</v>
      </c>
      <c r="B832" s="5" t="s">
        <v>1338</v>
      </c>
      <c r="C832" t="s">
        <v>1636</v>
      </c>
      <c r="D832" t="s">
        <v>1636</v>
      </c>
      <c r="F832" t="s">
        <v>1988</v>
      </c>
      <c r="G832" t="s">
        <v>2221</v>
      </c>
    </row>
    <row r="833" spans="1:7">
      <c r="A833" s="5"/>
      <c r="B833" s="5" t="s">
        <v>1339</v>
      </c>
      <c r="C833" t="s">
        <v>1637</v>
      </c>
      <c r="D833" t="s">
        <v>1637</v>
      </c>
      <c r="F833" t="s">
        <v>1989</v>
      </c>
      <c r="G833" t="s">
        <v>2221</v>
      </c>
    </row>
    <row r="834" spans="1:7">
      <c r="A834" s="5" t="s">
        <v>1075</v>
      </c>
      <c r="B834" s="5" t="s">
        <v>1340</v>
      </c>
      <c r="C834" t="s">
        <v>1638</v>
      </c>
      <c r="D834" t="s">
        <v>1638</v>
      </c>
      <c r="F834" t="s">
        <v>1990</v>
      </c>
      <c r="G834" t="s">
        <v>2221</v>
      </c>
    </row>
    <row r="835" spans="1:7">
      <c r="A835" s="5"/>
      <c r="B835" s="5"/>
      <c r="C835" t="s">
        <v>1639</v>
      </c>
      <c r="D835" t="s">
        <v>1639</v>
      </c>
      <c r="F835" t="s">
        <v>1991</v>
      </c>
    </row>
    <row r="836" spans="1:7">
      <c r="A836" s="5"/>
      <c r="B836" s="5"/>
      <c r="C836" t="s">
        <v>1640</v>
      </c>
      <c r="D836" t="s">
        <v>1640</v>
      </c>
      <c r="F836" t="s">
        <v>1992</v>
      </c>
    </row>
    <row r="837" spans="1:7">
      <c r="A837" s="5" t="s">
        <v>1076</v>
      </c>
      <c r="B837" s="5" t="s">
        <v>1341</v>
      </c>
      <c r="C837" t="s">
        <v>1641</v>
      </c>
      <c r="D837" t="s">
        <v>1641</v>
      </c>
      <c r="F837" t="s">
        <v>1993</v>
      </c>
      <c r="G837" t="s">
        <v>2221</v>
      </c>
    </row>
    <row r="838" spans="1:7">
      <c r="A838" s="5" t="s">
        <v>1026</v>
      </c>
      <c r="B838" s="5" t="s">
        <v>1288</v>
      </c>
      <c r="C838" t="s">
        <v>1583</v>
      </c>
      <c r="D838" t="s">
        <v>1583</v>
      </c>
    </row>
    <row r="839" spans="1:7">
      <c r="A839" s="5" t="s">
        <v>996</v>
      </c>
      <c r="B839" s="5" t="s">
        <v>1259</v>
      </c>
      <c r="C839" t="s">
        <v>1553</v>
      </c>
      <c r="D839" t="s">
        <v>1553</v>
      </c>
    </row>
    <row r="840" spans="1:7">
      <c r="A840" s="5" t="s">
        <v>1027</v>
      </c>
      <c r="B840" s="5" t="s">
        <v>1289</v>
      </c>
      <c r="C840" t="s">
        <v>1584</v>
      </c>
      <c r="D840" t="s">
        <v>1584</v>
      </c>
    </row>
    <row r="841" spans="1:7">
      <c r="A841" s="5" t="s">
        <v>1066</v>
      </c>
      <c r="B841" s="5" t="s">
        <v>1330</v>
      </c>
      <c r="C841" t="s">
        <v>1642</v>
      </c>
      <c r="D841" t="s">
        <v>1642</v>
      </c>
    </row>
    <row r="842" spans="1:7">
      <c r="A842" s="5" t="s">
        <v>1031</v>
      </c>
      <c r="B842" s="5" t="s">
        <v>1293</v>
      </c>
      <c r="C842" t="s">
        <v>1588</v>
      </c>
      <c r="D842" t="s">
        <v>1588</v>
      </c>
    </row>
    <row r="843" spans="1:7">
      <c r="A843" s="5"/>
      <c r="B843" s="5" t="s">
        <v>1291</v>
      </c>
      <c r="C843" t="s">
        <v>1643</v>
      </c>
      <c r="D843" t="s">
        <v>1643</v>
      </c>
    </row>
    <row r="844" spans="1:7">
      <c r="A844" s="5" t="s">
        <v>1077</v>
      </c>
      <c r="B844" s="5" t="s">
        <v>1342</v>
      </c>
      <c r="C844" t="s">
        <v>1644</v>
      </c>
      <c r="D844" t="s">
        <v>1644</v>
      </c>
      <c r="F844" t="s">
        <v>1994</v>
      </c>
      <c r="G844" t="s">
        <v>2221</v>
      </c>
    </row>
    <row r="845" spans="1:7">
      <c r="A845" s="5" t="s">
        <v>1078</v>
      </c>
      <c r="B845" s="5" t="s">
        <v>1343</v>
      </c>
      <c r="C845" t="s">
        <v>1645</v>
      </c>
      <c r="D845" t="s">
        <v>1645</v>
      </c>
      <c r="F845" t="s">
        <v>1995</v>
      </c>
    </row>
    <row r="846" spans="1:7">
      <c r="A846" s="5" t="s">
        <v>1079</v>
      </c>
      <c r="B846" s="5" t="s">
        <v>1344</v>
      </c>
      <c r="C846" t="s">
        <v>1646</v>
      </c>
      <c r="D846" t="s">
        <v>1646</v>
      </c>
      <c r="F846" t="s">
        <v>1996</v>
      </c>
      <c r="G846" t="s">
        <v>2221</v>
      </c>
    </row>
    <row r="847" spans="1:7">
      <c r="A847" s="5" t="s">
        <v>1080</v>
      </c>
      <c r="B847" s="5" t="s">
        <v>1345</v>
      </c>
      <c r="C847" t="s">
        <v>1647</v>
      </c>
      <c r="D847" t="s">
        <v>1647</v>
      </c>
      <c r="F847" t="s">
        <v>1997</v>
      </c>
      <c r="G847" t="s">
        <v>2221</v>
      </c>
    </row>
    <row r="848" spans="1:7">
      <c r="A848" s="5"/>
      <c r="B848" s="5" t="s">
        <v>1346</v>
      </c>
      <c r="C848" t="s">
        <v>1648</v>
      </c>
      <c r="D848" t="s">
        <v>1648</v>
      </c>
      <c r="F848" t="s">
        <v>1998</v>
      </c>
    </row>
    <row r="849" spans="1:7">
      <c r="A849" s="5"/>
      <c r="B849" s="5" t="s">
        <v>1347</v>
      </c>
      <c r="C849" t="s">
        <v>1649</v>
      </c>
      <c r="D849" t="s">
        <v>1649</v>
      </c>
      <c r="F849" t="s">
        <v>1999</v>
      </c>
    </row>
    <row r="850" spans="1:7">
      <c r="A850" s="5"/>
      <c r="B850" s="5" t="s">
        <v>1348</v>
      </c>
      <c r="C850" t="s">
        <v>1650</v>
      </c>
      <c r="D850" t="s">
        <v>1650</v>
      </c>
      <c r="F850" t="s">
        <v>2000</v>
      </c>
    </row>
    <row r="851" spans="1:7">
      <c r="A851" s="5" t="s">
        <v>1082</v>
      </c>
      <c r="B851" s="5" t="s">
        <v>1349</v>
      </c>
      <c r="C851" t="s">
        <v>1651</v>
      </c>
      <c r="D851" t="s">
        <v>1651</v>
      </c>
      <c r="F851" t="s">
        <v>2001</v>
      </c>
      <c r="G851" t="s">
        <v>2221</v>
      </c>
    </row>
    <row r="852" spans="1:7">
      <c r="A852" s="5" t="s">
        <v>1083</v>
      </c>
      <c r="B852" s="5" t="s">
        <v>1350</v>
      </c>
      <c r="C852" t="s">
        <v>1652</v>
      </c>
      <c r="D852" t="s">
        <v>1652</v>
      </c>
      <c r="F852" t="s">
        <v>2002</v>
      </c>
      <c r="G852" t="s">
        <v>2221</v>
      </c>
    </row>
    <row r="853" spans="1:7">
      <c r="A853" s="5"/>
      <c r="B853" s="5" t="s">
        <v>1351</v>
      </c>
      <c r="C853" t="s">
        <v>1653</v>
      </c>
      <c r="D853" t="s">
        <v>1653</v>
      </c>
      <c r="F853" t="s">
        <v>2003</v>
      </c>
      <c r="G853" t="s">
        <v>2221</v>
      </c>
    </row>
    <row r="854" spans="1:7">
      <c r="A854" s="5" t="s">
        <v>1240</v>
      </c>
      <c r="B854" s="5" t="s">
        <v>1533</v>
      </c>
      <c r="C854" t="s">
        <v>1909</v>
      </c>
      <c r="D854" t="s">
        <v>1909</v>
      </c>
      <c r="F854" t="s">
        <v>2133</v>
      </c>
    </row>
    <row r="855" spans="1:7">
      <c r="A855" s="5" t="s">
        <v>1241</v>
      </c>
      <c r="B855" s="5" t="s">
        <v>1534</v>
      </c>
      <c r="C855" t="s">
        <v>1910</v>
      </c>
      <c r="D855" t="s">
        <v>1910</v>
      </c>
      <c r="F855" t="s">
        <v>2134</v>
      </c>
    </row>
    <row r="856" spans="1:7">
      <c r="A856" s="5" t="s">
        <v>1242</v>
      </c>
      <c r="B856" s="5" t="s">
        <v>1534</v>
      </c>
      <c r="C856" t="s">
        <v>1911</v>
      </c>
      <c r="D856" t="s">
        <v>1911</v>
      </c>
      <c r="F856" t="s">
        <v>2135</v>
      </c>
    </row>
    <row r="857" spans="1:7">
      <c r="A857" s="5" t="s">
        <v>1243</v>
      </c>
      <c r="B857" s="5" t="s">
        <v>1535</v>
      </c>
      <c r="C857" t="s">
        <v>1912</v>
      </c>
      <c r="D857" t="s">
        <v>1912</v>
      </c>
      <c r="F857" t="s">
        <v>2136</v>
      </c>
    </row>
    <row r="858" spans="1:7">
      <c r="A858" s="5" t="s">
        <v>1244</v>
      </c>
      <c r="B858" s="5" t="s">
        <v>1536</v>
      </c>
      <c r="C858" t="s">
        <v>1913</v>
      </c>
      <c r="D858" t="s">
        <v>1913</v>
      </c>
      <c r="F858" t="s">
        <v>2137</v>
      </c>
    </row>
    <row r="859" spans="1:7">
      <c r="A859" s="5" t="s">
        <v>1245</v>
      </c>
      <c r="B859" s="5" t="s">
        <v>1534</v>
      </c>
      <c r="C859" t="s">
        <v>1914</v>
      </c>
      <c r="D859" t="s">
        <v>1914</v>
      </c>
      <c r="F859" t="s">
        <v>2138</v>
      </c>
    </row>
    <row r="860" spans="1:7">
      <c r="A860" s="5" t="s">
        <v>1246</v>
      </c>
      <c r="B860" s="5" t="s">
        <v>1537</v>
      </c>
      <c r="C860" t="s">
        <v>1915</v>
      </c>
      <c r="D860" t="s">
        <v>1915</v>
      </c>
      <c r="F860" t="s">
        <v>2139</v>
      </c>
    </row>
    <row r="861" spans="1:7">
      <c r="A861" s="5" t="s">
        <v>1247</v>
      </c>
      <c r="B861" s="5" t="s">
        <v>1534</v>
      </c>
      <c r="C861" t="s">
        <v>1916</v>
      </c>
      <c r="D861" t="s">
        <v>1916</v>
      </c>
      <c r="F861" t="s">
        <v>2140</v>
      </c>
    </row>
    <row r="862" spans="1:7">
      <c r="A862" s="5" t="s">
        <v>1248</v>
      </c>
      <c r="B862" s="5" t="s">
        <v>1538</v>
      </c>
      <c r="C862" t="s">
        <v>1917</v>
      </c>
      <c r="D862" t="s">
        <v>1917</v>
      </c>
      <c r="F862" t="s">
        <v>2141</v>
      </c>
    </row>
    <row r="863" spans="1:7">
      <c r="A863" s="5" t="s">
        <v>1249</v>
      </c>
      <c r="B863" s="5" t="s">
        <v>1539</v>
      </c>
      <c r="C863" t="s">
        <v>1918</v>
      </c>
      <c r="D863" t="s">
        <v>1918</v>
      </c>
      <c r="F863" t="s">
        <v>2142</v>
      </c>
    </row>
    <row r="864" spans="1:7">
      <c r="A864" s="5"/>
      <c r="B864" s="5"/>
    </row>
    <row r="865" spans="1:4">
      <c r="A865" s="5" t="s">
        <v>2200</v>
      </c>
      <c r="B865" s="5" t="s">
        <v>2200</v>
      </c>
      <c r="C865" t="s">
        <v>2213</v>
      </c>
      <c r="D865" t="s">
        <v>2213</v>
      </c>
    </row>
    <row r="866" spans="1:4">
      <c r="A866" s="5" t="s">
        <v>2201</v>
      </c>
      <c r="B866" s="5" t="s">
        <v>2207</v>
      </c>
      <c r="C866" t="s">
        <v>2214</v>
      </c>
      <c r="D866" t="s">
        <v>2214</v>
      </c>
    </row>
    <row r="867" spans="1:4">
      <c r="A867" s="5" t="s">
        <v>2202</v>
      </c>
      <c r="B867" s="5" t="s">
        <v>2208</v>
      </c>
      <c r="C867" t="s">
        <v>2215</v>
      </c>
      <c r="D867" t="s">
        <v>2215</v>
      </c>
    </row>
    <row r="868" spans="1:4">
      <c r="A868" s="5" t="s">
        <v>2203</v>
      </c>
      <c r="B868" s="5" t="s">
        <v>2209</v>
      </c>
      <c r="C868" t="s">
        <v>2216</v>
      </c>
      <c r="D868" t="s">
        <v>2216</v>
      </c>
    </row>
    <row r="869" spans="1:4">
      <c r="A869" s="5" t="s">
        <v>2204</v>
      </c>
      <c r="B869" s="5" t="s">
        <v>2210</v>
      </c>
      <c r="C869" t="s">
        <v>2217</v>
      </c>
      <c r="D869" t="s">
        <v>2217</v>
      </c>
    </row>
    <row r="870" spans="1:4">
      <c r="A870" s="5" t="s">
        <v>2205</v>
      </c>
      <c r="B870" s="5" t="s">
        <v>2211</v>
      </c>
      <c r="C870" t="s">
        <v>2218</v>
      </c>
      <c r="D870" t="s">
        <v>2218</v>
      </c>
    </row>
    <row r="871" spans="1:4">
      <c r="A871" s="5" t="s">
        <v>2201</v>
      </c>
      <c r="B871" s="5" t="s">
        <v>1358</v>
      </c>
      <c r="C871" t="s">
        <v>2219</v>
      </c>
      <c r="D871" t="s">
        <v>2219</v>
      </c>
    </row>
    <row r="872" spans="1:4">
      <c r="A872" s="5" t="s">
        <v>2206</v>
      </c>
      <c r="B872" s="5" t="s">
        <v>2212</v>
      </c>
      <c r="C872" t="s">
        <v>2220</v>
      </c>
      <c r="D872" t="s">
        <v>2220</v>
      </c>
    </row>
    <row r="873" spans="1:4">
      <c r="A873" s="5"/>
      <c r="B873" s="5"/>
    </row>
    <row r="874" spans="1:4">
      <c r="A874" s="5"/>
      <c r="B874" s="5"/>
    </row>
    <row r="875" spans="1:4">
      <c r="A875" s="5"/>
      <c r="B875" s="5"/>
    </row>
    <row r="876" spans="1:4">
      <c r="A876" s="5"/>
      <c r="B876" s="5"/>
    </row>
    <row r="877" spans="1:4">
      <c r="A877" s="5"/>
      <c r="B877" s="5"/>
    </row>
    <row r="878" spans="1:4">
      <c r="A878" s="5"/>
      <c r="B878" s="5"/>
    </row>
    <row r="879" spans="1:4">
      <c r="A879" s="5"/>
      <c r="B879" s="5"/>
    </row>
    <row r="880" spans="1:4">
      <c r="A880" s="5"/>
      <c r="B880" s="5"/>
    </row>
    <row r="881" spans="1:2">
      <c r="A881" s="5"/>
      <c r="B881" s="5"/>
    </row>
    <row r="882" spans="1:2">
      <c r="A882" s="5"/>
      <c r="B882" s="5"/>
    </row>
    <row r="883" spans="1:2">
      <c r="A883" s="5"/>
      <c r="B883" s="5"/>
    </row>
    <row r="884" spans="1:2">
      <c r="A884" s="5"/>
      <c r="B884" s="5"/>
    </row>
    <row r="885" spans="1:2">
      <c r="A885" s="5"/>
      <c r="B885" s="5"/>
    </row>
    <row r="886" spans="1:2">
      <c r="A886" s="5"/>
      <c r="B886" s="5"/>
    </row>
    <row r="887" spans="1:2">
      <c r="A887" s="5"/>
      <c r="B887" s="5"/>
    </row>
    <row r="888" spans="1:2">
      <c r="A888" s="5"/>
      <c r="B888" s="5"/>
    </row>
    <row r="889" spans="1:2">
      <c r="A889" s="5"/>
      <c r="B889" s="5"/>
    </row>
    <row r="890" spans="1:2">
      <c r="A890" s="5"/>
      <c r="B890" s="5"/>
    </row>
    <row r="891" spans="1:2">
      <c r="A891" s="5"/>
      <c r="B891" s="5"/>
    </row>
    <row r="892" spans="1:2">
      <c r="A892" s="5"/>
      <c r="B892" s="5"/>
    </row>
    <row r="893" spans="1:2">
      <c r="A893" s="5"/>
      <c r="B893" s="5"/>
    </row>
    <row r="894" spans="1:2">
      <c r="A894" s="5"/>
      <c r="B894" s="5"/>
    </row>
    <row r="895" spans="1:2">
      <c r="A895" s="5"/>
      <c r="B895" s="5"/>
    </row>
    <row r="896" spans="1:2">
      <c r="A896" s="5"/>
      <c r="B896" s="5"/>
    </row>
    <row r="897" spans="1:2">
      <c r="A897" s="5"/>
      <c r="B897" s="5"/>
    </row>
    <row r="898" spans="1:2">
      <c r="A898" s="5"/>
      <c r="B898" s="5"/>
    </row>
    <row r="899" spans="1:2">
      <c r="A899" s="5"/>
      <c r="B899" s="5"/>
    </row>
    <row r="900" spans="1:2">
      <c r="A900" s="5"/>
      <c r="B900" s="5"/>
    </row>
    <row r="901" spans="1:2">
      <c r="A901" s="5"/>
      <c r="B901" s="5"/>
    </row>
    <row r="902" spans="1:2">
      <c r="A902" s="5"/>
      <c r="B902" s="5"/>
    </row>
    <row r="903" spans="1:2">
      <c r="A903" s="5"/>
      <c r="B903" s="5"/>
    </row>
    <row r="904" spans="1:2">
      <c r="A904" s="5"/>
      <c r="B904" s="5"/>
    </row>
    <row r="905" spans="1:2">
      <c r="A905" s="5"/>
      <c r="B905" s="5"/>
    </row>
    <row r="906" spans="1:2">
      <c r="A906" s="5"/>
      <c r="B906" s="5"/>
    </row>
    <row r="907" spans="1:2">
      <c r="A907" s="5"/>
      <c r="B907" s="5"/>
    </row>
    <row r="908" spans="1:2">
      <c r="A908" s="5"/>
      <c r="B908" s="5"/>
    </row>
    <row r="909" spans="1:2">
      <c r="A909" s="5"/>
      <c r="B909" s="5"/>
    </row>
    <row r="910" spans="1:2">
      <c r="A910" s="5"/>
      <c r="B910" s="5"/>
    </row>
    <row r="911" spans="1:2">
      <c r="A911" s="5"/>
      <c r="B911" s="5"/>
    </row>
    <row r="912" spans="1:2">
      <c r="A912" s="5"/>
      <c r="B912" s="5"/>
    </row>
    <row r="913" spans="1:2">
      <c r="A913" s="5"/>
      <c r="B913" s="5"/>
    </row>
    <row r="914" spans="1:2">
      <c r="A914" s="5"/>
      <c r="B914" s="5"/>
    </row>
    <row r="915" spans="1:2">
      <c r="A915" s="5"/>
      <c r="B915" s="5"/>
    </row>
    <row r="916" spans="1:2">
      <c r="A916" s="5"/>
      <c r="B916" s="5"/>
    </row>
    <row r="917" spans="1:2">
      <c r="A917" s="5"/>
      <c r="B917" s="5"/>
    </row>
    <row r="918" spans="1:2">
      <c r="A918" s="5"/>
      <c r="B918" s="5"/>
    </row>
    <row r="919" spans="1:2">
      <c r="A919" s="5"/>
      <c r="B919" s="5"/>
    </row>
    <row r="920" spans="1:2">
      <c r="A920" s="5"/>
      <c r="B920" s="5"/>
    </row>
    <row r="921" spans="1:2">
      <c r="A921" s="5"/>
      <c r="B921" s="5"/>
    </row>
    <row r="922" spans="1:2">
      <c r="A922" s="5"/>
      <c r="B922" s="5"/>
    </row>
    <row r="923" spans="1:2">
      <c r="A923" s="5"/>
      <c r="B923" s="5"/>
    </row>
    <row r="924" spans="1:2">
      <c r="A924" s="5"/>
      <c r="B924" s="5"/>
    </row>
    <row r="925" spans="1:2">
      <c r="A925" s="5"/>
      <c r="B925" s="5"/>
    </row>
    <row r="926" spans="1:2">
      <c r="A926" s="5"/>
      <c r="B926" s="5"/>
    </row>
    <row r="927" spans="1:2">
      <c r="A927" s="5"/>
      <c r="B927" s="5"/>
    </row>
    <row r="928" spans="1:2">
      <c r="A928" s="5"/>
      <c r="B928" s="5"/>
    </row>
    <row r="929" spans="1:2">
      <c r="A929" s="5"/>
      <c r="B929" s="5"/>
    </row>
    <row r="930" spans="1:2">
      <c r="A930" s="5"/>
      <c r="B930" s="5"/>
    </row>
    <row r="931" spans="1:2">
      <c r="A931" s="5"/>
      <c r="B931" s="5"/>
    </row>
    <row r="932" spans="1:2">
      <c r="A932" s="5"/>
      <c r="B932" s="5"/>
    </row>
    <row r="933" spans="1:2">
      <c r="A933" s="5"/>
      <c r="B933" s="5"/>
    </row>
    <row r="934" spans="1:2">
      <c r="A934" s="5"/>
      <c r="B934" s="5"/>
    </row>
    <row r="935" spans="1:2">
      <c r="A935" s="5"/>
      <c r="B935" s="5"/>
    </row>
    <row r="936" spans="1:2">
      <c r="A936" s="5"/>
      <c r="B936" s="5"/>
    </row>
    <row r="937" spans="1:2">
      <c r="A937" s="5"/>
      <c r="B937" s="5"/>
    </row>
    <row r="938" spans="1:2">
      <c r="A938" s="5"/>
      <c r="B938" s="5"/>
    </row>
    <row r="939" spans="1:2">
      <c r="A939" s="5"/>
      <c r="B939" s="5"/>
    </row>
    <row r="940" spans="1:2">
      <c r="A940" s="5"/>
      <c r="B940" s="5"/>
    </row>
    <row r="941" spans="1:2">
      <c r="A941" s="5"/>
      <c r="B941" s="5"/>
    </row>
    <row r="942" spans="1:2">
      <c r="A942" s="5"/>
      <c r="B942" s="5"/>
    </row>
    <row r="943" spans="1:2">
      <c r="A943" s="5"/>
      <c r="B943" s="5"/>
    </row>
    <row r="944" spans="1:2">
      <c r="A944" s="5"/>
      <c r="B944" s="5"/>
    </row>
    <row r="945" spans="1:2">
      <c r="A945" s="5"/>
      <c r="B945" s="5"/>
    </row>
    <row r="946" spans="1:2">
      <c r="A946" s="5"/>
      <c r="B946" s="5"/>
    </row>
    <row r="947" spans="1:2">
      <c r="A947" s="5"/>
      <c r="B947" s="5"/>
    </row>
    <row r="948" spans="1:2">
      <c r="A948" s="5"/>
      <c r="B948" s="5"/>
    </row>
    <row r="949" spans="1:2">
      <c r="A949" s="5"/>
      <c r="B949" s="5"/>
    </row>
    <row r="950" spans="1:2">
      <c r="A950" s="5"/>
      <c r="B950" s="5"/>
    </row>
    <row r="951" spans="1:2">
      <c r="A951" s="5"/>
      <c r="B951" s="5"/>
    </row>
    <row r="952" spans="1:2">
      <c r="A952" s="5"/>
      <c r="B952" s="5"/>
    </row>
    <row r="953" spans="1:2">
      <c r="A953" s="5"/>
      <c r="B953" s="5"/>
    </row>
    <row r="954" spans="1:2">
      <c r="A954" s="5"/>
      <c r="B954" s="5"/>
    </row>
    <row r="955" spans="1:2">
      <c r="A955" s="5"/>
      <c r="B955" s="5"/>
    </row>
    <row r="956" spans="1:2">
      <c r="A956" s="5"/>
      <c r="B956" s="5"/>
    </row>
    <row r="957" spans="1:2">
      <c r="A957" s="5"/>
      <c r="B957" s="5"/>
    </row>
    <row r="958" spans="1:2">
      <c r="A958" s="5"/>
      <c r="B958" s="5"/>
    </row>
    <row r="959" spans="1:2">
      <c r="A959" s="5"/>
      <c r="B959" s="5"/>
    </row>
    <row r="960" spans="1:2">
      <c r="A960" s="5"/>
      <c r="B960" s="5"/>
    </row>
    <row r="961" spans="1:2">
      <c r="A961" s="5"/>
      <c r="B961" s="5"/>
    </row>
    <row r="962" spans="1:2">
      <c r="A962" s="5"/>
      <c r="B962" s="5"/>
    </row>
    <row r="963" spans="1:2">
      <c r="A963" s="5"/>
      <c r="B963" s="5"/>
    </row>
    <row r="964" spans="1:2">
      <c r="A964" s="5"/>
      <c r="B964" s="5"/>
    </row>
    <row r="965" spans="1:2">
      <c r="A965" s="5"/>
      <c r="B965" s="5"/>
    </row>
    <row r="966" spans="1:2">
      <c r="A966" s="5"/>
      <c r="B966" s="5"/>
    </row>
    <row r="967" spans="1:2">
      <c r="A967" s="5"/>
      <c r="B967" s="5"/>
    </row>
    <row r="968" spans="1:2">
      <c r="A968" s="5"/>
      <c r="B968" s="5"/>
    </row>
    <row r="969" spans="1:2">
      <c r="A969" s="5"/>
      <c r="B969" s="5"/>
    </row>
    <row r="970" spans="1:2">
      <c r="A970" s="5"/>
      <c r="B970" s="5"/>
    </row>
    <row r="971" spans="1:2">
      <c r="A971" s="5"/>
      <c r="B971" s="5"/>
    </row>
    <row r="972" spans="1:2">
      <c r="A972" s="5"/>
      <c r="B972" s="5"/>
    </row>
    <row r="973" spans="1:2">
      <c r="A973" s="5"/>
      <c r="B973" s="5"/>
    </row>
    <row r="974" spans="1:2">
      <c r="A974" s="5"/>
      <c r="B974" s="5"/>
    </row>
    <row r="975" spans="1:2">
      <c r="A975" s="5"/>
      <c r="B975" s="5"/>
    </row>
    <row r="976" spans="1:2">
      <c r="A976" s="5"/>
      <c r="B976" s="5"/>
    </row>
    <row r="977" spans="1:2">
      <c r="A977" s="5"/>
      <c r="B977" s="5"/>
    </row>
    <row r="978" spans="1:2">
      <c r="A978" s="5"/>
      <c r="B978" s="5"/>
    </row>
    <row r="979" spans="1:2">
      <c r="A979" s="5"/>
      <c r="B979" s="5"/>
    </row>
    <row r="980" spans="1:2">
      <c r="A980" s="5"/>
      <c r="B980" s="5"/>
    </row>
    <row r="981" spans="1:2">
      <c r="A981" s="5"/>
      <c r="B981" s="5"/>
    </row>
    <row r="982" spans="1:2">
      <c r="A982" s="5"/>
      <c r="B982" s="5"/>
    </row>
    <row r="983" spans="1:2">
      <c r="A983" s="5"/>
      <c r="B983" s="5"/>
    </row>
    <row r="984" spans="1:2">
      <c r="A984" s="5"/>
      <c r="B984" s="5"/>
    </row>
    <row r="985" spans="1:2">
      <c r="A985" s="5"/>
      <c r="B985" s="5"/>
    </row>
    <row r="986" spans="1:2">
      <c r="A986" s="5"/>
      <c r="B986" s="5"/>
    </row>
    <row r="987" spans="1:2">
      <c r="A987" s="5"/>
      <c r="B987" s="5"/>
    </row>
    <row r="988" spans="1:2">
      <c r="A988" s="5"/>
      <c r="B988" s="5"/>
    </row>
    <row r="989" spans="1:2">
      <c r="A989" s="5"/>
      <c r="B989" s="5"/>
    </row>
    <row r="990" spans="1:2">
      <c r="A990" s="5"/>
      <c r="B990" s="5"/>
    </row>
    <row r="991" spans="1:2">
      <c r="A991" s="5"/>
      <c r="B991" s="5"/>
    </row>
    <row r="992" spans="1:2">
      <c r="A992" s="5"/>
      <c r="B992" s="5"/>
    </row>
    <row r="993" spans="1:2">
      <c r="A993" s="5"/>
      <c r="B993" s="5"/>
    </row>
    <row r="994" spans="1:2">
      <c r="A994" s="5"/>
      <c r="B994" s="5"/>
    </row>
    <row r="995" spans="1:2">
      <c r="A995" s="5"/>
      <c r="B995" s="5"/>
    </row>
    <row r="996" spans="1:2">
      <c r="A996" s="5"/>
      <c r="B996" s="5"/>
    </row>
    <row r="997" spans="1:2">
      <c r="A997" s="5"/>
      <c r="B997" s="5"/>
    </row>
    <row r="998" spans="1:2">
      <c r="A998" s="5"/>
      <c r="B998" s="5"/>
    </row>
    <row r="999" spans="1:2">
      <c r="A999" s="5"/>
      <c r="B999" s="5"/>
    </row>
    <row r="1000" spans="1:2">
      <c r="A1000" s="5"/>
      <c r="B1000" s="5"/>
    </row>
    <row r="1001" spans="1:2">
      <c r="A1001" s="5"/>
      <c r="B1001" s="5"/>
    </row>
    <row r="1002" spans="1:2">
      <c r="A1002" s="5"/>
      <c r="B1002" s="5"/>
    </row>
    <row r="1003" spans="1:2">
      <c r="A1003" s="5"/>
      <c r="B1003" s="5"/>
    </row>
    <row r="1004" spans="1:2">
      <c r="A1004" s="5"/>
      <c r="B1004" s="5"/>
    </row>
    <row r="1005" spans="1:2">
      <c r="A1005" s="5"/>
      <c r="B1005" s="5"/>
    </row>
    <row r="1006" spans="1:2">
      <c r="A1006" s="5"/>
      <c r="B1006" s="5"/>
    </row>
    <row r="1007" spans="1:2">
      <c r="A1007" s="5"/>
      <c r="B1007" s="5"/>
    </row>
  </sheetData>
  <phoneticPr fontId="2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95BB-E5FA-4B42-93B6-1B9358A44902}">
  <sheetPr codeName="Sheet1">
    <pageSetUpPr fitToPage="1"/>
  </sheetPr>
  <dimension ref="A1:I39"/>
  <sheetViews>
    <sheetView zoomScale="85" zoomScaleNormal="85" workbookViewId="0">
      <selection activeCell="N25" sqref="N25"/>
    </sheetView>
  </sheetViews>
  <sheetFormatPr defaultColWidth="9" defaultRowHeight="12"/>
  <cols>
    <col min="1" max="1" width="13.125" style="66" customWidth="1"/>
    <col min="2" max="2" width="11.25" style="66" customWidth="1"/>
    <col min="3" max="3" width="10.75" style="66" customWidth="1"/>
    <col min="4" max="5" width="6.625" style="66" customWidth="1"/>
    <col min="6" max="6" width="7.5" style="66" customWidth="1"/>
    <col min="7" max="7" width="12.125" style="66" customWidth="1"/>
    <col min="8" max="8" width="12" style="66" customWidth="1"/>
    <col min="9" max="9" width="16.125" style="58" customWidth="1"/>
    <col min="10" max="16384" width="9" style="58"/>
  </cols>
  <sheetData>
    <row r="1" spans="1:9" ht="21.75" customHeight="1">
      <c r="A1" s="235" t="str">
        <f>IFERROR(VLOOKUP($H$4,[1]インストン!$A:$S,3,),"")</f>
        <v>FUZILOGIX</v>
      </c>
      <c r="B1" s="235"/>
      <c r="C1" s="235"/>
      <c r="D1" s="235"/>
      <c r="E1" s="235"/>
      <c r="F1" s="235"/>
      <c r="G1" s="235"/>
      <c r="H1" s="235"/>
      <c r="I1" s="57"/>
    </row>
    <row r="2" spans="1:9" ht="12.75" thickBot="1">
      <c r="A2" s="66" t="s">
        <v>2228</v>
      </c>
      <c r="B2" s="66" t="s">
        <v>2832</v>
      </c>
    </row>
    <row r="3" spans="1:9" ht="12.75" thickBot="1">
      <c r="A3" s="67" t="s">
        <v>2229</v>
      </c>
      <c r="B3" s="68">
        <f>IFERROR(VLOOKUP($H$4,[1]インストン!$A:$S,4,FALSE),"")</f>
        <v>46121</v>
      </c>
      <c r="H3" s="69" t="s">
        <v>2230</v>
      </c>
    </row>
    <row r="4" spans="1:9" ht="12.75" thickBot="1">
      <c r="A4" s="70" t="s">
        <v>2231</v>
      </c>
      <c r="B4" s="70"/>
      <c r="C4" s="70"/>
      <c r="D4" s="70"/>
      <c r="E4" s="70"/>
      <c r="F4" s="70"/>
      <c r="G4" s="70"/>
      <c r="H4" s="71">
        <v>9478</v>
      </c>
      <c r="I4" s="59"/>
    </row>
    <row r="5" spans="1:9" ht="20.25" customHeight="1" thickBot="1">
      <c r="A5" s="72" t="s">
        <v>2232</v>
      </c>
      <c r="B5" s="73">
        <f>IFERROR(VLOOKUP($H$4,[1]インストン!$A:$S,15,FALSE),"")</f>
        <v>5</v>
      </c>
      <c r="C5" s="236" t="s">
        <v>2233</v>
      </c>
      <c r="D5" s="237"/>
      <c r="E5" s="237"/>
      <c r="F5" s="237"/>
      <c r="G5" s="237"/>
      <c r="H5" s="238"/>
      <c r="I5" s="60"/>
    </row>
    <row r="6" spans="1:9" ht="20.25" customHeight="1" thickBot="1">
      <c r="A6" s="72" t="s">
        <v>2234</v>
      </c>
      <c r="B6" s="73">
        <v>1</v>
      </c>
      <c r="C6" s="239" t="s">
        <v>2235</v>
      </c>
      <c r="D6" s="240"/>
      <c r="E6" s="240"/>
      <c r="F6" s="240"/>
      <c r="G6" s="240"/>
      <c r="H6" s="241"/>
      <c r="I6" s="61"/>
    </row>
    <row r="7" spans="1:9" ht="20.25" customHeight="1">
      <c r="A7" s="74" t="s">
        <v>2236</v>
      </c>
      <c r="B7" s="75"/>
      <c r="C7" s="242" t="s">
        <v>2237</v>
      </c>
      <c r="D7" s="243"/>
      <c r="E7" s="243"/>
      <c r="F7" s="244"/>
      <c r="G7" s="76" t="s">
        <v>2238</v>
      </c>
      <c r="H7" s="77" t="s">
        <v>2239</v>
      </c>
      <c r="I7" s="59"/>
    </row>
    <row r="8" spans="1:9" ht="20.25" customHeight="1">
      <c r="A8" s="78" t="s">
        <v>2240</v>
      </c>
      <c r="B8" s="79"/>
      <c r="C8" s="245"/>
      <c r="D8" s="246"/>
      <c r="E8" s="246"/>
      <c r="F8" s="247"/>
      <c r="G8" s="80" t="s">
        <v>2241</v>
      </c>
      <c r="H8" s="81" t="str">
        <f>IFERROR(VLOOKUP($H$4,[1]インストン!$A:$S,2,FALSE),"")</f>
        <v>山本 和弥</v>
      </c>
      <c r="I8" s="59"/>
    </row>
    <row r="9" spans="1:9" ht="20.25" customHeight="1">
      <c r="A9" s="82" t="s">
        <v>2242</v>
      </c>
      <c r="B9" s="83"/>
      <c r="C9" s="232" t="s">
        <v>2237</v>
      </c>
      <c r="D9" s="233"/>
      <c r="E9" s="233"/>
      <c r="F9" s="234"/>
      <c r="G9" s="84" t="s">
        <v>2243</v>
      </c>
      <c r="H9" s="85" t="s">
        <v>2832</v>
      </c>
      <c r="I9" s="59"/>
    </row>
    <row r="10" spans="1:9" ht="20.25" customHeight="1" thickBot="1">
      <c r="A10" s="86" t="s">
        <v>2240</v>
      </c>
      <c r="B10" s="87"/>
      <c r="C10" s="211"/>
      <c r="D10" s="212"/>
      <c r="E10" s="212"/>
      <c r="F10" s="213"/>
      <c r="G10" s="88" t="s">
        <v>2244</v>
      </c>
      <c r="H10" s="89" t="s">
        <v>2833</v>
      </c>
      <c r="I10" s="59"/>
    </row>
    <row r="11" spans="1:9" ht="20.25" customHeight="1" thickBot="1">
      <c r="A11" s="90" t="s">
        <v>2245</v>
      </c>
      <c r="G11" s="66" t="s">
        <v>2246</v>
      </c>
      <c r="H11" s="91">
        <f>IFERROR(VLOOKUP($H$4,[1]インストン!$A:$S,16,FALSE),"")</f>
        <v>46128</v>
      </c>
    </row>
    <row r="12" spans="1:9" ht="20.25" customHeight="1">
      <c r="A12" s="92" t="s">
        <v>2247</v>
      </c>
      <c r="B12" s="93" t="s">
        <v>2248</v>
      </c>
      <c r="C12" s="214" t="s">
        <v>2249</v>
      </c>
      <c r="D12" s="215"/>
      <c r="E12" s="215"/>
      <c r="F12" s="215"/>
      <c r="G12" s="215"/>
      <c r="H12" s="216"/>
      <c r="I12" s="61"/>
    </row>
    <row r="13" spans="1:9" ht="20.25" customHeight="1">
      <c r="A13" s="94" t="s">
        <v>2250</v>
      </c>
      <c r="B13" s="95">
        <v>0</v>
      </c>
      <c r="C13" s="217" t="s">
        <v>2251</v>
      </c>
      <c r="D13" s="218"/>
      <c r="E13" s="218"/>
      <c r="F13" s="218"/>
      <c r="G13" s="218"/>
      <c r="H13" s="219"/>
      <c r="I13" s="61"/>
    </row>
    <row r="14" spans="1:9" ht="20.25" customHeight="1">
      <c r="A14" s="96" t="s">
        <v>2252</v>
      </c>
      <c r="B14" s="97">
        <f>IFERROR(IF(VLOOKUP($H$4,[1]インストン!$A:$S,7,FALSE),2,0),"")</f>
        <v>0</v>
      </c>
      <c r="C14" s="220" t="s">
        <v>2253</v>
      </c>
      <c r="D14" s="221"/>
      <c r="E14" s="221"/>
      <c r="F14" s="221"/>
      <c r="G14" s="221"/>
      <c r="H14" s="222"/>
      <c r="I14" s="61"/>
    </row>
    <row r="15" spans="1:9" ht="20.25" customHeight="1">
      <c r="A15" s="96" t="s">
        <v>2254</v>
      </c>
      <c r="B15" s="97">
        <v>1</v>
      </c>
      <c r="C15" s="220" t="s">
        <v>2255</v>
      </c>
      <c r="D15" s="221"/>
      <c r="E15" s="221"/>
      <c r="F15" s="221"/>
      <c r="G15" s="221"/>
      <c r="H15" s="222"/>
      <c r="I15" s="61"/>
    </row>
    <row r="16" spans="1:9" ht="20.25" customHeight="1">
      <c r="A16" s="96" t="s">
        <v>2256</v>
      </c>
      <c r="B16" s="97">
        <v>1</v>
      </c>
      <c r="C16" s="220" t="s">
        <v>2257</v>
      </c>
      <c r="D16" s="221"/>
      <c r="E16" s="221"/>
      <c r="F16" s="221"/>
      <c r="G16" s="221"/>
      <c r="H16" s="222"/>
      <c r="I16" s="61"/>
    </row>
    <row r="17" spans="1:9" ht="20.25" customHeight="1">
      <c r="A17" s="96" t="s">
        <v>2258</v>
      </c>
      <c r="B17" s="97" t="s">
        <v>2259</v>
      </c>
      <c r="C17" s="220" t="s">
        <v>2260</v>
      </c>
      <c r="D17" s="221"/>
      <c r="E17" s="221"/>
      <c r="F17" s="221"/>
      <c r="G17" s="221"/>
      <c r="H17" s="222"/>
      <c r="I17" s="61"/>
    </row>
    <row r="18" spans="1:9" ht="20.25" customHeight="1">
      <c r="A18" s="98" t="s">
        <v>2261</v>
      </c>
      <c r="B18" s="99">
        <v>1</v>
      </c>
      <c r="C18" s="220" t="s">
        <v>2262</v>
      </c>
      <c r="D18" s="221"/>
      <c r="E18" s="221"/>
      <c r="F18" s="221"/>
      <c r="G18" s="221"/>
      <c r="H18" s="222"/>
      <c r="I18" s="61"/>
    </row>
    <row r="19" spans="1:9" ht="20.25" customHeight="1">
      <c r="A19" s="96" t="s">
        <v>2263</v>
      </c>
      <c r="B19" s="97">
        <v>6</v>
      </c>
      <c r="C19" s="223" t="s">
        <v>2264</v>
      </c>
      <c r="D19" s="224"/>
      <c r="E19" s="224"/>
      <c r="F19" s="224"/>
      <c r="G19" s="224"/>
      <c r="H19" s="225"/>
      <c r="I19" s="62"/>
    </row>
    <row r="20" spans="1:9" ht="20.25" customHeight="1" thickBot="1">
      <c r="A20" s="100" t="s">
        <v>2265</v>
      </c>
      <c r="B20" s="101">
        <v>3</v>
      </c>
      <c r="C20" s="226" t="s">
        <v>2266</v>
      </c>
      <c r="D20" s="227"/>
      <c r="E20" s="227"/>
      <c r="F20" s="227"/>
      <c r="G20" s="227"/>
      <c r="H20" s="228"/>
      <c r="I20" s="62"/>
    </row>
    <row r="21" spans="1:9" ht="20.25" customHeight="1">
      <c r="A21" s="102"/>
      <c r="B21" s="93" t="s">
        <v>2267</v>
      </c>
      <c r="C21" s="229" t="s">
        <v>2268</v>
      </c>
      <c r="D21" s="230"/>
      <c r="E21" s="230"/>
      <c r="F21" s="230"/>
      <c r="G21" s="230"/>
      <c r="H21" s="231"/>
      <c r="I21" s="63"/>
    </row>
    <row r="22" spans="1:9" ht="20.25" customHeight="1">
      <c r="A22" s="103"/>
      <c r="B22" s="104">
        <v>4</v>
      </c>
      <c r="C22" s="208" t="str">
        <f>IFERROR(VLOOKUP($B$22,[1]登録情報!$A:$B,2,FALSE),"")</f>
        <v>タイガー魔法瓶㈱</v>
      </c>
      <c r="D22" s="209"/>
      <c r="E22" s="209"/>
      <c r="F22" s="209"/>
      <c r="G22" s="209"/>
      <c r="H22" s="210"/>
      <c r="I22" s="64"/>
    </row>
    <row r="23" spans="1:9" ht="20.25" customHeight="1">
      <c r="A23" s="96"/>
      <c r="B23" s="97"/>
      <c r="C23" s="201"/>
      <c r="D23" s="202"/>
      <c r="E23" s="202"/>
      <c r="F23" s="202"/>
      <c r="G23" s="202"/>
      <c r="H23" s="203"/>
      <c r="I23" s="63"/>
    </row>
    <row r="24" spans="1:9" ht="20.25" customHeight="1">
      <c r="A24" s="96"/>
      <c r="B24" s="97"/>
      <c r="C24" s="201"/>
      <c r="D24" s="202"/>
      <c r="E24" s="202"/>
      <c r="F24" s="202"/>
      <c r="G24" s="202"/>
      <c r="H24" s="203"/>
      <c r="I24" s="63"/>
    </row>
    <row r="25" spans="1:9" ht="20.25" customHeight="1">
      <c r="A25" s="96"/>
      <c r="B25" s="97"/>
      <c r="C25" s="201"/>
      <c r="D25" s="202"/>
      <c r="E25" s="202"/>
      <c r="F25" s="202"/>
      <c r="G25" s="202"/>
      <c r="H25" s="203"/>
      <c r="I25" s="63"/>
    </row>
    <row r="26" spans="1:9" ht="20.25" customHeight="1">
      <c r="A26" s="96"/>
      <c r="B26" s="97"/>
      <c r="C26" s="201"/>
      <c r="D26" s="202"/>
      <c r="E26" s="202"/>
      <c r="F26" s="202"/>
      <c r="G26" s="202"/>
      <c r="H26" s="203"/>
      <c r="I26" s="63"/>
    </row>
    <row r="27" spans="1:9" ht="20.25" customHeight="1" thickBot="1">
      <c r="A27" s="100"/>
      <c r="B27" s="101"/>
      <c r="C27" s="204"/>
      <c r="D27" s="205"/>
      <c r="E27" s="205"/>
      <c r="F27" s="205"/>
      <c r="G27" s="205"/>
      <c r="H27" s="206"/>
      <c r="I27" s="63"/>
    </row>
    <row r="28" spans="1:9" ht="20.25" customHeight="1">
      <c r="A28" s="105" t="s">
        <v>2269</v>
      </c>
      <c r="B28" s="106" t="s">
        <v>2270</v>
      </c>
      <c r="C28" s="106" t="s">
        <v>2267</v>
      </c>
      <c r="D28" s="207" t="s">
        <v>2271</v>
      </c>
      <c r="E28" s="207"/>
      <c r="F28" s="207"/>
      <c r="G28" s="106" t="s">
        <v>2272</v>
      </c>
      <c r="H28" s="107" t="s">
        <v>2273</v>
      </c>
      <c r="I28" s="63"/>
    </row>
    <row r="29" spans="1:9" ht="20.25" customHeight="1">
      <c r="A29" s="108" t="str">
        <f>IFERROR(VLOOKUP($H$4,[1]インストン!$A:$S,12,FALSE),"")</f>
        <v>CAAU8525530</v>
      </c>
      <c r="B29" s="83" t="str">
        <f>IFERROR(VLOOKUP($H$4,[1]インストン!$A:$S,14,FALSE),"")</f>
        <v>40HQ</v>
      </c>
      <c r="C29" s="95">
        <f>IFERROR(VLOOKUP($H$4,[1]インストン!$A:$S,13,FALSE),"")</f>
        <v>2</v>
      </c>
      <c r="D29" s="194">
        <f>IFERROR(VLOOKUP($H$4,[1]インストン!$A:$S,17,FALSE),"")</f>
        <v>46132</v>
      </c>
      <c r="E29" s="195"/>
      <c r="F29" s="196"/>
      <c r="G29" s="95" t="str">
        <f>IFERROR(VLOOKUP($H$4,[1]インストン!$A:$S,18,FALSE),"")</f>
        <v>月</v>
      </c>
      <c r="H29" s="109" t="str">
        <f>IFERROR(VLOOKUP($H$4,[1]インストン!$A:$S,19,FALSE),"")</f>
        <v>AM8:00</v>
      </c>
      <c r="I29" s="63"/>
    </row>
    <row r="30" spans="1:9" ht="20.25" customHeight="1" thickBot="1">
      <c r="A30" s="110"/>
      <c r="B30" s="101"/>
      <c r="C30" s="101"/>
      <c r="D30" s="197"/>
      <c r="E30" s="198"/>
      <c r="F30" s="199"/>
      <c r="G30" s="111"/>
      <c r="H30" s="112"/>
    </row>
    <row r="31" spans="1:9">
      <c r="A31" s="113" t="s">
        <v>2274</v>
      </c>
      <c r="B31" s="114"/>
      <c r="C31" s="114"/>
      <c r="D31" s="114"/>
      <c r="E31" s="114"/>
      <c r="F31" s="114"/>
      <c r="G31" s="114"/>
      <c r="H31" s="115"/>
    </row>
    <row r="32" spans="1:9" ht="10.5" customHeight="1">
      <c r="A32" s="90"/>
      <c r="H32" s="116"/>
    </row>
    <row r="33" spans="1:8">
      <c r="A33" s="98" t="s">
        <v>2275</v>
      </c>
      <c r="B33" s="200">
        <f>IFERROR(VLOOKUP($H$4,[1]インストン!$A:$S,7,FALSE),"")</f>
        <v>0</v>
      </c>
      <c r="C33" s="200"/>
      <c r="D33" s="66" t="s">
        <v>2276</v>
      </c>
      <c r="H33" s="116"/>
    </row>
    <row r="34" spans="1:8">
      <c r="A34" s="90"/>
      <c r="H34" s="116"/>
    </row>
    <row r="35" spans="1:8">
      <c r="A35" s="90"/>
      <c r="E35" s="117"/>
      <c r="H35" s="116"/>
    </row>
    <row r="36" spans="1:8">
      <c r="A36" s="90"/>
      <c r="H36" s="116"/>
    </row>
    <row r="37" spans="1:8">
      <c r="A37" s="90"/>
      <c r="H37" s="116"/>
    </row>
    <row r="38" spans="1:8">
      <c r="A38" s="90"/>
      <c r="H38" s="116"/>
    </row>
    <row r="39" spans="1:8" ht="12.75" thickBot="1">
      <c r="A39" s="118"/>
      <c r="B39" s="119"/>
      <c r="C39" s="119"/>
      <c r="D39" s="119"/>
      <c r="E39" s="119"/>
      <c r="F39" s="119"/>
      <c r="G39" s="119"/>
      <c r="H39" s="120"/>
    </row>
  </sheetData>
  <mergeCells count="27">
    <mergeCell ref="C9:F9"/>
    <mergeCell ref="A1:H1"/>
    <mergeCell ref="C5:H5"/>
    <mergeCell ref="C6:H6"/>
    <mergeCell ref="C7:F7"/>
    <mergeCell ref="C8:F8"/>
    <mergeCell ref="C22:H22"/>
    <mergeCell ref="C10:F10"/>
    <mergeCell ref="C12:H12"/>
    <mergeCell ref="C13:H13"/>
    <mergeCell ref="C14:H14"/>
    <mergeCell ref="C15:H15"/>
    <mergeCell ref="C16:H16"/>
    <mergeCell ref="C17:H17"/>
    <mergeCell ref="C18:H18"/>
    <mergeCell ref="C19:H19"/>
    <mergeCell ref="C20:H20"/>
    <mergeCell ref="C21:H21"/>
    <mergeCell ref="D29:F29"/>
    <mergeCell ref="D30:F30"/>
    <mergeCell ref="B33:C33"/>
    <mergeCell ref="C23:H23"/>
    <mergeCell ref="C24:H24"/>
    <mergeCell ref="C25:H25"/>
    <mergeCell ref="C26:H26"/>
    <mergeCell ref="C27:H27"/>
    <mergeCell ref="D28:F28"/>
  </mergeCells>
  <phoneticPr fontId="2"/>
  <printOptions horizontalCentered="1"/>
  <pageMargins left="0.70866141732283472" right="0.70866141732283472" top="0.74803149606299213" bottom="0.74803149606299213" header="0.31496062992125984" footer="0.31496062992125984"/>
  <pageSetup paperSize="9" scale="7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20FB9-A254-4006-9676-5B9975782719}">
  <sheetPr codeName="Sheet9">
    <pageSetUpPr fitToPage="1"/>
  </sheetPr>
  <dimension ref="A1:J42"/>
  <sheetViews>
    <sheetView workbookViewId="0">
      <selection activeCell="B3" sqref="B3:J3"/>
    </sheetView>
  </sheetViews>
  <sheetFormatPr defaultRowHeight="14.25"/>
  <cols>
    <col min="1" max="1" width="12.5" style="152" customWidth="1"/>
    <col min="2" max="6" width="3.75" style="152" customWidth="1"/>
    <col min="7" max="7" width="21.125" style="152" customWidth="1"/>
    <col min="8" max="8" width="12.5" style="152" customWidth="1"/>
    <col min="9" max="9" width="3.75" style="152" customWidth="1"/>
    <col min="10" max="10" width="12.5" style="152" customWidth="1"/>
    <col min="11" max="256" width="9" style="152"/>
    <col min="257" max="257" width="12.5" style="152" customWidth="1"/>
    <col min="258" max="262" width="3.75" style="152" customWidth="1"/>
    <col min="263" max="263" width="21.125" style="152" customWidth="1"/>
    <col min="264" max="264" width="12.5" style="152" customWidth="1"/>
    <col min="265" max="265" width="3.75" style="152" customWidth="1"/>
    <col min="266" max="266" width="12.5" style="152" customWidth="1"/>
    <col min="267" max="512" width="9" style="152"/>
    <col min="513" max="513" width="12.5" style="152" customWidth="1"/>
    <col min="514" max="518" width="3.75" style="152" customWidth="1"/>
    <col min="519" max="519" width="21.125" style="152" customWidth="1"/>
    <col min="520" max="520" width="12.5" style="152" customWidth="1"/>
    <col min="521" max="521" width="3.75" style="152" customWidth="1"/>
    <col min="522" max="522" width="12.5" style="152" customWidth="1"/>
    <col min="523" max="768" width="9" style="152"/>
    <col min="769" max="769" width="12.5" style="152" customWidth="1"/>
    <col min="770" max="774" width="3.75" style="152" customWidth="1"/>
    <col min="775" max="775" width="21.125" style="152" customWidth="1"/>
    <col min="776" max="776" width="12.5" style="152" customWidth="1"/>
    <col min="777" max="777" width="3.75" style="152" customWidth="1"/>
    <col min="778" max="778" width="12.5" style="152" customWidth="1"/>
    <col min="779" max="1024" width="9" style="152"/>
    <col min="1025" max="1025" width="12.5" style="152" customWidth="1"/>
    <col min="1026" max="1030" width="3.75" style="152" customWidth="1"/>
    <col min="1031" max="1031" width="21.125" style="152" customWidth="1"/>
    <col min="1032" max="1032" width="12.5" style="152" customWidth="1"/>
    <col min="1033" max="1033" width="3.75" style="152" customWidth="1"/>
    <col min="1034" max="1034" width="12.5" style="152" customWidth="1"/>
    <col min="1035" max="1280" width="9" style="152"/>
    <col min="1281" max="1281" width="12.5" style="152" customWidth="1"/>
    <col min="1282" max="1286" width="3.75" style="152" customWidth="1"/>
    <col min="1287" max="1287" width="21.125" style="152" customWidth="1"/>
    <col min="1288" max="1288" width="12.5" style="152" customWidth="1"/>
    <col min="1289" max="1289" width="3.75" style="152" customWidth="1"/>
    <col min="1290" max="1290" width="12.5" style="152" customWidth="1"/>
    <col min="1291" max="1536" width="9" style="152"/>
    <col min="1537" max="1537" width="12.5" style="152" customWidth="1"/>
    <col min="1538" max="1542" width="3.75" style="152" customWidth="1"/>
    <col min="1543" max="1543" width="21.125" style="152" customWidth="1"/>
    <col min="1544" max="1544" width="12.5" style="152" customWidth="1"/>
    <col min="1545" max="1545" width="3.75" style="152" customWidth="1"/>
    <col min="1546" max="1546" width="12.5" style="152" customWidth="1"/>
    <col min="1547" max="1792" width="9" style="152"/>
    <col min="1793" max="1793" width="12.5" style="152" customWidth="1"/>
    <col min="1794" max="1798" width="3.75" style="152" customWidth="1"/>
    <col min="1799" max="1799" width="21.125" style="152" customWidth="1"/>
    <col min="1800" max="1800" width="12.5" style="152" customWidth="1"/>
    <col min="1801" max="1801" width="3.75" style="152" customWidth="1"/>
    <col min="1802" max="1802" width="12.5" style="152" customWidth="1"/>
    <col min="1803" max="2048" width="9" style="152"/>
    <col min="2049" max="2049" width="12.5" style="152" customWidth="1"/>
    <col min="2050" max="2054" width="3.75" style="152" customWidth="1"/>
    <col min="2055" max="2055" width="21.125" style="152" customWidth="1"/>
    <col min="2056" max="2056" width="12.5" style="152" customWidth="1"/>
    <col min="2057" max="2057" width="3.75" style="152" customWidth="1"/>
    <col min="2058" max="2058" width="12.5" style="152" customWidth="1"/>
    <col min="2059" max="2304" width="9" style="152"/>
    <col min="2305" max="2305" width="12.5" style="152" customWidth="1"/>
    <col min="2306" max="2310" width="3.75" style="152" customWidth="1"/>
    <col min="2311" max="2311" width="21.125" style="152" customWidth="1"/>
    <col min="2312" max="2312" width="12.5" style="152" customWidth="1"/>
    <col min="2313" max="2313" width="3.75" style="152" customWidth="1"/>
    <col min="2314" max="2314" width="12.5" style="152" customWidth="1"/>
    <col min="2315" max="2560" width="9" style="152"/>
    <col min="2561" max="2561" width="12.5" style="152" customWidth="1"/>
    <col min="2562" max="2566" width="3.75" style="152" customWidth="1"/>
    <col min="2567" max="2567" width="21.125" style="152" customWidth="1"/>
    <col min="2568" max="2568" width="12.5" style="152" customWidth="1"/>
    <col min="2569" max="2569" width="3.75" style="152" customWidth="1"/>
    <col min="2570" max="2570" width="12.5" style="152" customWidth="1"/>
    <col min="2571" max="2816" width="9" style="152"/>
    <col min="2817" max="2817" width="12.5" style="152" customWidth="1"/>
    <col min="2818" max="2822" width="3.75" style="152" customWidth="1"/>
    <col min="2823" max="2823" width="21.125" style="152" customWidth="1"/>
    <col min="2824" max="2824" width="12.5" style="152" customWidth="1"/>
    <col min="2825" max="2825" width="3.75" style="152" customWidth="1"/>
    <col min="2826" max="2826" width="12.5" style="152" customWidth="1"/>
    <col min="2827" max="3072" width="9" style="152"/>
    <col min="3073" max="3073" width="12.5" style="152" customWidth="1"/>
    <col min="3074" max="3078" width="3.75" style="152" customWidth="1"/>
    <col min="3079" max="3079" width="21.125" style="152" customWidth="1"/>
    <col min="3080" max="3080" width="12.5" style="152" customWidth="1"/>
    <col min="3081" max="3081" width="3.75" style="152" customWidth="1"/>
    <col min="3082" max="3082" width="12.5" style="152" customWidth="1"/>
    <col min="3083" max="3328" width="9" style="152"/>
    <col min="3329" max="3329" width="12.5" style="152" customWidth="1"/>
    <col min="3330" max="3334" width="3.75" style="152" customWidth="1"/>
    <col min="3335" max="3335" width="21.125" style="152" customWidth="1"/>
    <col min="3336" max="3336" width="12.5" style="152" customWidth="1"/>
    <col min="3337" max="3337" width="3.75" style="152" customWidth="1"/>
    <col min="3338" max="3338" width="12.5" style="152" customWidth="1"/>
    <col min="3339" max="3584" width="9" style="152"/>
    <col min="3585" max="3585" width="12.5" style="152" customWidth="1"/>
    <col min="3586" max="3590" width="3.75" style="152" customWidth="1"/>
    <col min="3591" max="3591" width="21.125" style="152" customWidth="1"/>
    <col min="3592" max="3592" width="12.5" style="152" customWidth="1"/>
    <col min="3593" max="3593" width="3.75" style="152" customWidth="1"/>
    <col min="3594" max="3594" width="12.5" style="152" customWidth="1"/>
    <col min="3595" max="3840" width="9" style="152"/>
    <col min="3841" max="3841" width="12.5" style="152" customWidth="1"/>
    <col min="3842" max="3846" width="3.75" style="152" customWidth="1"/>
    <col min="3847" max="3847" width="21.125" style="152" customWidth="1"/>
    <col min="3848" max="3848" width="12.5" style="152" customWidth="1"/>
    <col min="3849" max="3849" width="3.75" style="152" customWidth="1"/>
    <col min="3850" max="3850" width="12.5" style="152" customWidth="1"/>
    <col min="3851" max="4096" width="9" style="152"/>
    <col min="4097" max="4097" width="12.5" style="152" customWidth="1"/>
    <col min="4098" max="4102" width="3.75" style="152" customWidth="1"/>
    <col min="4103" max="4103" width="21.125" style="152" customWidth="1"/>
    <col min="4104" max="4104" width="12.5" style="152" customWidth="1"/>
    <col min="4105" max="4105" width="3.75" style="152" customWidth="1"/>
    <col min="4106" max="4106" width="12.5" style="152" customWidth="1"/>
    <col min="4107" max="4352" width="9" style="152"/>
    <col min="4353" max="4353" width="12.5" style="152" customWidth="1"/>
    <col min="4354" max="4358" width="3.75" style="152" customWidth="1"/>
    <col min="4359" max="4359" width="21.125" style="152" customWidth="1"/>
    <col min="4360" max="4360" width="12.5" style="152" customWidth="1"/>
    <col min="4361" max="4361" width="3.75" style="152" customWidth="1"/>
    <col min="4362" max="4362" width="12.5" style="152" customWidth="1"/>
    <col min="4363" max="4608" width="9" style="152"/>
    <col min="4609" max="4609" width="12.5" style="152" customWidth="1"/>
    <col min="4610" max="4614" width="3.75" style="152" customWidth="1"/>
    <col min="4615" max="4615" width="21.125" style="152" customWidth="1"/>
    <col min="4616" max="4616" width="12.5" style="152" customWidth="1"/>
    <col min="4617" max="4617" width="3.75" style="152" customWidth="1"/>
    <col min="4618" max="4618" width="12.5" style="152" customWidth="1"/>
    <col min="4619" max="4864" width="9" style="152"/>
    <col min="4865" max="4865" width="12.5" style="152" customWidth="1"/>
    <col min="4866" max="4870" width="3.75" style="152" customWidth="1"/>
    <col min="4871" max="4871" width="21.125" style="152" customWidth="1"/>
    <col min="4872" max="4872" width="12.5" style="152" customWidth="1"/>
    <col min="4873" max="4873" width="3.75" style="152" customWidth="1"/>
    <col min="4874" max="4874" width="12.5" style="152" customWidth="1"/>
    <col min="4875" max="5120" width="9" style="152"/>
    <col min="5121" max="5121" width="12.5" style="152" customWidth="1"/>
    <col min="5122" max="5126" width="3.75" style="152" customWidth="1"/>
    <col min="5127" max="5127" width="21.125" style="152" customWidth="1"/>
    <col min="5128" max="5128" width="12.5" style="152" customWidth="1"/>
    <col min="5129" max="5129" width="3.75" style="152" customWidth="1"/>
    <col min="5130" max="5130" width="12.5" style="152" customWidth="1"/>
    <col min="5131" max="5376" width="9" style="152"/>
    <col min="5377" max="5377" width="12.5" style="152" customWidth="1"/>
    <col min="5378" max="5382" width="3.75" style="152" customWidth="1"/>
    <col min="5383" max="5383" width="21.125" style="152" customWidth="1"/>
    <col min="5384" max="5384" width="12.5" style="152" customWidth="1"/>
    <col min="5385" max="5385" width="3.75" style="152" customWidth="1"/>
    <col min="5386" max="5386" width="12.5" style="152" customWidth="1"/>
    <col min="5387" max="5632" width="9" style="152"/>
    <col min="5633" max="5633" width="12.5" style="152" customWidth="1"/>
    <col min="5634" max="5638" width="3.75" style="152" customWidth="1"/>
    <col min="5639" max="5639" width="21.125" style="152" customWidth="1"/>
    <col min="5640" max="5640" width="12.5" style="152" customWidth="1"/>
    <col min="5641" max="5641" width="3.75" style="152" customWidth="1"/>
    <col min="5642" max="5642" width="12.5" style="152" customWidth="1"/>
    <col min="5643" max="5888" width="9" style="152"/>
    <col min="5889" max="5889" width="12.5" style="152" customWidth="1"/>
    <col min="5890" max="5894" width="3.75" style="152" customWidth="1"/>
    <col min="5895" max="5895" width="21.125" style="152" customWidth="1"/>
    <col min="5896" max="5896" width="12.5" style="152" customWidth="1"/>
    <col min="5897" max="5897" width="3.75" style="152" customWidth="1"/>
    <col min="5898" max="5898" width="12.5" style="152" customWidth="1"/>
    <col min="5899" max="6144" width="9" style="152"/>
    <col min="6145" max="6145" width="12.5" style="152" customWidth="1"/>
    <col min="6146" max="6150" width="3.75" style="152" customWidth="1"/>
    <col min="6151" max="6151" width="21.125" style="152" customWidth="1"/>
    <col min="6152" max="6152" width="12.5" style="152" customWidth="1"/>
    <col min="6153" max="6153" width="3.75" style="152" customWidth="1"/>
    <col min="6154" max="6154" width="12.5" style="152" customWidth="1"/>
    <col min="6155" max="6400" width="9" style="152"/>
    <col min="6401" max="6401" width="12.5" style="152" customWidth="1"/>
    <col min="6402" max="6406" width="3.75" style="152" customWidth="1"/>
    <col min="6407" max="6407" width="21.125" style="152" customWidth="1"/>
    <col min="6408" max="6408" width="12.5" style="152" customWidth="1"/>
    <col min="6409" max="6409" width="3.75" style="152" customWidth="1"/>
    <col min="6410" max="6410" width="12.5" style="152" customWidth="1"/>
    <col min="6411" max="6656" width="9" style="152"/>
    <col min="6657" max="6657" width="12.5" style="152" customWidth="1"/>
    <col min="6658" max="6662" width="3.75" style="152" customWidth="1"/>
    <col min="6663" max="6663" width="21.125" style="152" customWidth="1"/>
    <col min="6664" max="6664" width="12.5" style="152" customWidth="1"/>
    <col min="6665" max="6665" width="3.75" style="152" customWidth="1"/>
    <col min="6666" max="6666" width="12.5" style="152" customWidth="1"/>
    <col min="6667" max="6912" width="9" style="152"/>
    <col min="6913" max="6913" width="12.5" style="152" customWidth="1"/>
    <col min="6914" max="6918" width="3.75" style="152" customWidth="1"/>
    <col min="6919" max="6919" width="21.125" style="152" customWidth="1"/>
    <col min="6920" max="6920" width="12.5" style="152" customWidth="1"/>
    <col min="6921" max="6921" width="3.75" style="152" customWidth="1"/>
    <col min="6922" max="6922" width="12.5" style="152" customWidth="1"/>
    <col min="6923" max="7168" width="9" style="152"/>
    <col min="7169" max="7169" width="12.5" style="152" customWidth="1"/>
    <col min="7170" max="7174" width="3.75" style="152" customWidth="1"/>
    <col min="7175" max="7175" width="21.125" style="152" customWidth="1"/>
    <col min="7176" max="7176" width="12.5" style="152" customWidth="1"/>
    <col min="7177" max="7177" width="3.75" style="152" customWidth="1"/>
    <col min="7178" max="7178" width="12.5" style="152" customWidth="1"/>
    <col min="7179" max="7424" width="9" style="152"/>
    <col min="7425" max="7425" width="12.5" style="152" customWidth="1"/>
    <col min="7426" max="7430" width="3.75" style="152" customWidth="1"/>
    <col min="7431" max="7431" width="21.125" style="152" customWidth="1"/>
    <col min="7432" max="7432" width="12.5" style="152" customWidth="1"/>
    <col min="7433" max="7433" width="3.75" style="152" customWidth="1"/>
    <col min="7434" max="7434" width="12.5" style="152" customWidth="1"/>
    <col min="7435" max="7680" width="9" style="152"/>
    <col min="7681" max="7681" width="12.5" style="152" customWidth="1"/>
    <col min="7682" max="7686" width="3.75" style="152" customWidth="1"/>
    <col min="7687" max="7687" width="21.125" style="152" customWidth="1"/>
    <col min="7688" max="7688" width="12.5" style="152" customWidth="1"/>
    <col min="7689" max="7689" width="3.75" style="152" customWidth="1"/>
    <col min="7690" max="7690" width="12.5" style="152" customWidth="1"/>
    <col min="7691" max="7936" width="9" style="152"/>
    <col min="7937" max="7937" width="12.5" style="152" customWidth="1"/>
    <col min="7938" max="7942" width="3.75" style="152" customWidth="1"/>
    <col min="7943" max="7943" width="21.125" style="152" customWidth="1"/>
    <col min="7944" max="7944" width="12.5" style="152" customWidth="1"/>
    <col min="7945" max="7945" width="3.75" style="152" customWidth="1"/>
    <col min="7946" max="7946" width="12.5" style="152" customWidth="1"/>
    <col min="7947" max="8192" width="9" style="152"/>
    <col min="8193" max="8193" width="12.5" style="152" customWidth="1"/>
    <col min="8194" max="8198" width="3.75" style="152" customWidth="1"/>
    <col min="8199" max="8199" width="21.125" style="152" customWidth="1"/>
    <col min="8200" max="8200" width="12.5" style="152" customWidth="1"/>
    <col min="8201" max="8201" width="3.75" style="152" customWidth="1"/>
    <col min="8202" max="8202" width="12.5" style="152" customWidth="1"/>
    <col min="8203" max="8448" width="9" style="152"/>
    <col min="8449" max="8449" width="12.5" style="152" customWidth="1"/>
    <col min="8450" max="8454" width="3.75" style="152" customWidth="1"/>
    <col min="8455" max="8455" width="21.125" style="152" customWidth="1"/>
    <col min="8456" max="8456" width="12.5" style="152" customWidth="1"/>
    <col min="8457" max="8457" width="3.75" style="152" customWidth="1"/>
    <col min="8458" max="8458" width="12.5" style="152" customWidth="1"/>
    <col min="8459" max="8704" width="9" style="152"/>
    <col min="8705" max="8705" width="12.5" style="152" customWidth="1"/>
    <col min="8706" max="8710" width="3.75" style="152" customWidth="1"/>
    <col min="8711" max="8711" width="21.125" style="152" customWidth="1"/>
    <col min="8712" max="8712" width="12.5" style="152" customWidth="1"/>
    <col min="8713" max="8713" width="3.75" style="152" customWidth="1"/>
    <col min="8714" max="8714" width="12.5" style="152" customWidth="1"/>
    <col min="8715" max="8960" width="9" style="152"/>
    <col min="8961" max="8961" width="12.5" style="152" customWidth="1"/>
    <col min="8962" max="8966" width="3.75" style="152" customWidth="1"/>
    <col min="8967" max="8967" width="21.125" style="152" customWidth="1"/>
    <col min="8968" max="8968" width="12.5" style="152" customWidth="1"/>
    <col min="8969" max="8969" width="3.75" style="152" customWidth="1"/>
    <col min="8970" max="8970" width="12.5" style="152" customWidth="1"/>
    <col min="8971" max="9216" width="9" style="152"/>
    <col min="9217" max="9217" width="12.5" style="152" customWidth="1"/>
    <col min="9218" max="9222" width="3.75" style="152" customWidth="1"/>
    <col min="9223" max="9223" width="21.125" style="152" customWidth="1"/>
    <col min="9224" max="9224" width="12.5" style="152" customWidth="1"/>
    <col min="9225" max="9225" width="3.75" style="152" customWidth="1"/>
    <col min="9226" max="9226" width="12.5" style="152" customWidth="1"/>
    <col min="9227" max="9472" width="9" style="152"/>
    <col min="9473" max="9473" width="12.5" style="152" customWidth="1"/>
    <col min="9474" max="9478" width="3.75" style="152" customWidth="1"/>
    <col min="9479" max="9479" width="21.125" style="152" customWidth="1"/>
    <col min="9480" max="9480" width="12.5" style="152" customWidth="1"/>
    <col min="9481" max="9481" width="3.75" style="152" customWidth="1"/>
    <col min="9482" max="9482" width="12.5" style="152" customWidth="1"/>
    <col min="9483" max="9728" width="9" style="152"/>
    <col min="9729" max="9729" width="12.5" style="152" customWidth="1"/>
    <col min="9730" max="9734" width="3.75" style="152" customWidth="1"/>
    <col min="9735" max="9735" width="21.125" style="152" customWidth="1"/>
    <col min="9736" max="9736" width="12.5" style="152" customWidth="1"/>
    <col min="9737" max="9737" width="3.75" style="152" customWidth="1"/>
    <col min="9738" max="9738" width="12.5" style="152" customWidth="1"/>
    <col min="9739" max="9984" width="9" style="152"/>
    <col min="9985" max="9985" width="12.5" style="152" customWidth="1"/>
    <col min="9986" max="9990" width="3.75" style="152" customWidth="1"/>
    <col min="9991" max="9991" width="21.125" style="152" customWidth="1"/>
    <col min="9992" max="9992" width="12.5" style="152" customWidth="1"/>
    <col min="9993" max="9993" width="3.75" style="152" customWidth="1"/>
    <col min="9994" max="9994" width="12.5" style="152" customWidth="1"/>
    <col min="9995" max="10240" width="9" style="152"/>
    <col min="10241" max="10241" width="12.5" style="152" customWidth="1"/>
    <col min="10242" max="10246" width="3.75" style="152" customWidth="1"/>
    <col min="10247" max="10247" width="21.125" style="152" customWidth="1"/>
    <col min="10248" max="10248" width="12.5" style="152" customWidth="1"/>
    <col min="10249" max="10249" width="3.75" style="152" customWidth="1"/>
    <col min="10250" max="10250" width="12.5" style="152" customWidth="1"/>
    <col min="10251" max="10496" width="9" style="152"/>
    <col min="10497" max="10497" width="12.5" style="152" customWidth="1"/>
    <col min="10498" max="10502" width="3.75" style="152" customWidth="1"/>
    <col min="10503" max="10503" width="21.125" style="152" customWidth="1"/>
    <col min="10504" max="10504" width="12.5" style="152" customWidth="1"/>
    <col min="10505" max="10505" width="3.75" style="152" customWidth="1"/>
    <col min="10506" max="10506" width="12.5" style="152" customWidth="1"/>
    <col min="10507" max="10752" width="9" style="152"/>
    <col min="10753" max="10753" width="12.5" style="152" customWidth="1"/>
    <col min="10754" max="10758" width="3.75" style="152" customWidth="1"/>
    <col min="10759" max="10759" width="21.125" style="152" customWidth="1"/>
    <col min="10760" max="10760" width="12.5" style="152" customWidth="1"/>
    <col min="10761" max="10761" width="3.75" style="152" customWidth="1"/>
    <col min="10762" max="10762" width="12.5" style="152" customWidth="1"/>
    <col min="10763" max="11008" width="9" style="152"/>
    <col min="11009" max="11009" width="12.5" style="152" customWidth="1"/>
    <col min="11010" max="11014" width="3.75" style="152" customWidth="1"/>
    <col min="11015" max="11015" width="21.125" style="152" customWidth="1"/>
    <col min="11016" max="11016" width="12.5" style="152" customWidth="1"/>
    <col min="11017" max="11017" width="3.75" style="152" customWidth="1"/>
    <col min="11018" max="11018" width="12.5" style="152" customWidth="1"/>
    <col min="11019" max="11264" width="9" style="152"/>
    <col min="11265" max="11265" width="12.5" style="152" customWidth="1"/>
    <col min="11266" max="11270" width="3.75" style="152" customWidth="1"/>
    <col min="11271" max="11271" width="21.125" style="152" customWidth="1"/>
    <col min="11272" max="11272" width="12.5" style="152" customWidth="1"/>
    <col min="11273" max="11273" width="3.75" style="152" customWidth="1"/>
    <col min="11274" max="11274" width="12.5" style="152" customWidth="1"/>
    <col min="11275" max="11520" width="9" style="152"/>
    <col min="11521" max="11521" width="12.5" style="152" customWidth="1"/>
    <col min="11522" max="11526" width="3.75" style="152" customWidth="1"/>
    <col min="11527" max="11527" width="21.125" style="152" customWidth="1"/>
    <col min="11528" max="11528" width="12.5" style="152" customWidth="1"/>
    <col min="11529" max="11529" width="3.75" style="152" customWidth="1"/>
    <col min="11530" max="11530" width="12.5" style="152" customWidth="1"/>
    <col min="11531" max="11776" width="9" style="152"/>
    <col min="11777" max="11777" width="12.5" style="152" customWidth="1"/>
    <col min="11778" max="11782" width="3.75" style="152" customWidth="1"/>
    <col min="11783" max="11783" width="21.125" style="152" customWidth="1"/>
    <col min="11784" max="11784" width="12.5" style="152" customWidth="1"/>
    <col min="11785" max="11785" width="3.75" style="152" customWidth="1"/>
    <col min="11786" max="11786" width="12.5" style="152" customWidth="1"/>
    <col min="11787" max="12032" width="9" style="152"/>
    <col min="12033" max="12033" width="12.5" style="152" customWidth="1"/>
    <col min="12034" max="12038" width="3.75" style="152" customWidth="1"/>
    <col min="12039" max="12039" width="21.125" style="152" customWidth="1"/>
    <col min="12040" max="12040" width="12.5" style="152" customWidth="1"/>
    <col min="12041" max="12041" width="3.75" style="152" customWidth="1"/>
    <col min="12042" max="12042" width="12.5" style="152" customWidth="1"/>
    <col min="12043" max="12288" width="9" style="152"/>
    <col min="12289" max="12289" width="12.5" style="152" customWidth="1"/>
    <col min="12290" max="12294" width="3.75" style="152" customWidth="1"/>
    <col min="12295" max="12295" width="21.125" style="152" customWidth="1"/>
    <col min="12296" max="12296" width="12.5" style="152" customWidth="1"/>
    <col min="12297" max="12297" width="3.75" style="152" customWidth="1"/>
    <col min="12298" max="12298" width="12.5" style="152" customWidth="1"/>
    <col min="12299" max="12544" width="9" style="152"/>
    <col min="12545" max="12545" width="12.5" style="152" customWidth="1"/>
    <col min="12546" max="12550" width="3.75" style="152" customWidth="1"/>
    <col min="12551" max="12551" width="21.125" style="152" customWidth="1"/>
    <col min="12552" max="12552" width="12.5" style="152" customWidth="1"/>
    <col min="12553" max="12553" width="3.75" style="152" customWidth="1"/>
    <col min="12554" max="12554" width="12.5" style="152" customWidth="1"/>
    <col min="12555" max="12800" width="9" style="152"/>
    <col min="12801" max="12801" width="12.5" style="152" customWidth="1"/>
    <col min="12802" max="12806" width="3.75" style="152" customWidth="1"/>
    <col min="12807" max="12807" width="21.125" style="152" customWidth="1"/>
    <col min="12808" max="12808" width="12.5" style="152" customWidth="1"/>
    <col min="12809" max="12809" width="3.75" style="152" customWidth="1"/>
    <col min="12810" max="12810" width="12.5" style="152" customWidth="1"/>
    <col min="12811" max="13056" width="9" style="152"/>
    <col min="13057" max="13057" width="12.5" style="152" customWidth="1"/>
    <col min="13058" max="13062" width="3.75" style="152" customWidth="1"/>
    <col min="13063" max="13063" width="21.125" style="152" customWidth="1"/>
    <col min="13064" max="13064" width="12.5" style="152" customWidth="1"/>
    <col min="13065" max="13065" width="3.75" style="152" customWidth="1"/>
    <col min="13066" max="13066" width="12.5" style="152" customWidth="1"/>
    <col min="13067" max="13312" width="9" style="152"/>
    <col min="13313" max="13313" width="12.5" style="152" customWidth="1"/>
    <col min="13314" max="13318" width="3.75" style="152" customWidth="1"/>
    <col min="13319" max="13319" width="21.125" style="152" customWidth="1"/>
    <col min="13320" max="13320" width="12.5" style="152" customWidth="1"/>
    <col min="13321" max="13321" width="3.75" style="152" customWidth="1"/>
    <col min="13322" max="13322" width="12.5" style="152" customWidth="1"/>
    <col min="13323" max="13568" width="9" style="152"/>
    <col min="13569" max="13569" width="12.5" style="152" customWidth="1"/>
    <col min="13570" max="13574" width="3.75" style="152" customWidth="1"/>
    <col min="13575" max="13575" width="21.125" style="152" customWidth="1"/>
    <col min="13576" max="13576" width="12.5" style="152" customWidth="1"/>
    <col min="13577" max="13577" width="3.75" style="152" customWidth="1"/>
    <col min="13578" max="13578" width="12.5" style="152" customWidth="1"/>
    <col min="13579" max="13824" width="9" style="152"/>
    <col min="13825" max="13825" width="12.5" style="152" customWidth="1"/>
    <col min="13826" max="13830" width="3.75" style="152" customWidth="1"/>
    <col min="13831" max="13831" width="21.125" style="152" customWidth="1"/>
    <col min="13832" max="13832" width="12.5" style="152" customWidth="1"/>
    <col min="13833" max="13833" width="3.75" style="152" customWidth="1"/>
    <col min="13834" max="13834" width="12.5" style="152" customWidth="1"/>
    <col min="13835" max="14080" width="9" style="152"/>
    <col min="14081" max="14081" width="12.5" style="152" customWidth="1"/>
    <col min="14082" max="14086" width="3.75" style="152" customWidth="1"/>
    <col min="14087" max="14087" width="21.125" style="152" customWidth="1"/>
    <col min="14088" max="14088" width="12.5" style="152" customWidth="1"/>
    <col min="14089" max="14089" width="3.75" style="152" customWidth="1"/>
    <col min="14090" max="14090" width="12.5" style="152" customWidth="1"/>
    <col min="14091" max="14336" width="9" style="152"/>
    <col min="14337" max="14337" width="12.5" style="152" customWidth="1"/>
    <col min="14338" max="14342" width="3.75" style="152" customWidth="1"/>
    <col min="14343" max="14343" width="21.125" style="152" customWidth="1"/>
    <col min="14344" max="14344" width="12.5" style="152" customWidth="1"/>
    <col min="14345" max="14345" width="3.75" style="152" customWidth="1"/>
    <col min="14346" max="14346" width="12.5" style="152" customWidth="1"/>
    <col min="14347" max="14592" width="9" style="152"/>
    <col min="14593" max="14593" width="12.5" style="152" customWidth="1"/>
    <col min="14594" max="14598" width="3.75" style="152" customWidth="1"/>
    <col min="14599" max="14599" width="21.125" style="152" customWidth="1"/>
    <col min="14600" max="14600" width="12.5" style="152" customWidth="1"/>
    <col min="14601" max="14601" width="3.75" style="152" customWidth="1"/>
    <col min="14602" max="14602" width="12.5" style="152" customWidth="1"/>
    <col min="14603" max="14848" width="9" style="152"/>
    <col min="14849" max="14849" width="12.5" style="152" customWidth="1"/>
    <col min="14850" max="14854" width="3.75" style="152" customWidth="1"/>
    <col min="14855" max="14855" width="21.125" style="152" customWidth="1"/>
    <col min="14856" max="14856" width="12.5" style="152" customWidth="1"/>
    <col min="14857" max="14857" width="3.75" style="152" customWidth="1"/>
    <col min="14858" max="14858" width="12.5" style="152" customWidth="1"/>
    <col min="14859" max="15104" width="9" style="152"/>
    <col min="15105" max="15105" width="12.5" style="152" customWidth="1"/>
    <col min="15106" max="15110" width="3.75" style="152" customWidth="1"/>
    <col min="15111" max="15111" width="21.125" style="152" customWidth="1"/>
    <col min="15112" max="15112" width="12.5" style="152" customWidth="1"/>
    <col min="15113" max="15113" width="3.75" style="152" customWidth="1"/>
    <col min="15114" max="15114" width="12.5" style="152" customWidth="1"/>
    <col min="15115" max="15360" width="9" style="152"/>
    <col min="15361" max="15361" width="12.5" style="152" customWidth="1"/>
    <col min="15362" max="15366" width="3.75" style="152" customWidth="1"/>
    <col min="15367" max="15367" width="21.125" style="152" customWidth="1"/>
    <col min="15368" max="15368" width="12.5" style="152" customWidth="1"/>
    <col min="15369" max="15369" width="3.75" style="152" customWidth="1"/>
    <col min="15370" max="15370" width="12.5" style="152" customWidth="1"/>
    <col min="15371" max="15616" width="9" style="152"/>
    <col min="15617" max="15617" width="12.5" style="152" customWidth="1"/>
    <col min="15618" max="15622" width="3.75" style="152" customWidth="1"/>
    <col min="15623" max="15623" width="21.125" style="152" customWidth="1"/>
    <col min="15624" max="15624" width="12.5" style="152" customWidth="1"/>
    <col min="15625" max="15625" width="3.75" style="152" customWidth="1"/>
    <col min="15626" max="15626" width="12.5" style="152" customWidth="1"/>
    <col min="15627" max="15872" width="9" style="152"/>
    <col min="15873" max="15873" width="12.5" style="152" customWidth="1"/>
    <col min="15874" max="15878" width="3.75" style="152" customWidth="1"/>
    <col min="15879" max="15879" width="21.125" style="152" customWidth="1"/>
    <col min="15880" max="15880" width="12.5" style="152" customWidth="1"/>
    <col min="15881" max="15881" width="3.75" style="152" customWidth="1"/>
    <col min="15882" max="15882" width="12.5" style="152" customWidth="1"/>
    <col min="15883" max="16128" width="9" style="152"/>
    <col min="16129" max="16129" width="12.5" style="152" customWidth="1"/>
    <col min="16130" max="16134" width="3.75" style="152" customWidth="1"/>
    <col min="16135" max="16135" width="21.125" style="152" customWidth="1"/>
    <col min="16136" max="16136" width="12.5" style="152" customWidth="1"/>
    <col min="16137" max="16137" width="3.75" style="152" customWidth="1"/>
    <col min="16138" max="16138" width="12.5" style="152" customWidth="1"/>
    <col min="16139" max="16384" width="9" style="152"/>
  </cols>
  <sheetData>
    <row r="1" spans="1:10" ht="56.25" customHeight="1" thickBot="1">
      <c r="A1" s="249" t="s">
        <v>2469</v>
      </c>
      <c r="B1" s="250"/>
      <c r="C1" s="250"/>
      <c r="D1" s="250"/>
      <c r="E1" s="251"/>
    </row>
    <row r="2" spans="1:10">
      <c r="A2" s="152">
        <v>2026</v>
      </c>
      <c r="B2" s="152" t="s">
        <v>2470</v>
      </c>
      <c r="C2" s="152">
        <v>4</v>
      </c>
      <c r="D2" s="152" t="s">
        <v>2471</v>
      </c>
      <c r="E2" s="152">
        <v>7</v>
      </c>
      <c r="F2" s="152" t="s">
        <v>2472</v>
      </c>
      <c r="H2" s="152" t="s">
        <v>2473</v>
      </c>
      <c r="I2" s="152">
        <v>2</v>
      </c>
      <c r="J2" s="152" t="s">
        <v>2474</v>
      </c>
    </row>
    <row r="3" spans="1:10" ht="26.25" customHeight="1">
      <c r="A3" s="153" t="s">
        <v>2475</v>
      </c>
      <c r="B3" s="252" t="s">
        <v>2533</v>
      </c>
      <c r="C3" s="252"/>
      <c r="D3" s="252"/>
      <c r="E3" s="252"/>
      <c r="F3" s="252"/>
      <c r="G3" s="252"/>
      <c r="H3" s="252"/>
      <c r="I3" s="252"/>
      <c r="J3" s="252"/>
    </row>
    <row r="4" spans="1:10" ht="26.25" customHeight="1">
      <c r="A4" s="153" t="s">
        <v>2476</v>
      </c>
      <c r="B4" s="252" t="s">
        <v>2534</v>
      </c>
      <c r="C4" s="252"/>
      <c r="D4" s="252"/>
      <c r="E4" s="252"/>
      <c r="F4" s="252"/>
      <c r="G4" s="252"/>
      <c r="H4" s="252"/>
      <c r="I4" s="252"/>
      <c r="J4" s="252"/>
    </row>
    <row r="5" spans="1:10" ht="18.75" customHeight="1">
      <c r="A5" s="153" t="s">
        <v>2477</v>
      </c>
      <c r="B5" s="252" t="s">
        <v>2478</v>
      </c>
      <c r="C5" s="252"/>
      <c r="D5" s="252"/>
      <c r="E5" s="252"/>
      <c r="F5" s="252"/>
      <c r="G5" s="252"/>
      <c r="H5" s="252"/>
      <c r="I5" s="252"/>
      <c r="J5" s="252"/>
    </row>
    <row r="6" spans="1:10" ht="18.75" customHeight="1">
      <c r="A6" s="153" t="s">
        <v>2479</v>
      </c>
      <c r="B6" s="252" t="s">
        <v>2480</v>
      </c>
      <c r="C6" s="252"/>
      <c r="D6" s="252"/>
      <c r="E6" s="252"/>
      <c r="F6" s="252"/>
      <c r="G6" s="252"/>
      <c r="H6" s="252"/>
      <c r="I6" s="252"/>
      <c r="J6" s="252"/>
    </row>
    <row r="7" spans="1:10">
      <c r="A7" s="154"/>
      <c r="B7" s="154"/>
      <c r="C7" s="154"/>
      <c r="D7" s="154"/>
      <c r="E7" s="154"/>
      <c r="F7" s="154"/>
      <c r="G7" s="154"/>
      <c r="H7" s="154"/>
      <c r="I7" s="154"/>
      <c r="J7" s="154"/>
    </row>
    <row r="8" spans="1:10">
      <c r="A8" s="154" t="s">
        <v>2481</v>
      </c>
      <c r="B8" s="154"/>
      <c r="C8" s="154"/>
      <c r="D8" s="154"/>
      <c r="E8" s="154"/>
      <c r="F8" s="154"/>
      <c r="G8" s="154"/>
      <c r="H8" s="154"/>
      <c r="I8" s="154"/>
      <c r="J8" s="154"/>
    </row>
    <row r="9" spans="1:10" ht="26.25" customHeight="1">
      <c r="A9" s="248" t="s">
        <v>2819</v>
      </c>
      <c r="B9" s="248"/>
      <c r="C9" s="248"/>
      <c r="D9" s="248"/>
      <c r="E9" s="248"/>
      <c r="F9" s="248"/>
      <c r="G9" s="248"/>
      <c r="H9" s="248"/>
      <c r="I9" s="248"/>
      <c r="J9" s="248"/>
    </row>
    <row r="11" spans="1:10">
      <c r="A11" s="152" t="s">
        <v>2482</v>
      </c>
    </row>
    <row r="12" spans="1:10">
      <c r="A12" s="152" t="s">
        <v>2483</v>
      </c>
    </row>
    <row r="15" spans="1:10">
      <c r="A15" s="152" t="s">
        <v>2484</v>
      </c>
    </row>
    <row r="17" spans="1:10">
      <c r="A17" s="152" t="s">
        <v>2820</v>
      </c>
    </row>
    <row r="19" spans="1:10">
      <c r="A19" s="152" t="s">
        <v>2485</v>
      </c>
    </row>
    <row r="32" spans="1:10">
      <c r="C32" s="155"/>
      <c r="D32" s="155"/>
      <c r="E32" s="155"/>
      <c r="F32" s="155"/>
      <c r="G32" s="155"/>
      <c r="J32" s="155"/>
    </row>
    <row r="33" spans="1:9">
      <c r="A33" s="156"/>
      <c r="B33" s="156"/>
      <c r="H33" s="157" t="s">
        <v>2486</v>
      </c>
      <c r="I33" s="157"/>
    </row>
    <row r="37" spans="1:9">
      <c r="H37" s="152" t="s">
        <v>2487</v>
      </c>
    </row>
    <row r="38" spans="1:9">
      <c r="H38" s="152" t="s">
        <v>2488</v>
      </c>
    </row>
    <row r="39" spans="1:9">
      <c r="H39" s="152" t="s">
        <v>2489</v>
      </c>
    </row>
    <row r="40" spans="1:9">
      <c r="H40" s="152" t="s">
        <v>2490</v>
      </c>
    </row>
    <row r="41" spans="1:9">
      <c r="H41" s="152" t="s">
        <v>2491</v>
      </c>
    </row>
    <row r="42" spans="1:9">
      <c r="H42" s="152" t="s">
        <v>2492</v>
      </c>
    </row>
  </sheetData>
  <mergeCells count="6">
    <mergeCell ref="A9:J9"/>
    <mergeCell ref="A1:E1"/>
    <mergeCell ref="B3:J3"/>
    <mergeCell ref="B4:J4"/>
    <mergeCell ref="B5:J5"/>
    <mergeCell ref="B6:J6"/>
  </mergeCells>
  <phoneticPr fontId="2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読込</vt:lpstr>
      <vt:lpstr>仕入・売上</vt:lpstr>
      <vt:lpstr>KINTONE入力</vt:lpstr>
      <vt:lpstr>設定</vt:lpstr>
      <vt:lpstr>操作マニュアル</vt:lpstr>
      <vt:lpstr>製品データ</vt:lpstr>
      <vt:lpstr>部品データ</vt:lpstr>
      <vt:lpstr>入力依頼書</vt:lpstr>
      <vt:lpstr>FAX送付状</vt:lpstr>
      <vt:lpstr>FAX送付状!Print_Area</vt:lpstr>
      <vt:lpstr>入力依頼書!Print_Area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01429_yamamoto</cp:lastModifiedBy>
  <cp:lastPrinted>2026-04-09T01:30:39Z</cp:lastPrinted>
  <dcterms:created xsi:type="dcterms:W3CDTF">2025-12-18T05:38:08Z</dcterms:created>
  <dcterms:modified xsi:type="dcterms:W3CDTF">2026-04-09T01:55:56Z</dcterms:modified>
</cp:coreProperties>
</file>