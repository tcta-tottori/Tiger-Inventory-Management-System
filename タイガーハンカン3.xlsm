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429_yamamoto\Desktop\山本\タイガー\"/>
    </mc:Choice>
  </mc:AlternateContent>
  <xr:revisionPtr revIDLastSave="0" documentId="13_ncr:1_{E06D1154-78F7-42F7-8FC0-E04CD2A9C74C}" xr6:coauthVersionLast="47" xr6:coauthVersionMax="47" xr10:uidLastSave="{00000000-0000-0000-0000-000000000000}"/>
  <bookViews>
    <workbookView xWindow="-28920" yWindow="-120" windowWidth="29040" windowHeight="15720" activeTab="3" xr2:uid="{00000000-000D-0000-FFFF-FFFF00000000}"/>
  </bookViews>
  <sheets>
    <sheet name="設定" sheetId="1" r:id="rId1"/>
    <sheet name="操作マニュアル" sheetId="2" r:id="rId2"/>
    <sheet name="連絡票用" sheetId="3" r:id="rId3"/>
    <sheet name="ハンカン確定注文" sheetId="4" r:id="rId4"/>
    <sheet name="個装箱,部品" sheetId="5" r:id="rId5"/>
    <sheet name="コード" sheetId="6" r:id="rId6"/>
  </sheets>
  <definedNames>
    <definedName name="_xlnm._FilterDatabase" localSheetId="5" hidden="1">コード!$A$1:$K$163</definedName>
    <definedName name="_xlnm._FilterDatabase" localSheetId="3" hidden="1">ハンカン確定注文!$A$12:$S$52</definedName>
    <definedName name="_xlnm._FilterDatabase" localSheetId="4" hidden="1">'個装箱,部品'!$A$11:$V$88</definedName>
    <definedName name="_xlnm._FilterDatabase" localSheetId="2" hidden="1">連絡票用!$G$4:$J$56</definedName>
  </definedNames>
  <calcPr calcId="191029"/>
</workbook>
</file>

<file path=xl/calcChain.xml><?xml version="1.0" encoding="utf-8"?>
<calcChain xmlns="http://schemas.openxmlformats.org/spreadsheetml/2006/main">
  <c r="A41" i="6" l="1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P35" i="5"/>
  <c r="C35" i="5"/>
  <c r="P34" i="5"/>
  <c r="C34" i="5"/>
  <c r="P33" i="5"/>
  <c r="C33" i="5"/>
  <c r="P32" i="5"/>
  <c r="C32" i="5"/>
  <c r="P31" i="5"/>
  <c r="R31" i="5" s="1"/>
  <c r="C31" i="5"/>
  <c r="P30" i="5"/>
  <c r="C30" i="5"/>
  <c r="P29" i="5"/>
  <c r="C29" i="5"/>
  <c r="P28" i="5"/>
  <c r="C28" i="5"/>
  <c r="P27" i="5"/>
  <c r="R27" i="5" s="1"/>
  <c r="C27" i="5"/>
  <c r="P26" i="5"/>
  <c r="R26" i="5" s="1"/>
  <c r="C26" i="5"/>
  <c r="P25" i="5"/>
  <c r="C25" i="5"/>
  <c r="P24" i="5"/>
  <c r="C24" i="5"/>
  <c r="P23" i="5"/>
  <c r="C23" i="5"/>
  <c r="P22" i="5"/>
  <c r="R22" i="5" s="1"/>
  <c r="C22" i="5"/>
  <c r="P21" i="5"/>
  <c r="Q21" i="5" s="1"/>
  <c r="C21" i="5"/>
  <c r="P20" i="5"/>
  <c r="R20" i="5" s="1"/>
  <c r="C20" i="5"/>
  <c r="P19" i="5"/>
  <c r="C19" i="5"/>
  <c r="P18" i="5"/>
  <c r="C18" i="5"/>
  <c r="P17" i="5"/>
  <c r="C17" i="5"/>
  <c r="P16" i="5"/>
  <c r="R16" i="5" s="1"/>
  <c r="C16" i="5"/>
  <c r="P15" i="5"/>
  <c r="R15" i="5" s="1"/>
  <c r="C15" i="5"/>
  <c r="P14" i="5"/>
  <c r="C14" i="5"/>
  <c r="P13" i="5"/>
  <c r="C13" i="5"/>
  <c r="P12" i="5"/>
  <c r="R12" i="5" s="1"/>
  <c r="C12" i="5"/>
  <c r="L11" i="5"/>
  <c r="C4" i="5"/>
  <c r="C3" i="5"/>
  <c r="S52" i="4"/>
  <c r="R52" i="4"/>
  <c r="A52" i="4"/>
  <c r="S51" i="4"/>
  <c r="A51" i="4"/>
  <c r="S50" i="4"/>
  <c r="A50" i="4"/>
  <c r="S49" i="4"/>
  <c r="A49" i="4"/>
  <c r="S48" i="4"/>
  <c r="A48" i="4"/>
  <c r="T47" i="4"/>
  <c r="S47" i="4"/>
  <c r="A47" i="4"/>
  <c r="T46" i="4"/>
  <c r="S46" i="4"/>
  <c r="R46" i="4"/>
  <c r="A46" i="4"/>
  <c r="T45" i="4"/>
  <c r="S45" i="4"/>
  <c r="R45" i="4"/>
  <c r="A45" i="4"/>
  <c r="T44" i="4"/>
  <c r="S44" i="4"/>
  <c r="R44" i="4"/>
  <c r="A44" i="4"/>
  <c r="T43" i="4"/>
  <c r="S43" i="4"/>
  <c r="A43" i="4"/>
  <c r="T42" i="4"/>
  <c r="S42" i="4"/>
  <c r="A42" i="4"/>
  <c r="T41" i="4"/>
  <c r="S41" i="4"/>
  <c r="A41" i="4"/>
  <c r="T40" i="4"/>
  <c r="S40" i="4"/>
  <c r="A40" i="4"/>
  <c r="T39" i="4"/>
  <c r="S39" i="4"/>
  <c r="A39" i="4"/>
  <c r="T38" i="4"/>
  <c r="S38" i="4"/>
  <c r="R38" i="4"/>
  <c r="A38" i="4"/>
  <c r="T37" i="4"/>
  <c r="S37" i="4"/>
  <c r="A37" i="4"/>
  <c r="T36" i="4"/>
  <c r="S36" i="4"/>
  <c r="A36" i="4"/>
  <c r="T35" i="4"/>
  <c r="S35" i="4"/>
  <c r="A35" i="4"/>
  <c r="T34" i="4"/>
  <c r="S34" i="4"/>
  <c r="A34" i="4"/>
  <c r="T33" i="4"/>
  <c r="S33" i="4"/>
  <c r="A33" i="4"/>
  <c r="T32" i="4"/>
  <c r="S32" i="4"/>
  <c r="R32" i="4"/>
  <c r="A32" i="4"/>
  <c r="T31" i="4"/>
  <c r="S31" i="4"/>
  <c r="A31" i="4"/>
  <c r="T30" i="4"/>
  <c r="S30" i="4"/>
  <c r="R30" i="4"/>
  <c r="A30" i="4"/>
  <c r="T29" i="4"/>
  <c r="S29" i="4"/>
  <c r="A29" i="4"/>
  <c r="T28" i="4"/>
  <c r="S28" i="4"/>
  <c r="R28" i="4"/>
  <c r="A28" i="4"/>
  <c r="T27" i="4"/>
  <c r="S27" i="4"/>
  <c r="A27" i="4"/>
  <c r="T26" i="4"/>
  <c r="S26" i="4"/>
  <c r="O26" i="4"/>
  <c r="R26" i="4"/>
  <c r="A26" i="4"/>
  <c r="T25" i="4"/>
  <c r="S25" i="4"/>
  <c r="A25" i="4"/>
  <c r="T24" i="4"/>
  <c r="S24" i="4"/>
  <c r="A24" i="4"/>
  <c r="T23" i="4"/>
  <c r="S23" i="4"/>
  <c r="A23" i="4"/>
  <c r="T22" i="4"/>
  <c r="S22" i="4"/>
  <c r="R22" i="4"/>
  <c r="A22" i="4"/>
  <c r="T21" i="4"/>
  <c r="S21" i="4"/>
  <c r="A21" i="4"/>
  <c r="T20" i="4"/>
  <c r="S20" i="4"/>
  <c r="R20" i="4"/>
  <c r="A20" i="4"/>
  <c r="T19" i="4"/>
  <c r="S19" i="4"/>
  <c r="A19" i="4"/>
  <c r="T18" i="4"/>
  <c r="S18" i="4"/>
  <c r="R18" i="4"/>
  <c r="A18" i="4"/>
  <c r="T17" i="4"/>
  <c r="S17" i="4"/>
  <c r="A17" i="4"/>
  <c r="T16" i="4"/>
  <c r="S16" i="4"/>
  <c r="A16" i="4"/>
  <c r="T15" i="4"/>
  <c r="S15" i="4"/>
  <c r="A15" i="4"/>
  <c r="T14" i="4"/>
  <c r="S14" i="4"/>
  <c r="A14" i="4"/>
  <c r="T13" i="4"/>
  <c r="S13" i="4"/>
  <c r="A13" i="4"/>
  <c r="M12" i="4"/>
  <c r="L12" i="4"/>
  <c r="K12" i="4"/>
  <c r="I12" i="4"/>
  <c r="H12" i="4"/>
  <c r="G12" i="4"/>
  <c r="N12" i="4"/>
  <c r="D5" i="4"/>
  <c r="D4" i="4"/>
  <c r="D3" i="4"/>
  <c r="A110" i="3"/>
  <c r="A109" i="3"/>
  <c r="A108" i="3"/>
  <c r="A107" i="3"/>
  <c r="A106" i="3"/>
  <c r="D106" i="3" s="1"/>
  <c r="A105" i="3"/>
  <c r="D105" i="3" s="1"/>
  <c r="A104" i="3"/>
  <c r="D104" i="3" s="1"/>
  <c r="A103" i="3"/>
  <c r="D103" i="3" s="1"/>
  <c r="A102" i="3"/>
  <c r="D102" i="3" s="1"/>
  <c r="A101" i="3"/>
  <c r="D101" i="3" s="1"/>
  <c r="A100" i="3"/>
  <c r="D100" i="3" s="1"/>
  <c r="A99" i="3"/>
  <c r="D99" i="3" s="1"/>
  <c r="A98" i="3"/>
  <c r="D98" i="3" s="1"/>
  <c r="A97" i="3"/>
  <c r="D97" i="3" s="1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D64" i="3" s="1"/>
  <c r="E63" i="3"/>
  <c r="D63" i="3"/>
  <c r="A62" i="3"/>
  <c r="D62" i="3" s="1"/>
  <c r="A61" i="3"/>
  <c r="D61" i="3" s="1"/>
  <c r="A60" i="3"/>
  <c r="D60" i="3" s="1"/>
  <c r="A59" i="3"/>
  <c r="D59" i="3" s="1"/>
  <c r="A58" i="3"/>
  <c r="D58" i="3" s="1"/>
  <c r="A57" i="3"/>
  <c r="D57" i="3" s="1"/>
  <c r="D56" i="3"/>
  <c r="E55" i="3"/>
  <c r="E112" i="3" s="1"/>
  <c r="A55" i="3"/>
  <c r="D55" i="3" s="1"/>
  <c r="A54" i="3"/>
  <c r="D54" i="3" s="1"/>
  <c r="A53" i="3"/>
  <c r="D53" i="3" s="1"/>
  <c r="A52" i="3"/>
  <c r="D52" i="3" s="1"/>
  <c r="A51" i="3"/>
  <c r="D51" i="3" s="1"/>
  <c r="A50" i="3"/>
  <c r="D50" i="3" s="1"/>
  <c r="A49" i="3"/>
  <c r="D49" i="3" s="1"/>
  <c r="A48" i="3"/>
  <c r="D48" i="3" s="1"/>
  <c r="A47" i="3"/>
  <c r="D47" i="3" s="1"/>
  <c r="A46" i="3"/>
  <c r="D46" i="3" s="1"/>
  <c r="A45" i="3"/>
  <c r="D45" i="3" s="1"/>
  <c r="A44" i="3"/>
  <c r="D44" i="3" s="1"/>
  <c r="A43" i="3"/>
  <c r="D43" i="3" s="1"/>
  <c r="A42" i="3"/>
  <c r="D42" i="3" s="1"/>
  <c r="A41" i="3"/>
  <c r="D41" i="3" s="1"/>
  <c r="A40" i="3"/>
  <c r="D40" i="3" s="1"/>
  <c r="A39" i="3"/>
  <c r="D39" i="3" s="1"/>
  <c r="A38" i="3"/>
  <c r="D38" i="3" s="1"/>
  <c r="A37" i="3"/>
  <c r="D37" i="3" s="1"/>
  <c r="A36" i="3"/>
  <c r="D36" i="3" s="1"/>
  <c r="A35" i="3"/>
  <c r="D35" i="3" s="1"/>
  <c r="A34" i="3"/>
  <c r="D34" i="3" s="1"/>
  <c r="A33" i="3"/>
  <c r="D33" i="3" s="1"/>
  <c r="A32" i="3"/>
  <c r="D32" i="3" s="1"/>
  <c r="A31" i="3"/>
  <c r="D31" i="3" s="1"/>
  <c r="A30" i="3"/>
  <c r="D30" i="3" s="1"/>
  <c r="A29" i="3"/>
  <c r="D29" i="3" s="1"/>
  <c r="A28" i="3"/>
  <c r="D28" i="3" s="1"/>
  <c r="A27" i="3"/>
  <c r="D27" i="3" s="1"/>
  <c r="A26" i="3"/>
  <c r="D26" i="3" s="1"/>
  <c r="A25" i="3"/>
  <c r="D25" i="3" s="1"/>
  <c r="A24" i="3"/>
  <c r="D24" i="3" s="1"/>
  <c r="A23" i="3"/>
  <c r="D23" i="3" s="1"/>
  <c r="A22" i="3"/>
  <c r="D22" i="3" s="1"/>
  <c r="A21" i="3"/>
  <c r="D21" i="3" s="1"/>
  <c r="A20" i="3"/>
  <c r="D20" i="3" s="1"/>
  <c r="A19" i="3"/>
  <c r="D19" i="3" s="1"/>
  <c r="A18" i="3"/>
  <c r="D18" i="3" s="1"/>
  <c r="A17" i="3"/>
  <c r="D17" i="3" s="1"/>
  <c r="A16" i="3"/>
  <c r="D16" i="3" s="1"/>
  <c r="A15" i="3"/>
  <c r="D15" i="3" s="1"/>
  <c r="A14" i="3"/>
  <c r="D14" i="3" s="1"/>
  <c r="A13" i="3"/>
  <c r="D13" i="3" s="1"/>
  <c r="A12" i="3"/>
  <c r="D12" i="3" s="1"/>
  <c r="A11" i="3"/>
  <c r="D11" i="3" s="1"/>
  <c r="A10" i="3"/>
  <c r="D10" i="3" s="1"/>
  <c r="A9" i="3"/>
  <c r="D9" i="3" s="1"/>
  <c r="A8" i="3"/>
  <c r="D8" i="3" s="1"/>
  <c r="A7" i="3"/>
  <c r="D7" i="3" s="1"/>
  <c r="A6" i="3"/>
  <c r="D6" i="3" s="1"/>
  <c r="A5" i="3"/>
  <c r="D5" i="3" s="1"/>
  <c r="D67" i="3" l="1"/>
  <c r="D66" i="3"/>
  <c r="D71" i="3"/>
  <c r="D75" i="3"/>
  <c r="D79" i="3"/>
  <c r="D83" i="3"/>
  <c r="D87" i="3"/>
  <c r="D91" i="3"/>
  <c r="D95" i="3"/>
  <c r="E19" i="4"/>
  <c r="E25" i="4"/>
  <c r="E27" i="4"/>
  <c r="E34" i="4"/>
  <c r="E38" i="4"/>
  <c r="E39" i="4"/>
  <c r="E49" i="4"/>
  <c r="E51" i="4"/>
  <c r="D69" i="3"/>
  <c r="D77" i="3"/>
  <c r="D85" i="3"/>
  <c r="D93" i="3"/>
  <c r="D109" i="3"/>
  <c r="D90" i="3"/>
  <c r="D72" i="3"/>
  <c r="D80" i="3"/>
  <c r="D94" i="3"/>
  <c r="E17" i="4"/>
  <c r="E42" i="4"/>
  <c r="D107" i="3"/>
  <c r="D110" i="3"/>
  <c r="E16" i="4"/>
  <c r="E23" i="4"/>
  <c r="E30" i="4"/>
  <c r="E31" i="4"/>
  <c r="E36" i="4"/>
  <c r="E41" i="4"/>
  <c r="E48" i="4"/>
  <c r="E50" i="4"/>
  <c r="E52" i="4"/>
  <c r="D74" i="3"/>
  <c r="D82" i="3"/>
  <c r="D86" i="3"/>
  <c r="D89" i="3"/>
  <c r="D96" i="3"/>
  <c r="D108" i="3"/>
  <c r="E21" i="4"/>
  <c r="E44" i="4"/>
  <c r="E45" i="4"/>
  <c r="D70" i="3"/>
  <c r="D73" i="3"/>
  <c r="D76" i="3"/>
  <c r="D88" i="3"/>
  <c r="E15" i="4"/>
  <c r="E26" i="4"/>
  <c r="E28" i="4"/>
  <c r="E29" i="4"/>
  <c r="E35" i="4"/>
  <c r="E40" i="4"/>
  <c r="D65" i="3"/>
  <c r="D68" i="3"/>
  <c r="D78" i="3"/>
  <c r="D81" i="3"/>
  <c r="D84" i="3"/>
  <c r="D92" i="3"/>
  <c r="E13" i="4"/>
  <c r="E18" i="4"/>
  <c r="E20" i="4"/>
  <c r="E22" i="4"/>
  <c r="E24" i="4"/>
  <c r="E32" i="4"/>
  <c r="E33" i="4"/>
  <c r="E37" i="4"/>
  <c r="E43" i="4"/>
  <c r="E46" i="4"/>
  <c r="E47" i="4"/>
  <c r="F53" i="5"/>
  <c r="E53" i="5" s="1"/>
  <c r="F77" i="5"/>
  <c r="E77" i="5" s="1"/>
  <c r="F57" i="5"/>
  <c r="E57" i="5" s="1"/>
  <c r="F69" i="5"/>
  <c r="E69" i="5" s="1"/>
  <c r="F81" i="5"/>
  <c r="E81" i="5" s="1"/>
  <c r="F51" i="5"/>
  <c r="E51" i="5" s="1"/>
  <c r="F55" i="5"/>
  <c r="E55" i="5" s="1"/>
  <c r="F59" i="5"/>
  <c r="E59" i="5" s="1"/>
  <c r="F63" i="5"/>
  <c r="E63" i="5" s="1"/>
  <c r="F67" i="5"/>
  <c r="E67" i="5" s="1"/>
  <c r="F71" i="5"/>
  <c r="E71" i="5" s="1"/>
  <c r="F75" i="5"/>
  <c r="E75" i="5" s="1"/>
  <c r="F79" i="5"/>
  <c r="E79" i="5" s="1"/>
  <c r="F83" i="5"/>
  <c r="E83" i="5" s="1"/>
  <c r="F87" i="5"/>
  <c r="E87" i="5" s="1"/>
  <c r="F49" i="5"/>
  <c r="E49" i="5" s="1"/>
  <c r="F61" i="5"/>
  <c r="E61" i="5" s="1"/>
  <c r="F65" i="5"/>
  <c r="E65" i="5" s="1"/>
  <c r="F73" i="5"/>
  <c r="E73" i="5" s="1"/>
  <c r="F85" i="5"/>
  <c r="E85" i="5" s="1"/>
  <c r="F50" i="5"/>
  <c r="E50" i="5" s="1"/>
  <c r="F54" i="5"/>
  <c r="E54" i="5" s="1"/>
  <c r="F58" i="5"/>
  <c r="E58" i="5" s="1"/>
  <c r="F62" i="5"/>
  <c r="E62" i="5" s="1"/>
  <c r="F66" i="5"/>
  <c r="E66" i="5" s="1"/>
  <c r="F70" i="5"/>
  <c r="E70" i="5" s="1"/>
  <c r="F74" i="5"/>
  <c r="E74" i="5" s="1"/>
  <c r="F78" i="5"/>
  <c r="E78" i="5" s="1"/>
  <c r="F82" i="5"/>
  <c r="E82" i="5" s="1"/>
  <c r="F86" i="5"/>
  <c r="E86" i="5" s="1"/>
  <c r="F52" i="5"/>
  <c r="E52" i="5" s="1"/>
  <c r="F56" i="5"/>
  <c r="E56" i="5" s="1"/>
  <c r="F60" i="5"/>
  <c r="E60" i="5" s="1"/>
  <c r="F64" i="5"/>
  <c r="E64" i="5" s="1"/>
  <c r="F68" i="5"/>
  <c r="E68" i="5" s="1"/>
  <c r="F72" i="5"/>
  <c r="E72" i="5" s="1"/>
  <c r="F76" i="5"/>
  <c r="E76" i="5" s="1"/>
  <c r="F80" i="5"/>
  <c r="E80" i="5" s="1"/>
  <c r="F84" i="5"/>
  <c r="E84" i="5" s="1"/>
  <c r="F88" i="5"/>
  <c r="E88" i="5" s="1"/>
  <c r="Q31" i="5"/>
  <c r="Q12" i="5"/>
  <c r="Q26" i="5"/>
  <c r="Q27" i="5"/>
  <c r="R21" i="5"/>
  <c r="Q16" i="5"/>
  <c r="R35" i="4"/>
  <c r="R43" i="4"/>
  <c r="R27" i="4"/>
  <c r="R49" i="4"/>
  <c r="J45" i="3"/>
  <c r="J41" i="3"/>
  <c r="J37" i="3"/>
  <c r="J33" i="3"/>
  <c r="J29" i="3"/>
  <c r="J25" i="3"/>
  <c r="J21" i="3"/>
  <c r="J17" i="3"/>
  <c r="J13" i="3"/>
  <c r="J9" i="3"/>
  <c r="J5" i="3"/>
  <c r="J34" i="3"/>
  <c r="J26" i="3"/>
  <c r="J18" i="3"/>
  <c r="J10" i="3"/>
  <c r="J7" i="3"/>
  <c r="J43" i="3"/>
  <c r="J40" i="3"/>
  <c r="J35" i="3"/>
  <c r="J32" i="3"/>
  <c r="J27" i="3"/>
  <c r="J24" i="3"/>
  <c r="J19" i="3"/>
  <c r="J16" i="3"/>
  <c r="J11" i="3"/>
  <c r="J8" i="3"/>
  <c r="J46" i="3"/>
  <c r="J38" i="3"/>
  <c r="J30" i="3"/>
  <c r="J22" i="3"/>
  <c r="J6" i="3"/>
  <c r="J47" i="3"/>
  <c r="J44" i="3"/>
  <c r="J39" i="3"/>
  <c r="J36" i="3"/>
  <c r="J31" i="3"/>
  <c r="J28" i="3"/>
  <c r="J23" i="3"/>
  <c r="J20" i="3"/>
  <c r="J15" i="3"/>
  <c r="R33" i="4"/>
  <c r="R29" i="4"/>
  <c r="R31" i="4"/>
  <c r="R15" i="4"/>
  <c r="R39" i="4"/>
  <c r="R23" i="5"/>
  <c r="Q23" i="5"/>
  <c r="R17" i="4"/>
  <c r="R25" i="4"/>
  <c r="R34" i="4"/>
  <c r="R50" i="4"/>
  <c r="R51" i="4"/>
  <c r="R19" i="4"/>
  <c r="R37" i="4"/>
  <c r="R47" i="4"/>
  <c r="R23" i="4"/>
  <c r="R13" i="4"/>
  <c r="E14" i="4"/>
  <c r="R16" i="4"/>
  <c r="R21" i="4"/>
  <c r="R24" i="4"/>
  <c r="R36" i="4"/>
  <c r="R41" i="4"/>
  <c r="R42" i="4"/>
  <c r="K11" i="5"/>
  <c r="G11" i="5"/>
  <c r="J11" i="5"/>
  <c r="F11" i="5"/>
  <c r="M11" i="5"/>
  <c r="J12" i="4"/>
  <c r="H11" i="5"/>
  <c r="R14" i="5"/>
  <c r="Q14" i="5"/>
  <c r="Q15" i="5"/>
  <c r="Q24" i="5"/>
  <c r="R24" i="5"/>
  <c r="R40" i="4"/>
  <c r="R48" i="4"/>
  <c r="I11" i="5"/>
  <c r="R13" i="5"/>
  <c r="R17" i="5"/>
  <c r="Q20" i="5"/>
  <c r="R35" i="5"/>
  <c r="Q35" i="5"/>
  <c r="Q13" i="5"/>
  <c r="Q17" i="5"/>
  <c r="Q28" i="5"/>
  <c r="R28" i="5"/>
  <c r="Q32" i="5"/>
  <c r="R32" i="5"/>
  <c r="E65" i="3" l="1"/>
  <c r="E66" i="3"/>
  <c r="J48" i="3"/>
  <c r="J42" i="3"/>
  <c r="J14" i="3"/>
  <c r="J12" i="3"/>
  <c r="E86" i="3"/>
  <c r="E101" i="3"/>
  <c r="J52" i="3" s="1"/>
  <c r="E69" i="3"/>
  <c r="E96" i="3"/>
  <c r="E80" i="3"/>
  <c r="E110" i="3"/>
  <c r="E74" i="3"/>
  <c r="E81" i="3"/>
  <c r="E103" i="3"/>
  <c r="J54" i="3" s="1"/>
  <c r="E87" i="3"/>
  <c r="E71" i="3"/>
  <c r="E78" i="3"/>
  <c r="E93" i="3"/>
  <c r="E108" i="3"/>
  <c r="E92" i="3"/>
  <c r="E76" i="3"/>
  <c r="E98" i="3"/>
  <c r="J49" i="3" s="1"/>
  <c r="E109" i="3"/>
  <c r="E73" i="3"/>
  <c r="E99" i="3"/>
  <c r="J50" i="3" s="1"/>
  <c r="E83" i="3"/>
  <c r="E67" i="3"/>
  <c r="E106" i="3"/>
  <c r="E70" i="3"/>
  <c r="E85" i="3"/>
  <c r="E104" i="3"/>
  <c r="J55" i="3" s="1"/>
  <c r="E88" i="3"/>
  <c r="E72" i="3"/>
  <c r="E90" i="3"/>
  <c r="E97" i="3"/>
  <c r="E95" i="3"/>
  <c r="E79" i="3"/>
  <c r="E102" i="3"/>
  <c r="J53" i="3" s="1"/>
  <c r="E94" i="3"/>
  <c r="E105" i="3"/>
  <c r="J56" i="3" s="1"/>
  <c r="E77" i="3"/>
  <c r="E100" i="3"/>
  <c r="J51" i="3" s="1"/>
  <c r="E84" i="3"/>
  <c r="E68" i="3"/>
  <c r="E82" i="3"/>
  <c r="E89" i="3"/>
  <c r="E107" i="3"/>
  <c r="E91" i="3"/>
  <c r="E75" i="3"/>
  <c r="Q25" i="5"/>
  <c r="R25" i="5"/>
  <c r="D40" i="5"/>
  <c r="P40" i="5"/>
  <c r="Q40" i="5" s="1"/>
  <c r="Q34" i="5"/>
  <c r="R34" i="5"/>
  <c r="D39" i="5"/>
  <c r="P39" i="5"/>
  <c r="Q39" i="5" s="1"/>
  <c r="R29" i="5"/>
  <c r="Q29" i="5"/>
  <c r="P46" i="5"/>
  <c r="Q46" i="5" s="1"/>
  <c r="D46" i="5"/>
  <c r="P45" i="5"/>
  <c r="Q45" i="5" s="1"/>
  <c r="D45" i="5"/>
  <c r="P38" i="5"/>
  <c r="Q38" i="5" s="1"/>
  <c r="D38" i="5"/>
  <c r="P41" i="5"/>
  <c r="Q41" i="5" s="1"/>
  <c r="D41" i="5"/>
  <c r="R18" i="5"/>
  <c r="Q18" i="5"/>
  <c r="R14" i="4"/>
  <c r="R33" i="5"/>
  <c r="Q33" i="5"/>
  <c r="Q30" i="5"/>
  <c r="R30" i="5"/>
  <c r="Q19" i="5"/>
  <c r="R19" i="5"/>
  <c r="D44" i="5"/>
  <c r="P44" i="5"/>
  <c r="Q44" i="5" s="1"/>
  <c r="P42" i="5"/>
  <c r="Q42" i="5" s="1"/>
  <c r="D42" i="5"/>
  <c r="D43" i="5"/>
  <c r="P43" i="5"/>
  <c r="Q43" i="5" s="1"/>
  <c r="R42" i="5" l="1"/>
  <c r="V42" i="5" s="1"/>
  <c r="U42" i="5"/>
  <c r="U39" i="5"/>
  <c r="R39" i="5"/>
  <c r="V39" i="5" s="1"/>
  <c r="R40" i="5"/>
  <c r="V40" i="5" s="1"/>
  <c r="U40" i="5"/>
  <c r="R38" i="5"/>
  <c r="V38" i="5" s="1"/>
  <c r="U38" i="5"/>
  <c r="R46" i="5"/>
  <c r="V46" i="5" s="1"/>
  <c r="U46" i="5"/>
  <c r="U43" i="5"/>
  <c r="R43" i="5"/>
  <c r="V43" i="5" s="1"/>
  <c r="R44" i="5"/>
  <c r="V44" i="5" s="1"/>
  <c r="U44" i="5"/>
  <c r="U41" i="5"/>
  <c r="R41" i="5"/>
  <c r="V41" i="5" s="1"/>
  <c r="U45" i="5"/>
  <c r="R45" i="5"/>
  <c r="V45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松竹 芳郎</author>
    <author>01429_yamamoto</author>
  </authors>
  <commentList>
    <comment ref="D25" authorId="0" shapeId="0" xr:uid="{7B6F5B82-4BA9-43E1-8714-72327008B73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600台を6月度
</t>
        </r>
      </text>
    </comment>
    <comment ref="W25" authorId="1" shapeId="0" xr:uid="{1D591828-497C-4039-A42E-E6BCD80E1E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4/7追加
</t>
        </r>
      </text>
    </comment>
  </commentList>
</comments>
</file>

<file path=xl/sharedStrings.xml><?xml version="1.0" encoding="utf-8"?>
<sst xmlns="http://schemas.openxmlformats.org/spreadsheetml/2006/main" count="1306" uniqueCount="659">
  <si>
    <t>設定項目</t>
  </si>
  <si>
    <t>設定名</t>
  </si>
  <si>
    <t>設定値</t>
  </si>
  <si>
    <t>参照元ファイルパス</t>
  </si>
  <si>
    <t>所要ファイルパス</t>
  </si>
  <si>
    <t>K:\00_全社共有\部材所要一覧表(結合なし).xlsm</t>
  </si>
  <si>
    <t>参照元シート名</t>
  </si>
  <si>
    <t>所要シート名</t>
  </si>
  <si>
    <t>最終更新日時</t>
  </si>
  <si>
    <t>更新結果</t>
  </si>
  <si>
    <t>自動更新設定</t>
  </si>
  <si>
    <t>開いた時に自動更新</t>
  </si>
  <si>
    <t>はい</t>
  </si>
  <si>
    <t>【タイガーハンカン在庫確認ファイル 操作マニュアル】</t>
  </si>
  <si>
    <t>■ 概要</t>
  </si>
  <si>
    <t>このファイルは、外部の「部材所要一覧表(結合なし).xlsm」からデータを取得して</t>
  </si>
  <si>
    <t>ハンカン製品の在庫状況を表示します。</t>
  </si>
  <si>
    <t>■ 自動更新機能</t>
  </si>
  <si>
    <t>・ファイルを開くと自動的にデータが更新されます。</t>
  </si>
  <si>
    <t>・設定シートの「開いた時に自動更新」を「いいえ」にすると無効化できます。</t>
  </si>
  <si>
    <t>■ 手動更新方法</t>
  </si>
  <si>
    <t>1. Alt + F8 を押して「Manual_Update」を実行</t>
  </si>
  <si>
    <t>2. または手動で追加したボタンをクリック</t>
  </si>
  <si>
    <t>■ シート構成</t>
  </si>
  <si>
    <t>・設定: ファイルパス等の設定を管理</t>
  </si>
  <si>
    <t>・操作マニュアル: 本シート（使い方の説明）</t>
  </si>
  <si>
    <t>・連絡票用: 連絡票作成用データ</t>
  </si>
  <si>
    <t>・ハンカン確定注文: 確定注文の在庫推移</t>
  </si>
  <si>
    <t>・個装箱,部品: 個装箱・部品の在庫推移</t>
  </si>
  <si>
    <t>・コード: コードマスタ</t>
  </si>
  <si>
    <t>■ トラブルシューティング</t>
  </si>
  <si>
    <t>Q: データが更新されない</t>
  </si>
  <si>
    <t>A: 設定シートの「所要ファイルパス」が正しいか確認してください。</t>
  </si>
  <si>
    <t xml:space="preserve">   ネットワークドライブにアクセスできるか確認してください。</t>
  </si>
  <si>
    <t>■ 設定変更方法</t>
  </si>
  <si>
    <t>設定シートのC列（設定値）を直接編集してください。</t>
  </si>
  <si>
    <t>品       番</t>
  </si>
  <si>
    <t>柄</t>
  </si>
  <si>
    <t>連絡票</t>
  </si>
  <si>
    <t>注文</t>
  </si>
  <si>
    <t>①　タイガージャーポット計画台数</t>
  </si>
  <si>
    <t>気高コード</t>
  </si>
  <si>
    <t>機種</t>
  </si>
  <si>
    <t>3月度</t>
  </si>
  <si>
    <t>PDN-A400</t>
  </si>
  <si>
    <t>CU</t>
  </si>
  <si>
    <t>2TG13002</t>
  </si>
  <si>
    <t>PDN-A500</t>
  </si>
  <si>
    <t>2TG13102</t>
  </si>
  <si>
    <t>PDR-G220</t>
  </si>
  <si>
    <t>WU</t>
  </si>
  <si>
    <t>2TG13602</t>
  </si>
  <si>
    <t>PDR-G300</t>
  </si>
  <si>
    <t>2TG13702</t>
  </si>
  <si>
    <t>PDR-G221</t>
  </si>
  <si>
    <t>W</t>
  </si>
  <si>
    <t>2TG13603</t>
  </si>
  <si>
    <t>PDR-G301</t>
  </si>
  <si>
    <t>2TG13708</t>
  </si>
  <si>
    <t>PDR-G401</t>
  </si>
  <si>
    <t>2TG13807</t>
  </si>
  <si>
    <t>PIE-A501</t>
  </si>
  <si>
    <t>K</t>
  </si>
  <si>
    <t>2TG14504</t>
  </si>
  <si>
    <t>PIG-J300</t>
  </si>
  <si>
    <t>2TG14404</t>
  </si>
  <si>
    <t>PIG-H300</t>
  </si>
  <si>
    <t>2TG14407</t>
  </si>
  <si>
    <t>PIK-KS22</t>
  </si>
  <si>
    <t>PIL-A220</t>
  </si>
  <si>
    <t>2TG13202</t>
  </si>
  <si>
    <t>PIK-KS30</t>
  </si>
  <si>
    <t>PIL-A300</t>
  </si>
  <si>
    <t>2TG13302</t>
  </si>
  <si>
    <t>T</t>
  </si>
  <si>
    <t>PIP-22E6</t>
  </si>
  <si>
    <t>2TG15501</t>
  </si>
  <si>
    <t>PIP-30E6</t>
  </si>
  <si>
    <t>2TG15601</t>
  </si>
  <si>
    <t>PIL-T220</t>
  </si>
  <si>
    <t>WF</t>
  </si>
  <si>
    <t>PIP-G220</t>
  </si>
  <si>
    <t>WE</t>
  </si>
  <si>
    <t>2TG15503</t>
  </si>
  <si>
    <t>WO</t>
  </si>
  <si>
    <t>PIP-G300</t>
  </si>
  <si>
    <t>2TG15603</t>
  </si>
  <si>
    <t>GD</t>
  </si>
  <si>
    <t>PIQ-G220</t>
  </si>
  <si>
    <t>KC</t>
  </si>
  <si>
    <t>2TG15303</t>
  </si>
  <si>
    <t>PIQ-G300</t>
  </si>
  <si>
    <t>2TG15403</t>
  </si>
  <si>
    <t>PIP-A221</t>
  </si>
  <si>
    <t>R</t>
  </si>
  <si>
    <t>WC</t>
  </si>
  <si>
    <t>2TG15302</t>
  </si>
  <si>
    <t>PIP-A301</t>
  </si>
  <si>
    <t>2TG15402</t>
  </si>
  <si>
    <t>PIQ-N220</t>
  </si>
  <si>
    <t>2TG15304</t>
  </si>
  <si>
    <t>PIQ-N300</t>
  </si>
  <si>
    <t>2TG15404</t>
  </si>
  <si>
    <t>PIQ-A221</t>
  </si>
  <si>
    <t>PIS-22E6</t>
  </si>
  <si>
    <t>2TG15701</t>
  </si>
  <si>
    <t>PIQ-A301</t>
  </si>
  <si>
    <t>PIS-30E6</t>
  </si>
  <si>
    <t>2TG15801</t>
  </si>
  <si>
    <t>PIS-G220</t>
  </si>
  <si>
    <t>KE</t>
  </si>
  <si>
    <t>2TG15704</t>
  </si>
  <si>
    <t>PIS-G300</t>
  </si>
  <si>
    <t>2TG15804</t>
  </si>
  <si>
    <t>PIS-N220</t>
  </si>
  <si>
    <t>2TG15703</t>
  </si>
  <si>
    <t>PIS-N300</t>
  </si>
  <si>
    <t>2TG15803</t>
  </si>
  <si>
    <t>PIS-A22N</t>
  </si>
  <si>
    <t>PIS-A30N</t>
  </si>
  <si>
    <t>PIW-A220</t>
  </si>
  <si>
    <t>2TG14102</t>
  </si>
  <si>
    <t>PIW-A300</t>
  </si>
  <si>
    <t>2TG14202</t>
  </si>
  <si>
    <t>PIS-A221</t>
  </si>
  <si>
    <t>PTQ-A100</t>
  </si>
  <si>
    <t>RR</t>
  </si>
  <si>
    <t>2TG70101</t>
  </si>
  <si>
    <t>PIS-A301</t>
  </si>
  <si>
    <t>KO</t>
  </si>
  <si>
    <t>2TG70100</t>
  </si>
  <si>
    <t>HS</t>
  </si>
  <si>
    <t>2TG70102</t>
  </si>
  <si>
    <t>PDR+C40R</t>
  </si>
  <si>
    <t>WX</t>
  </si>
  <si>
    <t>2TG15900</t>
  </si>
  <si>
    <t>PDR+C30S</t>
  </si>
  <si>
    <t>2TG16001</t>
  </si>
  <si>
    <t>PDR+C40S</t>
  </si>
  <si>
    <t>2TG15901</t>
  </si>
  <si>
    <t>PDR+C30W</t>
  </si>
  <si>
    <t>2TG16002</t>
  </si>
  <si>
    <t>PDR+C40W</t>
  </si>
  <si>
    <t>2TG15902</t>
  </si>
  <si>
    <t>PIE+A40C</t>
  </si>
  <si>
    <t>3TG152A30010</t>
  </si>
  <si>
    <t>PIE+A40R</t>
  </si>
  <si>
    <t>3TG152A30000</t>
  </si>
  <si>
    <t>PIE+A50C</t>
  </si>
  <si>
    <t>3TG145A30020</t>
  </si>
  <si>
    <t>PIE+A50R</t>
  </si>
  <si>
    <t>3TG145A30010</t>
  </si>
  <si>
    <t>PIG+A30C</t>
  </si>
  <si>
    <t>3TG144A30010</t>
  </si>
  <si>
    <t>PIG+A30R</t>
  </si>
  <si>
    <t>3TG144A30020</t>
  </si>
  <si>
    <t>国内　計</t>
  </si>
  <si>
    <t>PIG+A40C</t>
  </si>
  <si>
    <t>3TG151A30010</t>
  </si>
  <si>
    <t>PIG+A40R</t>
  </si>
  <si>
    <t>3TG151A30000</t>
  </si>
  <si>
    <t>PDR+C30R</t>
  </si>
  <si>
    <t>PDR+S30R</t>
  </si>
  <si>
    <t>CX</t>
  </si>
  <si>
    <t>WUX</t>
  </si>
  <si>
    <t>PDR+S40R</t>
  </si>
  <si>
    <t>PDR+S30S</t>
  </si>
  <si>
    <t>CZ</t>
  </si>
  <si>
    <t>PDR+S40S</t>
  </si>
  <si>
    <t>PDR+S30W</t>
  </si>
  <si>
    <t>PDR+S40W</t>
  </si>
  <si>
    <t>PDU+A30A</t>
  </si>
  <si>
    <t>KZ</t>
  </si>
  <si>
    <t>PDU+A40A</t>
  </si>
  <si>
    <t>PDU+A50A</t>
  </si>
  <si>
    <t>PDU+A30C</t>
  </si>
  <si>
    <t>PDU+A40C</t>
  </si>
  <si>
    <t>PDU+A50C</t>
  </si>
  <si>
    <t>RZ</t>
  </si>
  <si>
    <t>PDU+A30R</t>
  </si>
  <si>
    <t>KX</t>
  </si>
  <si>
    <t>PDU+A40R</t>
  </si>
  <si>
    <t>PDU+A50R</t>
  </si>
  <si>
    <t>PDU+A30S</t>
  </si>
  <si>
    <t>PDU+A40S</t>
  </si>
  <si>
    <t>PDU+A50S</t>
  </si>
  <si>
    <t>PDU+A30U</t>
  </si>
  <si>
    <t>KY</t>
  </si>
  <si>
    <t>PDU+A40U</t>
  </si>
  <si>
    <t>PDU+A50U</t>
  </si>
  <si>
    <t>PDU+A40W</t>
  </si>
  <si>
    <t>PDU+A50W</t>
  </si>
  <si>
    <t>PDZ+A30U</t>
  </si>
  <si>
    <t>PDZ+A40C</t>
  </si>
  <si>
    <t>PDZ+A40U</t>
  </si>
  <si>
    <t>PDZ+A50C</t>
  </si>
  <si>
    <t>PDZ+A50U</t>
  </si>
  <si>
    <t>PVW+B30C</t>
  </si>
  <si>
    <t>CUZ</t>
  </si>
  <si>
    <t>PVW+B30R</t>
  </si>
  <si>
    <t>CUX</t>
  </si>
  <si>
    <t>PVW+B30S</t>
  </si>
  <si>
    <t>PVW+B30W</t>
  </si>
  <si>
    <t>海外　計</t>
  </si>
  <si>
    <t>合計</t>
  </si>
  <si>
    <t>手配先:</t>
  </si>
  <si>
    <t>気高</t>
  </si>
  <si>
    <t>タイガー</t>
  </si>
  <si>
    <t>発注日</t>
  </si>
  <si>
    <t>発注伝票No.</t>
  </si>
  <si>
    <t>納入日(ETA)</t>
  </si>
  <si>
    <t>品名</t>
  </si>
  <si>
    <t>納期:</t>
  </si>
  <si>
    <t>確定注文</t>
  </si>
  <si>
    <t>備考(気高):</t>
  </si>
  <si>
    <t>備考(ﾀｲｶﾞｰ):</t>
  </si>
  <si>
    <t>依頼部門:</t>
  </si>
  <si>
    <t>B0600</t>
  </si>
  <si>
    <t>科目:</t>
  </si>
  <si>
    <t>発注伝票No.(タイガー)</t>
  </si>
  <si>
    <t>400台以上→+10</t>
  </si>
  <si>
    <t>発注伝票No.(気高)</t>
  </si>
  <si>
    <t>品     番</t>
  </si>
  <si>
    <t>在庫</t>
  </si>
  <si>
    <t>800台以上→+20</t>
  </si>
  <si>
    <t>組立予定</t>
  </si>
  <si>
    <t>今日</t>
  </si>
  <si>
    <t>1ヶ月</t>
  </si>
  <si>
    <t>2ヶ月</t>
  </si>
  <si>
    <t>3ヶ月</t>
  </si>
  <si>
    <t>4ヶ月</t>
  </si>
  <si>
    <t>実在庫</t>
  </si>
  <si>
    <t>月度</t>
  </si>
  <si>
    <t>注文後在庫</t>
  </si>
  <si>
    <t>在庫目標</t>
  </si>
  <si>
    <t>月</t>
  </si>
  <si>
    <t>確定数</t>
  </si>
  <si>
    <t>修正,追加</t>
  </si>
  <si>
    <t>次回注文時＋20</t>
  </si>
  <si>
    <t>備考:</t>
  </si>
  <si>
    <t>P-25-0009</t>
  </si>
  <si>
    <t>P-25-0456</t>
  </si>
  <si>
    <t>最低注文数が1000の為、1000以上の40の倍数で注文をする。（個装箱1ｹｰｽ当たり40枚入り）</t>
  </si>
  <si>
    <t>所要なし時</t>
  </si>
  <si>
    <t>所要有時</t>
  </si>
  <si>
    <t>注文数</t>
  </si>
  <si>
    <t>使用機種</t>
  </si>
  <si>
    <t>ﾊﾝｶﾝ生産数</t>
  </si>
  <si>
    <t>在庫数</t>
  </si>
  <si>
    <t>追加,修正</t>
  </si>
  <si>
    <t>PDRS30RﾊｺX3C</t>
  </si>
  <si>
    <t>PDRS30SﾊｺZS1C</t>
  </si>
  <si>
    <t>PDRS30WﾊｺZW1C</t>
  </si>
  <si>
    <t>PDRS40RﾊｺX3C</t>
  </si>
  <si>
    <t>PDRS40SﾊｺZSC</t>
  </si>
  <si>
    <t>PDRS40WﾊｺZW1C</t>
  </si>
  <si>
    <t>PDU+A30Rﾊｺ</t>
  </si>
  <si>
    <t>PDUA30SﾊｺZS1K</t>
  </si>
  <si>
    <t>PDUA30UﾊｺY2K</t>
  </si>
  <si>
    <t>PDUA40AﾊｺZA1K</t>
  </si>
  <si>
    <t>PDUA40RﾊｺX2K</t>
  </si>
  <si>
    <t>PDU+A40Sﾊｺ</t>
  </si>
  <si>
    <t>PDUA40UﾊｺY2K</t>
  </si>
  <si>
    <t>PDUA40WﾊｺZW1K</t>
  </si>
  <si>
    <t>PDUA50AﾊｺZA1K</t>
  </si>
  <si>
    <t>PDUA50RﾊｺX3K</t>
  </si>
  <si>
    <t>PDUA50SﾊｺZS1K</t>
  </si>
  <si>
    <t>PDUA50UﾊｺY2K</t>
  </si>
  <si>
    <t>PDUA50WﾊｺZW1K</t>
  </si>
  <si>
    <t>PDZA30UﾊｺYK</t>
  </si>
  <si>
    <t>PDZA40UﾊｺYK</t>
  </si>
  <si>
    <t>PDZA50UﾊｺYK</t>
  </si>
  <si>
    <t>PDZA40CﾊｺZCK</t>
  </si>
  <si>
    <t>PDZA50CﾊｺZCK</t>
  </si>
  <si>
    <t>品番</t>
  </si>
  <si>
    <t>備考(発注ロット)</t>
  </si>
  <si>
    <t>使用数</t>
  </si>
  <si>
    <t>9/3注文時在庫</t>
  </si>
  <si>
    <t xml:space="preserve">差異(注文前) </t>
  </si>
  <si>
    <t xml:space="preserve">差異(注文後) </t>
  </si>
  <si>
    <t>PDUAｼﾀｸﾁｶﾊﾞｰXKCS</t>
  </si>
  <si>
    <t>3TG148P03700</t>
  </si>
  <si>
    <t>PDU全機種(入り数126)</t>
  </si>
  <si>
    <t>PDJS300ｽｲﾘｮｳｶﾊﾞｰ</t>
  </si>
  <si>
    <t>3TG115P07001</t>
  </si>
  <si>
    <t>PVW全機種(入り数520)</t>
  </si>
  <si>
    <t>PDNA電源BOXｶﾊﾞｰY</t>
  </si>
  <si>
    <t>3TG129P03501</t>
  </si>
  <si>
    <t>PDU-U(入り数160)</t>
  </si>
  <si>
    <t>PDNA電源BOXｶﾊﾞｰY1</t>
  </si>
  <si>
    <t>3TG129P03510</t>
  </si>
  <si>
    <t>PDU-U,PDZ-U以外(入り数160)</t>
  </si>
  <si>
    <t>PDNAﾃﾞﾝｹﾞﾝBOXｶﾊﾞｰY2</t>
  </si>
  <si>
    <t>3TG129P03503</t>
  </si>
  <si>
    <t>PDZ-U(入り数160)※いずれ共有</t>
  </si>
  <si>
    <t>PDUA30ｽｲﾘｮｳｶﾊﾞｰ</t>
  </si>
  <si>
    <t>3TG148P03600</t>
  </si>
  <si>
    <t>PDU,PDZ-A30全機種(入り数504)</t>
  </si>
  <si>
    <t>PDUA40ｽｲﾘｮｳｶﾊﾞｰ</t>
  </si>
  <si>
    <t>3TG149P03600</t>
  </si>
  <si>
    <t>PDU,PDZ-A40全機種(入り数384)</t>
  </si>
  <si>
    <t>PDUA50ｽｲﾘｮｳｶﾊﾞｰ</t>
  </si>
  <si>
    <t>3TG150P03600</t>
  </si>
  <si>
    <t>PDU,PDZ-A50全機種(入り数276)</t>
  </si>
  <si>
    <t>ﾄｸｼｭ ﾈｼﾞ WSFﾅ4x12CMﾋﾗW16ﾒｯｸ</t>
  </si>
  <si>
    <t>5SMX00640120SVC</t>
  </si>
  <si>
    <t>PDU-A50全機種員数2(入り数1000)</t>
  </si>
  <si>
    <t>種類</t>
  </si>
  <si>
    <t>タイガーコード</t>
  </si>
  <si>
    <t>新建高コード</t>
  </si>
  <si>
    <t>気高コード(旧)</t>
  </si>
  <si>
    <t>タイガーコード(旧)</t>
  </si>
  <si>
    <t xml:space="preserve">品名(旧) </t>
  </si>
  <si>
    <t>備考</t>
  </si>
  <si>
    <t>半完成品</t>
  </si>
  <si>
    <t>PDR1188</t>
  </si>
  <si>
    <t>0108230315</t>
  </si>
  <si>
    <t>3TG137A00100</t>
  </si>
  <si>
    <t>PDR1189</t>
  </si>
  <si>
    <t>3TG137A00110</t>
  </si>
  <si>
    <t>PDR1184</t>
  </si>
  <si>
    <t>0108230313</t>
  </si>
  <si>
    <t>3TG137A00120</t>
  </si>
  <si>
    <t>PDR1185</t>
  </si>
  <si>
    <t>0108230314</t>
  </si>
  <si>
    <t>3TG137A00130</t>
  </si>
  <si>
    <t>PDR1190</t>
  </si>
  <si>
    <t>0108240319</t>
  </si>
  <si>
    <t>3TG138A00100</t>
  </si>
  <si>
    <t>PDR1186</t>
  </si>
  <si>
    <t>0108240317</t>
  </si>
  <si>
    <t>3TG138A00110</t>
  </si>
  <si>
    <t>PDR1187</t>
  </si>
  <si>
    <t>0108240318</t>
  </si>
  <si>
    <t>3TG138A00120</t>
  </si>
  <si>
    <t>PDU1284</t>
  </si>
  <si>
    <t>0118230104</t>
  </si>
  <si>
    <t>3TG148A30010</t>
  </si>
  <si>
    <t>PDU1297</t>
  </si>
  <si>
    <t>0118230131</t>
  </si>
  <si>
    <t>3TG148A00230</t>
  </si>
  <si>
    <t>PDU1296</t>
  </si>
  <si>
    <t>0118230125</t>
  </si>
  <si>
    <t>3TG148A00200</t>
  </si>
  <si>
    <t>PDU1285</t>
  </si>
  <si>
    <t>0118230137</t>
  </si>
  <si>
    <t>3TG148A00240</t>
  </si>
  <si>
    <t>0118230128</t>
  </si>
  <si>
    <t>3TG148A00210</t>
  </si>
  <si>
    <t>PDU1301</t>
  </si>
  <si>
    <t>0118240141</t>
  </si>
  <si>
    <t>3TG149A00250</t>
  </si>
  <si>
    <t>PDU1288</t>
  </si>
  <si>
    <t>0118240132</t>
  </si>
  <si>
    <t>3TG149A00230</t>
  </si>
  <si>
    <t>PDU1300</t>
  </si>
  <si>
    <t>0118240126</t>
  </si>
  <si>
    <t>3TG149A00200</t>
  </si>
  <si>
    <t>PDU1291</t>
  </si>
  <si>
    <t>0118240138</t>
  </si>
  <si>
    <t>3TG149A00240</t>
  </si>
  <si>
    <t>PDU1287</t>
  </si>
  <si>
    <t>0118240129</t>
  </si>
  <si>
    <t>3TG149A00210</t>
  </si>
  <si>
    <t>PDU1290</t>
  </si>
  <si>
    <t>0118240135</t>
  </si>
  <si>
    <t>3TG149A00220</t>
  </si>
  <si>
    <t>PDU1303</t>
  </si>
  <si>
    <t>0118250142</t>
  </si>
  <si>
    <t>3TG150A00250</t>
  </si>
  <si>
    <t>PDU1302</t>
  </si>
  <si>
    <t>0118250133</t>
  </si>
  <si>
    <t>3TG150A00230</t>
  </si>
  <si>
    <t>PDU1292</t>
  </si>
  <si>
    <t>0118250127</t>
  </si>
  <si>
    <t>3TG150A00200</t>
  </si>
  <si>
    <t>PDU1295</t>
  </si>
  <si>
    <t>0118250139</t>
  </si>
  <si>
    <t>3TG150A00240</t>
  </si>
  <si>
    <t>PDU1293</t>
  </si>
  <si>
    <t>0118250130</t>
  </si>
  <si>
    <t>3TG150A00210</t>
  </si>
  <si>
    <t>PDU1294</t>
  </si>
  <si>
    <t>0118250136</t>
  </si>
  <si>
    <t>3TG150A00220</t>
  </si>
  <si>
    <t>PIE1156</t>
  </si>
  <si>
    <t>0116230105</t>
  </si>
  <si>
    <t>PIE1160</t>
  </si>
  <si>
    <t>0117250111</t>
  </si>
  <si>
    <t>PIE1158</t>
  </si>
  <si>
    <t>0117250110</t>
  </si>
  <si>
    <t>PIG1216</t>
  </si>
  <si>
    <t>0116230136</t>
  </si>
  <si>
    <t>PIG1214</t>
  </si>
  <si>
    <t>PIG1215</t>
  </si>
  <si>
    <t>0116240107</t>
  </si>
  <si>
    <t>PIG1217</t>
  </si>
  <si>
    <t>0116240106</t>
  </si>
  <si>
    <t>PVW1217</t>
  </si>
  <si>
    <t>0108230132</t>
  </si>
  <si>
    <t>3TG140A00310</t>
  </si>
  <si>
    <t>PVW1216</t>
  </si>
  <si>
    <t>0108230133</t>
  </si>
  <si>
    <t>3TG140A00300</t>
  </si>
  <si>
    <t>3TG140A30050</t>
  </si>
  <si>
    <t>PVW1218</t>
  </si>
  <si>
    <t>0108230135</t>
  </si>
  <si>
    <t>3TG140A00320</t>
  </si>
  <si>
    <t>PDZ1025</t>
  </si>
  <si>
    <t>3TG148A00260</t>
  </si>
  <si>
    <t>PDZ1028</t>
  </si>
  <si>
    <t>3TG149A00270</t>
  </si>
  <si>
    <t>PDZ1031</t>
  </si>
  <si>
    <t>3TG149A00260</t>
  </si>
  <si>
    <t>PEZ1034</t>
  </si>
  <si>
    <t>3TG150A00270</t>
  </si>
  <si>
    <t>PDZ1037</t>
  </si>
  <si>
    <t>3TG150A00260</t>
  </si>
  <si>
    <t>個装箱</t>
  </si>
  <si>
    <t>PDRS30RﾊｺX2C</t>
  </si>
  <si>
    <t>PDR1257</t>
  </si>
  <si>
    <t>3TG137K00802</t>
  </si>
  <si>
    <t>PDR1197</t>
  </si>
  <si>
    <t>PDRS30RﾊｺX1C</t>
  </si>
  <si>
    <t>PDR1257-</t>
  </si>
  <si>
    <t>3TG137K00803</t>
  </si>
  <si>
    <t>PDR1255</t>
  </si>
  <si>
    <t>3TG137K00821</t>
  </si>
  <si>
    <t>3TG137K00820</t>
  </si>
  <si>
    <t>PDR1146</t>
  </si>
  <si>
    <t>PDRS30Sﾊｺ</t>
  </si>
  <si>
    <t>PDR1259</t>
  </si>
  <si>
    <t>3TG137K00831</t>
  </si>
  <si>
    <t>PDR1168</t>
  </si>
  <si>
    <t>PDRS40RﾊｺX2C</t>
  </si>
  <si>
    <t>PDR1258</t>
  </si>
  <si>
    <t>3TG138K00802</t>
  </si>
  <si>
    <t>3TG138K00801</t>
  </si>
  <si>
    <t>PDR1199</t>
  </si>
  <si>
    <t>PDRS40RﾊｺX1C</t>
  </si>
  <si>
    <t>PDR1258-</t>
  </si>
  <si>
    <t>3TG138K00803</t>
  </si>
  <si>
    <t>PDR1151</t>
  </si>
  <si>
    <t>3TG138K00821</t>
  </si>
  <si>
    <t>3TG138K00820</t>
  </si>
  <si>
    <t>PDR1260</t>
  </si>
  <si>
    <t>3TG138K00831</t>
  </si>
  <si>
    <t>3TG138K00830</t>
  </si>
  <si>
    <t>PDR1153</t>
  </si>
  <si>
    <t>PDRS40WﾊｺZWC</t>
  </si>
  <si>
    <t>PDU1319</t>
  </si>
  <si>
    <t>PDU0000413</t>
  </si>
  <si>
    <t>3TG148K00302</t>
  </si>
  <si>
    <t>3TG148K00301</t>
  </si>
  <si>
    <t>PDU1385</t>
  </si>
  <si>
    <t>PDU0000425</t>
  </si>
  <si>
    <t>3TG148K00331</t>
  </si>
  <si>
    <t>3TG148K00330</t>
  </si>
  <si>
    <t>PDU1149</t>
  </si>
  <si>
    <t>PDU+A30Sﾊｺ</t>
  </si>
  <si>
    <t>PDU1372</t>
  </si>
  <si>
    <t>PDU0000416</t>
  </si>
  <si>
    <t>3TG148K00312</t>
  </si>
  <si>
    <t>3TG148K00311</t>
  </si>
  <si>
    <t>PDU1330</t>
  </si>
  <si>
    <t>PDU+A30Uﾊｺ</t>
  </si>
  <si>
    <t>PDU1389</t>
  </si>
  <si>
    <t>PDU0000429</t>
  </si>
  <si>
    <t>3TG149K00141</t>
  </si>
  <si>
    <t>3TG149K00140</t>
  </si>
  <si>
    <t>PDU1158</t>
  </si>
  <si>
    <t>PDU+A40Aﾊｺ</t>
  </si>
  <si>
    <t>PDU1380</t>
  </si>
  <si>
    <t>PDU0000414</t>
  </si>
  <si>
    <t>3TG149K00102</t>
  </si>
  <si>
    <t>3TG149K00101</t>
  </si>
  <si>
    <t>PDU1320</t>
  </si>
  <si>
    <t>PDU+A40Rﾊｺ</t>
  </si>
  <si>
    <t>PDU1164</t>
  </si>
  <si>
    <t>PDU0000426</t>
  </si>
  <si>
    <t>3TG149K00131</t>
  </si>
  <si>
    <t>3TG149K00130</t>
  </si>
  <si>
    <t>PDU1373</t>
  </si>
  <si>
    <t>PDU0000417</t>
  </si>
  <si>
    <t>3TG149K00112</t>
  </si>
  <si>
    <t>PDU1331</t>
  </si>
  <si>
    <t>PDU1383</t>
  </si>
  <si>
    <t>PDU0000423</t>
  </si>
  <si>
    <t>3TG149K00121</t>
  </si>
  <si>
    <t>3TG149K00120</t>
  </si>
  <si>
    <t>PDU1169</t>
  </si>
  <si>
    <t>PDU+A40Wﾊｺ</t>
  </si>
  <si>
    <t>PDU1390</t>
  </si>
  <si>
    <t>PDU0000430</t>
  </si>
  <si>
    <t>3TG150K00141</t>
  </si>
  <si>
    <t>3TG150K00140</t>
  </si>
  <si>
    <t>PDU1172</t>
  </si>
  <si>
    <t>PDU+A50Aﾊｺ</t>
  </si>
  <si>
    <t>PDU1400</t>
  </si>
  <si>
    <t>PDU0000415</t>
  </si>
  <si>
    <t>3TG150K00103</t>
  </si>
  <si>
    <t>3TG150K00101</t>
  </si>
  <si>
    <t>PDU1321</t>
  </si>
  <si>
    <t>PDU+A50Rﾊｺ</t>
  </si>
  <si>
    <t>PDU1387</t>
  </si>
  <si>
    <t>PDU0000427</t>
  </si>
  <si>
    <t>3TG150K00131</t>
  </si>
  <si>
    <t>3TG150K00130</t>
  </si>
  <si>
    <t>PDU1178</t>
  </si>
  <si>
    <t>PDU+A50Sﾊｺ</t>
  </si>
  <si>
    <t>PDU1374</t>
  </si>
  <si>
    <t>PDU0000418</t>
  </si>
  <si>
    <t>3TG150K00112</t>
  </si>
  <si>
    <t>PDU1332</t>
  </si>
  <si>
    <t>PDU+A50Uﾊｺ</t>
  </si>
  <si>
    <t>PDU1384</t>
  </si>
  <si>
    <t>PDU0000424</t>
  </si>
  <si>
    <t>3TG150K00121</t>
  </si>
  <si>
    <t>3TG150K00120</t>
  </si>
  <si>
    <t>PDU1183</t>
  </si>
  <si>
    <t>PDU+A50Wﾊｺ</t>
  </si>
  <si>
    <t>3TG148K00360</t>
  </si>
  <si>
    <t>3TG149K00150</t>
  </si>
  <si>
    <t>3TG150K00150</t>
  </si>
  <si>
    <t>3TG149K00360</t>
  </si>
  <si>
    <t>3TG150K00360</t>
  </si>
  <si>
    <t>部品</t>
  </si>
  <si>
    <t>PDU1137</t>
  </si>
  <si>
    <t>PDU0000628</t>
  </si>
  <si>
    <t>PDJ1043</t>
  </si>
  <si>
    <t>PDI0000171</t>
  </si>
  <si>
    <t>PDN1270</t>
  </si>
  <si>
    <t>PDU0000626</t>
  </si>
  <si>
    <t>PDN1404</t>
  </si>
  <si>
    <t>PDN0000661</t>
  </si>
  <si>
    <t>PDU-U以外(入り数160)</t>
  </si>
  <si>
    <t>PDU1083</t>
  </si>
  <si>
    <t>PDU0000627</t>
  </si>
  <si>
    <t>PDU-A30全機種(入り数504)</t>
  </si>
  <si>
    <t>PDU1065</t>
  </si>
  <si>
    <t>PDU0000629</t>
  </si>
  <si>
    <t>PDU-A40全機種(入り数384)</t>
  </si>
  <si>
    <t>PDU1009</t>
  </si>
  <si>
    <t>PDU0000630</t>
  </si>
  <si>
    <t>PDU-A50全機種(入り数276)</t>
  </si>
  <si>
    <t>PIG0000376</t>
  </si>
  <si>
    <t>PDN-A400CU</t>
  </si>
  <si>
    <t>PDN-A500CU</t>
  </si>
  <si>
    <t>PDR-G220WU</t>
  </si>
  <si>
    <t>PDR-G300WU</t>
  </si>
  <si>
    <t>PDR-G221W</t>
  </si>
  <si>
    <t>PDR-G301W</t>
  </si>
  <si>
    <t>PDR-G401W</t>
  </si>
  <si>
    <t>PIE-A501K</t>
  </si>
  <si>
    <t>PIG-J300K</t>
  </si>
  <si>
    <t>PIG-H300K</t>
  </si>
  <si>
    <t>PIK-KS22K</t>
  </si>
  <si>
    <t>2TG13903</t>
  </si>
  <si>
    <t>PIK-KS30K</t>
  </si>
  <si>
    <t>2TG14008</t>
  </si>
  <si>
    <t>PIL-A220T</t>
  </si>
  <si>
    <t>PIL-A300T</t>
  </si>
  <si>
    <t>PIL-T220WF</t>
  </si>
  <si>
    <t>PIL-T220WO</t>
  </si>
  <si>
    <t>PIP-22E6GD</t>
  </si>
  <si>
    <t>PIP-30E6GD</t>
  </si>
  <si>
    <t>PIP-A221R</t>
  </si>
  <si>
    <t>2TG15502</t>
  </si>
  <si>
    <t>PIP-A301R</t>
  </si>
  <si>
    <t>2TG15602</t>
  </si>
  <si>
    <t>PIP-G220WE</t>
  </si>
  <si>
    <t>PIP-G300WE</t>
  </si>
  <si>
    <t>PIQ-A221W</t>
  </si>
  <si>
    <t>2TG15301</t>
  </si>
  <si>
    <t>PIQ-A301W</t>
  </si>
  <si>
    <t>2TG15401</t>
  </si>
  <si>
    <t>PIQ-G220KC</t>
  </si>
  <si>
    <t>PIQ-G300KC</t>
  </si>
  <si>
    <t>PIQ-G220WC</t>
  </si>
  <si>
    <t>PIQ-G300WC</t>
  </si>
  <si>
    <t>PIS-22E6K</t>
  </si>
  <si>
    <t>PIS-30E6K</t>
  </si>
  <si>
    <t>PIS-A221T</t>
  </si>
  <si>
    <t>2TG15702</t>
  </si>
  <si>
    <t>PIS-A301T</t>
  </si>
  <si>
    <t>2TG15802</t>
  </si>
  <si>
    <t>PIS-G220KE</t>
  </si>
  <si>
    <t>PIS-G300KE</t>
  </si>
  <si>
    <t>PIS-N220T</t>
  </si>
  <si>
    <t>PIS-N300T</t>
  </si>
  <si>
    <t>PIW-A220T</t>
  </si>
  <si>
    <t>PIW-A300T</t>
  </si>
  <si>
    <t>PTQ-A100RR</t>
  </si>
  <si>
    <t>PTQ-A100KO</t>
  </si>
  <si>
    <t>PTQ-A100HS</t>
  </si>
  <si>
    <t>PDR+C40RWX</t>
  </si>
  <si>
    <t>PDR+S30RCX</t>
  </si>
  <si>
    <t>PDR+S30RWUX</t>
  </si>
  <si>
    <t>PDR+S40RCX</t>
  </si>
  <si>
    <t>PDR+S30SCZ</t>
  </si>
  <si>
    <t>PDR+S40SCZ</t>
  </si>
  <si>
    <t>PDR+S30WCZ</t>
  </si>
  <si>
    <t>PDR+S40WCZ</t>
  </si>
  <si>
    <t>PDU+A30AKZ</t>
  </si>
  <si>
    <t>PDU+A40AKZ</t>
  </si>
  <si>
    <t>PDU+A50AKZ</t>
  </si>
  <si>
    <t>PDU+A30CKZ</t>
  </si>
  <si>
    <t>PDU+A40CKZ</t>
  </si>
  <si>
    <t>PDU+A50CKZ</t>
  </si>
  <si>
    <t>PDU+A30CRZ</t>
  </si>
  <si>
    <t>PDU+A40CRZ</t>
  </si>
  <si>
    <t>PDU+A30RKX</t>
  </si>
  <si>
    <t>PDU+A40RKX</t>
  </si>
  <si>
    <t>PDU+A50RKX</t>
  </si>
  <si>
    <t>PDU+A30SKZ</t>
  </si>
  <si>
    <t>PDU+A40SKZ</t>
  </si>
  <si>
    <t>PDU+A50SKZ</t>
  </si>
  <si>
    <t>PDU+A30UKY</t>
  </si>
  <si>
    <t>PDU+A40UKY</t>
  </si>
  <si>
    <t>PDU+A50UKY</t>
  </si>
  <si>
    <t>PDU+A40WKZ</t>
  </si>
  <si>
    <t>PDU+A50WKZ</t>
  </si>
  <si>
    <t>PIE+A40CKZ</t>
  </si>
  <si>
    <t>PIE+A40RKX</t>
  </si>
  <si>
    <t>PIE+A50CKZ</t>
  </si>
  <si>
    <t>PIE+A50RKX</t>
  </si>
  <si>
    <t>PIG+A30CKZ</t>
  </si>
  <si>
    <t>PIG+A30RKX</t>
  </si>
  <si>
    <t>PIG+A40CKZ</t>
  </si>
  <si>
    <t>PIG+A40RKX</t>
  </si>
  <si>
    <t>PVW+B30CCUZ</t>
  </si>
  <si>
    <t>PVW+B30RCUX</t>
  </si>
  <si>
    <t>PVW+B30SCUZ</t>
  </si>
  <si>
    <t>PVW+B30WCUZ</t>
  </si>
  <si>
    <t>PIQ-N220T</t>
  </si>
  <si>
    <t>PIQ-N300T</t>
  </si>
  <si>
    <t>PIS-A22NT</t>
  </si>
  <si>
    <t>2TG15705</t>
  </si>
  <si>
    <t>PIS-A30NT</t>
  </si>
  <si>
    <t>2TG15805</t>
  </si>
  <si>
    <t>P-26-0005</t>
    <phoneticPr fontId="3"/>
  </si>
  <si>
    <t>4(3月)</t>
    <rPh sb="3" eb="4">
      <t>ツキ</t>
    </rPh>
    <phoneticPr fontId="3"/>
  </si>
  <si>
    <t>確定注文</t>
    <rPh sb="0" eb="2">
      <t>カクテイ</t>
    </rPh>
    <rPh sb="2" eb="4">
      <t>チュウモン</t>
    </rPh>
    <phoneticPr fontId="3"/>
  </si>
  <si>
    <t>確定注文数</t>
    <rPh sb="0" eb="2">
      <t>カクテイ</t>
    </rPh>
    <rPh sb="2" eb="5">
      <t>チュウモンスウ</t>
    </rPh>
    <phoneticPr fontId="46"/>
  </si>
  <si>
    <t>調整後</t>
    <rPh sb="0" eb="2">
      <t>チョウセイ</t>
    </rPh>
    <rPh sb="2" eb="3">
      <t>ゴ</t>
    </rPh>
    <phoneticPr fontId="46"/>
  </si>
  <si>
    <t>調整</t>
    <rPh sb="0" eb="2">
      <t>チョウセイ</t>
    </rPh>
    <phoneticPr fontId="46"/>
  </si>
  <si>
    <t>4(前倒し)</t>
    <rPh sb="2" eb="4">
      <t>マエダオ</t>
    </rPh>
    <phoneticPr fontId="3"/>
  </si>
  <si>
    <t>P-26-0008</t>
    <phoneticPr fontId="3"/>
  </si>
  <si>
    <t>PDZ+A40U</t>
    <phoneticPr fontId="3"/>
  </si>
  <si>
    <t>P-26-0078</t>
    <phoneticPr fontId="3"/>
  </si>
  <si>
    <t>P-26-0054</t>
    <phoneticPr fontId="3"/>
  </si>
  <si>
    <t>P-26-0055</t>
    <phoneticPr fontId="3"/>
  </si>
  <si>
    <t>P-26-0079</t>
    <phoneticPr fontId="3"/>
  </si>
  <si>
    <t>P-26-0138</t>
    <phoneticPr fontId="3"/>
  </si>
  <si>
    <t>P-26-0139</t>
    <phoneticPr fontId="3"/>
  </si>
  <si>
    <t>正常完了 (3.8秒)</t>
    <phoneticPr fontId="3"/>
  </si>
  <si>
    <t>PDZA30UﾊｺYK</t>
    <phoneticPr fontId="3"/>
  </si>
  <si>
    <t>PDZA40CﾊｺZCK</t>
    <phoneticPr fontId="3"/>
  </si>
  <si>
    <t>PDUA40AﾊｺZA1K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</si>
</sst>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;&quot;▲ &quot;#,##0"/>
    <numFmt numFmtId="177" formatCode="m&quot;月&quot;d&quot;日&quot;;@"/>
    <numFmt numFmtId="178" formatCode="0_);[Red]\(0\)"/>
    <numFmt numFmtId="179" formatCode="#,##0_);[Red]\(#,##0\)"/>
    <numFmt numFmtId="180" formatCode="0_ ;[Red]\-0\ "/>
    <numFmt numFmtId="181" formatCode="mm/dd"/>
    <numFmt numFmtId="182" formatCode="yyyy/mm/d"/>
  </numFmts>
  <fonts count="5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2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0"/>
      <color indexed="10"/>
      <name val="ＭＳ Ｐゴシック"/>
      <family val="3"/>
      <charset val="128"/>
    </font>
    <font>
      <sz val="12"/>
      <color theme="1"/>
      <name val="游ゴシック"/>
      <family val="3"/>
      <charset val="128"/>
      <scheme val="minor"/>
    </font>
    <font>
      <sz val="11"/>
      <color theme="1"/>
      <name val="ＭＳ Ｐゴシック"/>
      <family val="2"/>
    </font>
    <font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1"/>
      <color rgb="FFFF0000"/>
      <name val="游ゴシック"/>
      <family val="3"/>
      <charset val="128"/>
      <scheme val="minor"/>
    </font>
    <font>
      <sz val="11"/>
      <color theme="0" tint="-0.499984740745262"/>
      <name val="游ゴシック"/>
      <family val="3"/>
      <charset val="128"/>
      <scheme val="minor"/>
    </font>
    <font>
      <sz val="11"/>
      <name val="游ゴシック"/>
      <family val="3"/>
      <charset val="128"/>
    </font>
    <font>
      <b/>
      <sz val="11"/>
      <color theme="4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0"/>
      <color rgb="FFFF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1"/>
      <color rgb="FFFF0000"/>
      <name val="游ゴシック"/>
      <family val="3"/>
      <charset val="128"/>
    </font>
    <font>
      <b/>
      <sz val="11"/>
      <color theme="5"/>
      <name val="游ゴシック"/>
      <family val="3"/>
      <charset val="128"/>
    </font>
    <font>
      <b/>
      <sz val="10"/>
      <name val="游ゴシック"/>
      <family val="3"/>
      <charset val="128"/>
      <scheme val="minor"/>
    </font>
    <font>
      <b/>
      <sz val="11"/>
      <name val="游ゴシック"/>
      <family val="3"/>
      <charset val="128"/>
    </font>
    <font>
      <sz val="1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1"/>
      <color rgb="FFFFC000"/>
      <name val="游ゴシック"/>
      <family val="3"/>
      <charset val="128"/>
      <scheme val="minor"/>
    </font>
    <font>
      <sz val="1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4"/>
      <color rgb="FF2F5496"/>
      <name val="Yu Gothic"/>
      <family val="3"/>
      <charset val="128"/>
    </font>
    <font>
      <b/>
      <sz val="12"/>
      <name val="Yu Gothic"/>
      <family val="3"/>
      <charset val="128"/>
    </font>
    <font>
      <sz val="11"/>
      <color theme="1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4"/>
      <color theme="1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b/>
      <sz val="14"/>
      <color rgb="FF00B0F0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65"/>
        <bgColor auto="1"/>
      </patternFill>
    </fill>
    <fill>
      <patternFill patternType="solid">
        <fgColor indexed="65"/>
        <bgColor theme="0"/>
      </patternFill>
    </fill>
    <fill>
      <patternFill patternType="gray125">
        <fgColor rgb="FF00B050"/>
      </patternFill>
    </fill>
    <fill>
      <patternFill patternType="solid">
        <fgColor indexed="65"/>
        <bgColor indexed="64"/>
      </patternFill>
    </fill>
    <fill>
      <patternFill patternType="solid">
        <fgColor indexed="65"/>
        <bgColor rgb="FF00B05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rgb="FF00B050"/>
      </patternFill>
    </fill>
    <fill>
      <patternFill patternType="gray125">
        <fgColor rgb="FF00B050"/>
        <bgColor theme="5" tint="0.79995117038483843"/>
      </patternFill>
    </fill>
    <fill>
      <patternFill patternType="solid">
        <fgColor theme="5" tint="0.79995117038483843"/>
        <bgColor rgb="FFFF99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DDDD"/>
        <bgColor rgb="FF00B05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2DCDB"/>
        <bgColor rgb="FF00B050"/>
      </patternFill>
    </fill>
    <fill>
      <patternFill patternType="solid">
        <fgColor rgb="FFC39BE1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F2DCDB"/>
        <bgColor theme="0"/>
      </patternFill>
    </fill>
    <fill>
      <patternFill patternType="solid">
        <fgColor rgb="FF2F5496"/>
        <bgColor rgb="FF2F5496"/>
      </patternFill>
    </fill>
    <fill>
      <patternFill patternType="solid">
        <fgColor theme="0"/>
        <bgColor theme="0"/>
      </patternFill>
    </fill>
  </fills>
  <borders count="164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rgb="FF0070C0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medium">
        <color rgb="FF0070C0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rgb="FF00B050"/>
      </right>
      <top style="hair">
        <color indexed="64"/>
      </top>
      <bottom/>
      <diagonal/>
    </border>
    <border>
      <left style="thin">
        <color indexed="64"/>
      </left>
      <right style="thick">
        <color rgb="FF00B05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ck">
        <color rgb="FF00B050"/>
      </right>
      <top/>
      <bottom style="hair">
        <color indexed="64"/>
      </bottom>
      <diagonal/>
    </border>
    <border>
      <left style="thin">
        <color indexed="64"/>
      </left>
      <right style="thick">
        <color rgb="FF00B050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double">
        <color auto="1"/>
      </left>
      <right style="double">
        <color auto="1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 style="double">
        <color auto="1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indexed="64"/>
      </bottom>
      <diagonal/>
    </border>
    <border>
      <left/>
      <right/>
      <top style="medium">
        <color theme="1"/>
      </top>
      <bottom/>
      <diagonal/>
    </border>
    <border>
      <left style="thick">
        <color rgb="FF00B050"/>
      </left>
      <right style="thin">
        <color indexed="64"/>
      </right>
      <top style="medium">
        <color theme="1"/>
      </top>
      <bottom/>
      <diagonal/>
    </border>
    <border>
      <left style="thick">
        <color rgb="FF00B050"/>
      </left>
      <right style="thin">
        <color indexed="64"/>
      </right>
      <top/>
      <bottom style="hair">
        <color indexed="64"/>
      </bottom>
      <diagonal/>
    </border>
    <border>
      <left style="thick">
        <color rgb="FF00B050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auto="1"/>
      </right>
      <top style="medium">
        <color theme="1"/>
      </top>
      <bottom/>
      <diagonal/>
    </border>
    <border>
      <left style="thick">
        <color rgb="FF00B050"/>
      </left>
      <right style="thin">
        <color indexed="64"/>
      </right>
      <top style="hair">
        <color indexed="64"/>
      </top>
      <bottom style="medium">
        <color auto="1"/>
      </bottom>
      <diagonal/>
    </border>
    <border>
      <left style="thin">
        <color indexed="64"/>
      </left>
      <right/>
      <top style="medium">
        <color theme="1"/>
      </top>
      <bottom/>
      <diagonal/>
    </border>
    <border>
      <left style="thin">
        <color indexed="64"/>
      </left>
      <right/>
      <top/>
      <bottom style="medium">
        <color theme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theme="1"/>
      </top>
      <bottom style="double">
        <color auto="1"/>
      </bottom>
      <diagonal/>
    </border>
    <border>
      <left/>
      <right/>
      <top style="medium">
        <color indexed="64"/>
      </top>
      <bottom/>
      <diagonal/>
    </border>
    <border>
      <left style="double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auto="1"/>
      </right>
      <top/>
      <bottom style="medium">
        <color indexed="64"/>
      </bottom>
      <diagonal/>
    </border>
    <border>
      <left style="thin">
        <color indexed="64"/>
      </left>
      <right style="double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hair">
        <color indexed="64"/>
      </top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medium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medium">
        <color theme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theme="1"/>
      </right>
      <top style="medium">
        <color theme="1"/>
      </top>
      <bottom/>
      <diagonal/>
    </border>
    <border>
      <left style="hair">
        <color theme="1"/>
      </left>
      <right style="hair">
        <color theme="1"/>
      </right>
      <top style="medium">
        <color theme="1"/>
      </top>
      <bottom/>
      <diagonal/>
    </border>
    <border>
      <left style="hair">
        <color theme="1"/>
      </left>
      <right/>
      <top style="medium">
        <color theme="1"/>
      </top>
      <bottom/>
      <diagonal/>
    </border>
    <border>
      <left style="hair">
        <color theme="1"/>
      </left>
      <right style="hair">
        <color theme="1"/>
      </right>
      <top/>
      <bottom style="medium">
        <color theme="1"/>
      </bottom>
      <diagonal/>
    </border>
    <border>
      <left style="thin">
        <color indexed="64"/>
      </left>
      <right style="hair">
        <color theme="1"/>
      </right>
      <top/>
      <bottom style="hair">
        <color indexed="64"/>
      </bottom>
      <diagonal/>
    </border>
    <border>
      <left style="hair">
        <color theme="1"/>
      </left>
      <right style="hair">
        <color theme="1"/>
      </right>
      <top/>
      <bottom style="hair">
        <color indexed="64"/>
      </bottom>
      <diagonal/>
    </border>
    <border>
      <left style="hair">
        <color theme="1"/>
      </left>
      <right/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hair">
        <color indexed="64"/>
      </bottom>
      <diagonal/>
    </border>
    <border>
      <left style="medium">
        <color rgb="FFFF0000"/>
      </left>
      <right style="medium">
        <color rgb="FFFF0000"/>
      </right>
      <top style="hair">
        <color indexed="64"/>
      </top>
      <bottom style="hair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C000"/>
      </left>
      <right style="medium">
        <color rgb="FFFFC000"/>
      </right>
      <top style="hair">
        <color indexed="64"/>
      </top>
      <bottom style="hair">
        <color indexed="64"/>
      </bottom>
      <diagonal/>
    </border>
    <border>
      <left style="medium">
        <color rgb="FFFFC000"/>
      </left>
      <right style="medium">
        <color rgb="FFFFC000"/>
      </right>
      <top style="hair">
        <color indexed="64"/>
      </top>
      <bottom style="medium">
        <color rgb="FFFFC000"/>
      </bottom>
      <diagonal/>
    </border>
    <border>
      <left style="medium">
        <color rgb="FFFF0000"/>
      </left>
      <right style="medium">
        <color rgb="FFFF0000"/>
      </right>
      <top/>
      <bottom style="hair">
        <color indexed="64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ck">
        <color rgb="FF00B050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hair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thick">
        <color rgb="FF00B050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auto="1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B050"/>
      </right>
      <top/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theme="4"/>
      </top>
      <bottom style="hair">
        <color indexed="64"/>
      </bottom>
      <diagonal/>
    </border>
    <border>
      <left style="thick">
        <color rgb="FF00B050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theme="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medium">
        <color theme="4"/>
      </top>
      <bottom style="hair">
        <color indexed="64"/>
      </bottom>
      <diagonal/>
    </border>
    <border>
      <left style="thick">
        <color rgb="FF00B050"/>
      </left>
      <right style="thin">
        <color indexed="64"/>
      </right>
      <top style="medium">
        <color theme="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theme="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theme="4"/>
      </top>
      <bottom style="hair">
        <color indexed="64"/>
      </bottom>
      <diagonal/>
    </border>
    <border>
      <left style="double">
        <color auto="1"/>
      </left>
      <right style="double">
        <color auto="1"/>
      </right>
      <top style="medium">
        <color theme="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theme="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theme="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medium">
        <color theme="4"/>
      </bottom>
      <diagonal/>
    </border>
    <border>
      <left style="thick">
        <color rgb="FF00B050"/>
      </left>
      <right style="thin">
        <color indexed="64"/>
      </right>
      <top style="hair">
        <color indexed="64"/>
      </top>
      <bottom style="medium">
        <color theme="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theme="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theme="4"/>
      </bottom>
      <diagonal/>
    </border>
    <border>
      <left style="double">
        <color auto="1"/>
      </left>
      <right style="double">
        <color auto="1"/>
      </right>
      <top style="hair">
        <color indexed="64"/>
      </top>
      <bottom style="medium">
        <color theme="4"/>
      </bottom>
      <diagonal/>
    </border>
    <border>
      <left style="double">
        <color auto="1"/>
      </left>
      <right/>
      <top style="hair">
        <color indexed="64"/>
      </top>
      <bottom style="medium">
        <color theme="4"/>
      </bottom>
      <diagonal/>
    </border>
    <border>
      <left/>
      <right/>
      <top style="hair">
        <color indexed="64"/>
      </top>
      <bottom style="medium">
        <color theme="4"/>
      </bottom>
      <diagonal/>
    </border>
    <border>
      <left style="double">
        <color auto="1"/>
      </left>
      <right/>
      <top style="medium">
        <color theme="4"/>
      </top>
      <bottom style="hair">
        <color indexed="64"/>
      </bottom>
      <diagonal/>
    </border>
    <border>
      <left/>
      <right/>
      <top style="medium">
        <color theme="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B050"/>
      </right>
      <top/>
      <bottom/>
      <diagonal/>
    </border>
    <border>
      <left style="thin">
        <color indexed="64"/>
      </left>
      <right style="thick">
        <color rgb="FF00B050"/>
      </right>
      <top style="hair">
        <color indexed="64"/>
      </top>
      <bottom style="medium">
        <color rgb="FF0070C0"/>
      </bottom>
      <diagonal/>
    </border>
    <border>
      <left/>
      <right style="hair">
        <color theme="1"/>
      </right>
      <top/>
      <bottom style="hair">
        <color indexed="64"/>
      </bottom>
      <diagonal/>
    </border>
    <border>
      <left/>
      <right style="hair">
        <color theme="1"/>
      </right>
      <top/>
      <bottom style="medium">
        <color theme="1"/>
      </bottom>
      <diagonal/>
    </border>
    <border>
      <left/>
      <right style="hair">
        <color theme="1"/>
      </right>
      <top style="hair">
        <color auto="1"/>
      </top>
      <bottom style="hair">
        <color auto="1"/>
      </bottom>
      <diagonal/>
    </border>
    <border>
      <left style="hair">
        <color theme="1"/>
      </left>
      <right style="hair">
        <color theme="1"/>
      </right>
      <top style="hair">
        <color auto="1"/>
      </top>
      <bottom style="hair">
        <color auto="1"/>
      </bottom>
      <diagonal/>
    </border>
    <border>
      <left style="hair">
        <color theme="1"/>
      </left>
      <right/>
      <top style="hair">
        <color auto="1"/>
      </top>
      <bottom style="hair">
        <color auto="1"/>
      </bottom>
      <diagonal/>
    </border>
    <border>
      <left style="medium">
        <color rgb="FFFF0000"/>
      </left>
      <right style="medium">
        <color rgb="FFFF0000"/>
      </right>
      <top style="hair">
        <color indexed="64"/>
      </top>
      <bottom style="medium">
        <color rgb="FFFF0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8">
    <xf numFmtId="0" fontId="0" fillId="0" borderId="0">
      <alignment vertical="center"/>
    </xf>
    <xf numFmtId="38" fontId="1" fillId="0" borderId="0"/>
    <xf numFmtId="0" fontId="1" fillId="0" borderId="0">
      <alignment vertical="center"/>
    </xf>
    <xf numFmtId="0" fontId="1" fillId="0" borderId="0"/>
    <xf numFmtId="38" fontId="1" fillId="0" borderId="0"/>
    <xf numFmtId="0" fontId="21" fillId="0" borderId="0">
      <alignment vertical="center"/>
    </xf>
    <xf numFmtId="0" fontId="40" fillId="0" borderId="0">
      <alignment vertical="center"/>
    </xf>
    <xf numFmtId="0" fontId="1" fillId="0" borderId="0"/>
  </cellStyleXfs>
  <cellXfs count="450">
    <xf numFmtId="0" fontId="0" fillId="0" borderId="0" xfId="0">
      <alignment vertical="center"/>
    </xf>
    <xf numFmtId="0" fontId="2" fillId="2" borderId="7" xfId="2" applyFont="1" applyFill="1" applyBorder="1" applyAlignment="1" applyProtection="1">
      <alignment horizontal="center" vertical="center"/>
      <protection locked="0"/>
    </xf>
    <xf numFmtId="0" fontId="2" fillId="2" borderId="8" xfId="2" applyFont="1" applyFill="1" applyBorder="1" applyAlignment="1" applyProtection="1">
      <alignment horizontal="center" vertical="center"/>
      <protection locked="0"/>
    </xf>
    <xf numFmtId="0" fontId="2" fillId="3" borderId="7" xfId="2" applyFont="1" applyFill="1" applyBorder="1" applyAlignment="1" applyProtection="1">
      <alignment horizontal="center" vertical="center"/>
      <protection locked="0"/>
    </xf>
    <xf numFmtId="0" fontId="2" fillId="3" borderId="8" xfId="2" applyFont="1" applyFill="1" applyBorder="1" applyAlignment="1" applyProtection="1">
      <alignment horizontal="center" vertical="center"/>
      <protection locked="0"/>
    </xf>
    <xf numFmtId="0" fontId="2" fillId="4" borderId="7" xfId="2" applyFont="1" applyFill="1" applyBorder="1" applyAlignment="1" applyProtection="1">
      <alignment horizontal="center" vertical="center"/>
      <protection locked="0"/>
    </xf>
    <xf numFmtId="0" fontId="2" fillId="4" borderId="8" xfId="2" applyFont="1" applyFill="1" applyBorder="1" applyAlignment="1" applyProtection="1">
      <alignment horizontal="center" vertical="center"/>
      <protection locked="0"/>
    </xf>
    <xf numFmtId="0" fontId="2" fillId="0" borderId="7" xfId="2" applyFont="1" applyBorder="1" applyAlignment="1" applyProtection="1">
      <alignment horizontal="center" vertical="center"/>
      <protection locked="0"/>
    </xf>
    <xf numFmtId="0" fontId="2" fillId="0" borderId="8" xfId="2" applyFont="1" applyBorder="1" applyAlignment="1" applyProtection="1">
      <alignment horizontal="center" vertical="center"/>
      <protection locked="0"/>
    </xf>
    <xf numFmtId="176" fontId="2" fillId="5" borderId="8" xfId="1" applyNumberFormat="1" applyFont="1" applyFill="1" applyBorder="1" applyAlignment="1">
      <alignment horizontal="center" vertical="center"/>
    </xf>
    <xf numFmtId="176" fontId="2" fillId="6" borderId="8" xfId="1" applyNumberFormat="1" applyFont="1" applyFill="1" applyBorder="1" applyAlignment="1">
      <alignment horizontal="center" vertical="center"/>
    </xf>
    <xf numFmtId="38" fontId="2" fillId="5" borderId="8" xfId="1" applyFont="1" applyFill="1" applyBorder="1" applyAlignment="1">
      <alignment horizontal="center" vertical="center"/>
    </xf>
    <xf numFmtId="38" fontId="2" fillId="6" borderId="8" xfId="1" applyFont="1" applyFill="1" applyBorder="1" applyAlignment="1">
      <alignment horizontal="center" vertical="center"/>
    </xf>
    <xf numFmtId="38" fontId="2" fillId="6" borderId="12" xfId="1" applyFont="1" applyFill="1" applyBorder="1" applyAlignment="1">
      <alignment horizontal="center"/>
    </xf>
    <xf numFmtId="38" fontId="2" fillId="6" borderId="7" xfId="1" applyFont="1" applyFill="1" applyBorder="1" applyAlignment="1">
      <alignment horizontal="center"/>
    </xf>
    <xf numFmtId="38" fontId="2" fillId="6" borderId="8" xfId="1" applyFont="1" applyFill="1" applyBorder="1"/>
    <xf numFmtId="38" fontId="4" fillId="8" borderId="16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5" fillId="11" borderId="20" xfId="3" applyFont="1" applyFill="1" applyBorder="1" applyAlignment="1">
      <alignment horizontal="center"/>
    </xf>
    <xf numFmtId="0" fontId="6" fillId="0" borderId="0" xfId="2" applyFont="1" applyAlignment="1" applyProtection="1">
      <alignment horizontal="center" vertical="center"/>
      <protection locked="0"/>
    </xf>
    <xf numFmtId="176" fontId="6" fillId="0" borderId="0" xfId="1" applyNumberFormat="1" applyFont="1" applyAlignment="1">
      <alignment horizontal="center" vertical="center"/>
    </xf>
    <xf numFmtId="38" fontId="6" fillId="0" borderId="0" xfId="1" applyFont="1" applyAlignment="1">
      <alignment horizontal="center" vertical="center"/>
    </xf>
    <xf numFmtId="38" fontId="6" fillId="0" borderId="0" xfId="1" applyFont="1" applyAlignment="1">
      <alignment horizontal="center"/>
    </xf>
    <xf numFmtId="0" fontId="5" fillId="11" borderId="20" xfId="3" applyFont="1" applyFill="1" applyBorder="1" applyAlignment="1">
      <alignment horizontal="left"/>
    </xf>
    <xf numFmtId="0" fontId="6" fillId="0" borderId="0" xfId="2" applyFont="1" applyAlignment="1" applyProtection="1">
      <alignment horizontal="left" vertical="center"/>
      <protection locked="0"/>
    </xf>
    <xf numFmtId="176" fontId="6" fillId="0" borderId="0" xfId="1" applyNumberFormat="1" applyFont="1" applyAlignment="1">
      <alignment horizontal="left" vertical="center"/>
    </xf>
    <xf numFmtId="38" fontId="6" fillId="0" borderId="0" xfId="1" applyFont="1" applyAlignment="1">
      <alignment horizontal="left" vertical="center"/>
    </xf>
    <xf numFmtId="38" fontId="6" fillId="0" borderId="0" xfId="1" applyFont="1" applyAlignment="1">
      <alignment horizontal="left"/>
    </xf>
    <xf numFmtId="0" fontId="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>
      <alignment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left" vertical="center"/>
    </xf>
    <xf numFmtId="0" fontId="0" fillId="0" borderId="25" xfId="0" applyBorder="1">
      <alignment vertical="center"/>
    </xf>
    <xf numFmtId="176" fontId="2" fillId="0" borderId="7" xfId="1" applyNumberFormat="1" applyFont="1" applyBorder="1" applyAlignment="1">
      <alignment horizontal="center" vertical="center"/>
    </xf>
    <xf numFmtId="176" fontId="2" fillId="0" borderId="8" xfId="1" applyNumberFormat="1" applyFont="1" applyBorder="1" applyAlignment="1">
      <alignment horizontal="center" vertical="center"/>
    </xf>
    <xf numFmtId="38" fontId="2" fillId="6" borderId="27" xfId="1" applyFont="1" applyFill="1" applyBorder="1" applyAlignment="1">
      <alignment horizontal="center" vertical="center"/>
    </xf>
    <xf numFmtId="38" fontId="2" fillId="6" borderId="28" xfId="1" applyFont="1" applyFill="1" applyBorder="1" applyAlignment="1">
      <alignment horizontal="center" vertical="center"/>
    </xf>
    <xf numFmtId="0" fontId="0" fillId="0" borderId="29" xfId="0" applyBorder="1">
      <alignment vertical="center"/>
    </xf>
    <xf numFmtId="0" fontId="5" fillId="12" borderId="24" xfId="0" applyFont="1" applyFill="1" applyBorder="1">
      <alignment vertical="center"/>
    </xf>
    <xf numFmtId="0" fontId="5" fillId="12" borderId="26" xfId="0" applyFont="1" applyFill="1" applyBorder="1">
      <alignment vertical="center"/>
    </xf>
    <xf numFmtId="0" fontId="5" fillId="12" borderId="30" xfId="0" applyFont="1" applyFill="1" applyBorder="1">
      <alignment vertical="center"/>
    </xf>
    <xf numFmtId="0" fontId="5" fillId="12" borderId="2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0" borderId="31" xfId="0" applyBorder="1">
      <alignment vertical="center"/>
    </xf>
    <xf numFmtId="0" fontId="9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2" fillId="2" borderId="3" xfId="2" applyFont="1" applyFill="1" applyBorder="1" applyAlignment="1" applyProtection="1">
      <alignment horizontal="right" vertical="center"/>
      <protection locked="0"/>
    </xf>
    <xf numFmtId="0" fontId="2" fillId="2" borderId="7" xfId="2" applyFont="1" applyFill="1" applyBorder="1" applyAlignment="1" applyProtection="1">
      <alignment horizontal="right" vertical="center"/>
      <protection locked="0"/>
    </xf>
    <xf numFmtId="0" fontId="2" fillId="2" borderId="9" xfId="2" applyFont="1" applyFill="1" applyBorder="1" applyAlignment="1" applyProtection="1">
      <alignment horizontal="right" vertical="center"/>
      <protection locked="0"/>
    </xf>
    <xf numFmtId="0" fontId="2" fillId="0" borderId="11" xfId="2" applyFont="1" applyBorder="1" applyAlignment="1" applyProtection="1">
      <alignment horizontal="right" vertical="center"/>
      <protection locked="0"/>
    </xf>
    <xf numFmtId="0" fontId="2" fillId="3" borderId="7" xfId="2" applyFont="1" applyFill="1" applyBorder="1" applyAlignment="1" applyProtection="1">
      <alignment horizontal="right" vertical="center"/>
      <protection locked="0"/>
    </xf>
    <xf numFmtId="0" fontId="2" fillId="4" borderId="7" xfId="2" applyFont="1" applyFill="1" applyBorder="1" applyAlignment="1" applyProtection="1">
      <alignment horizontal="right" vertical="center"/>
      <protection locked="0"/>
    </xf>
    <xf numFmtId="0" fontId="2" fillId="0" borderId="7" xfId="2" applyFont="1" applyBorder="1" applyAlignment="1" applyProtection="1">
      <alignment horizontal="right" vertical="center"/>
      <protection locked="0"/>
    </xf>
    <xf numFmtId="176" fontId="2" fillId="5" borderId="7" xfId="1" applyNumberFormat="1" applyFont="1" applyFill="1" applyBorder="1" applyAlignment="1">
      <alignment horizontal="right" vertical="center"/>
    </xf>
    <xf numFmtId="176" fontId="2" fillId="6" borderId="7" xfId="1" applyNumberFormat="1" applyFont="1" applyFill="1" applyBorder="1" applyAlignment="1">
      <alignment horizontal="right" vertical="center"/>
    </xf>
    <xf numFmtId="38" fontId="2" fillId="5" borderId="7" xfId="1" applyFont="1" applyFill="1" applyBorder="1" applyAlignment="1">
      <alignment horizontal="right" vertical="center"/>
    </xf>
    <xf numFmtId="38" fontId="2" fillId="6" borderId="7" xfId="1" applyFont="1" applyFill="1" applyBorder="1" applyAlignment="1">
      <alignment horizontal="right" vertical="center"/>
    </xf>
    <xf numFmtId="38" fontId="2" fillId="6" borderId="11" xfId="1" applyFont="1" applyFill="1" applyBorder="1" applyAlignment="1">
      <alignment horizontal="right"/>
    </xf>
    <xf numFmtId="38" fontId="2" fillId="6" borderId="7" xfId="1" applyFont="1" applyFill="1" applyBorder="1" applyAlignment="1">
      <alignment horizontal="right"/>
    </xf>
    <xf numFmtId="38" fontId="2" fillId="6" borderId="13" xfId="1" applyFont="1" applyFill="1" applyBorder="1" applyAlignment="1">
      <alignment horizontal="right" vertical="center"/>
    </xf>
    <xf numFmtId="0" fontId="5" fillId="0" borderId="0" xfId="0" applyFont="1">
      <alignment vertical="center"/>
    </xf>
    <xf numFmtId="0" fontId="5" fillId="0" borderId="25" xfId="0" applyFont="1" applyBorder="1">
      <alignment vertical="center"/>
    </xf>
    <xf numFmtId="0" fontId="5" fillId="0" borderId="20" xfId="0" applyFont="1" applyBorder="1" applyAlignment="1">
      <alignment horizontal="right" vertical="center"/>
    </xf>
    <xf numFmtId="0" fontId="5" fillId="0" borderId="20" xfId="0" applyFont="1" applyBorder="1" applyAlignment="1">
      <alignment horizontal="center" vertical="center"/>
    </xf>
    <xf numFmtId="0" fontId="5" fillId="12" borderId="33" xfId="0" applyFont="1" applyFill="1" applyBorder="1">
      <alignment vertical="center"/>
    </xf>
    <xf numFmtId="0" fontId="5" fillId="0" borderId="20" xfId="0" applyFont="1" applyBorder="1">
      <alignment vertical="center"/>
    </xf>
    <xf numFmtId="177" fontId="5" fillId="0" borderId="20" xfId="0" applyNumberFormat="1" applyFont="1" applyBorder="1">
      <alignment vertical="center"/>
    </xf>
    <xf numFmtId="56" fontId="5" fillId="0" borderId="20" xfId="0" applyNumberFormat="1" applyFont="1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5" fillId="0" borderId="26" xfId="0" applyFont="1" applyBorder="1">
      <alignment vertical="center"/>
    </xf>
    <xf numFmtId="0" fontId="0" fillId="0" borderId="39" xfId="0" applyBorder="1">
      <alignment vertical="center"/>
    </xf>
    <xf numFmtId="0" fontId="0" fillId="0" borderId="42" xfId="0" applyBorder="1">
      <alignment vertical="center"/>
    </xf>
    <xf numFmtId="38" fontId="4" fillId="8" borderId="17" xfId="1" applyFont="1" applyFill="1" applyBorder="1" applyAlignment="1">
      <alignment vertical="center"/>
    </xf>
    <xf numFmtId="0" fontId="0" fillId="0" borderId="44" xfId="0" applyBorder="1">
      <alignment vertical="center"/>
    </xf>
    <xf numFmtId="0" fontId="5" fillId="0" borderId="44" xfId="0" applyFont="1" applyBorder="1">
      <alignment vertical="center"/>
    </xf>
    <xf numFmtId="0" fontId="5" fillId="0" borderId="24" xfId="0" applyFont="1" applyBorder="1">
      <alignment vertical="center"/>
    </xf>
    <xf numFmtId="0" fontId="0" fillId="0" borderId="26" xfId="0" applyBorder="1">
      <alignment vertical="center"/>
    </xf>
    <xf numFmtId="0" fontId="0" fillId="0" borderId="30" xfId="0" applyBorder="1">
      <alignment vertical="center"/>
    </xf>
    <xf numFmtId="0" fontId="0" fillId="0" borderId="47" xfId="0" applyBorder="1">
      <alignment vertical="center"/>
    </xf>
    <xf numFmtId="0" fontId="0" fillId="0" borderId="52" xfId="0" applyBorder="1">
      <alignment vertical="center"/>
    </xf>
    <xf numFmtId="0" fontId="0" fillId="0" borderId="53" xfId="0" applyBorder="1">
      <alignment vertical="center"/>
    </xf>
    <xf numFmtId="0" fontId="6" fillId="0" borderId="55" xfId="0" applyFont="1" applyBorder="1">
      <alignment vertical="center"/>
    </xf>
    <xf numFmtId="0" fontId="6" fillId="0" borderId="56" xfId="0" applyFont="1" applyBorder="1">
      <alignment vertical="center"/>
    </xf>
    <xf numFmtId="178" fontId="5" fillId="0" borderId="47" xfId="0" applyNumberFormat="1" applyFont="1" applyBorder="1">
      <alignment vertical="center"/>
    </xf>
    <xf numFmtId="178" fontId="5" fillId="0" borderId="42" xfId="0" applyNumberFormat="1" applyFont="1" applyBorder="1">
      <alignment vertical="center"/>
    </xf>
    <xf numFmtId="178" fontId="5" fillId="0" borderId="48" xfId="0" applyNumberFormat="1" applyFont="1" applyBorder="1">
      <alignment vertical="center"/>
    </xf>
    <xf numFmtId="0" fontId="10" fillId="0" borderId="42" xfId="0" applyFont="1" applyBorder="1">
      <alignment vertical="center"/>
    </xf>
    <xf numFmtId="0" fontId="11" fillId="0" borderId="42" xfId="0" applyFont="1" applyBorder="1">
      <alignment vertical="center"/>
    </xf>
    <xf numFmtId="0" fontId="12" fillId="0" borderId="48" xfId="0" applyFont="1" applyBorder="1">
      <alignment vertical="center"/>
    </xf>
    <xf numFmtId="0" fontId="5" fillId="0" borderId="0" xfId="0" applyFont="1" applyAlignment="1">
      <alignment horizontal="right" vertical="center"/>
    </xf>
    <xf numFmtId="177" fontId="5" fillId="0" borderId="0" xfId="0" applyNumberFormat="1" applyFont="1">
      <alignment vertical="center"/>
    </xf>
    <xf numFmtId="56" fontId="5" fillId="0" borderId="0" xfId="0" applyNumberFormat="1" applyFont="1">
      <alignment vertical="center"/>
    </xf>
    <xf numFmtId="0" fontId="2" fillId="0" borderId="57" xfId="2" applyFont="1" applyBorder="1" applyAlignment="1" applyProtection="1">
      <alignment horizontal="center" vertical="center"/>
      <protection locked="0"/>
    </xf>
    <xf numFmtId="0" fontId="2" fillId="0" borderId="45" xfId="2" applyFont="1" applyBorder="1" applyAlignment="1" applyProtection="1">
      <alignment horizontal="center" vertical="center"/>
      <protection locked="0"/>
    </xf>
    <xf numFmtId="178" fontId="0" fillId="0" borderId="25" xfId="0" applyNumberFormat="1" applyBorder="1">
      <alignment vertical="center"/>
    </xf>
    <xf numFmtId="176" fontId="2" fillId="0" borderId="45" xfId="1" applyNumberFormat="1" applyFont="1" applyBorder="1" applyAlignment="1">
      <alignment horizontal="center" vertical="center"/>
    </xf>
    <xf numFmtId="38" fontId="2" fillId="0" borderId="45" xfId="1" applyFont="1" applyBorder="1" applyAlignment="1">
      <alignment horizontal="center" vertical="center"/>
    </xf>
    <xf numFmtId="38" fontId="2" fillId="0" borderId="45" xfId="1" applyFont="1" applyBorder="1"/>
    <xf numFmtId="38" fontId="2" fillId="0" borderId="58" xfId="1" applyFont="1" applyBorder="1" applyAlignment="1">
      <alignment horizontal="center" vertical="center"/>
    </xf>
    <xf numFmtId="0" fontId="0" fillId="13" borderId="0" xfId="0" applyFill="1">
      <alignment vertical="center"/>
    </xf>
    <xf numFmtId="0" fontId="0" fillId="0" borderId="62" xfId="0" applyBorder="1" applyAlignment="1"/>
    <xf numFmtId="0" fontId="0" fillId="0" borderId="62" xfId="0" applyBorder="1" applyAlignment="1">
      <alignment horizontal="left"/>
    </xf>
    <xf numFmtId="0" fontId="0" fillId="0" borderId="63" xfId="0" applyBorder="1" applyAlignment="1"/>
    <xf numFmtId="0" fontId="0" fillId="0" borderId="63" xfId="0" applyBorder="1" applyAlignment="1">
      <alignment horizontal="left"/>
    </xf>
    <xf numFmtId="0" fontId="0" fillId="14" borderId="63" xfId="0" applyFill="1" applyBorder="1" applyAlignment="1"/>
    <xf numFmtId="0" fontId="0" fillId="14" borderId="63" xfId="0" applyFill="1" applyBorder="1" applyAlignment="1">
      <alignment horizontal="left"/>
    </xf>
    <xf numFmtId="0" fontId="0" fillId="15" borderId="63" xfId="0" applyFill="1" applyBorder="1" applyAlignment="1"/>
    <xf numFmtId="0" fontId="0" fillId="15" borderId="63" xfId="0" applyFill="1" applyBorder="1" applyAlignment="1">
      <alignment horizontal="left"/>
    </xf>
    <xf numFmtId="0" fontId="0" fillId="0" borderId="64" xfId="0" applyBorder="1" applyAlignment="1"/>
    <xf numFmtId="0" fontId="0" fillId="0" borderId="64" xfId="0" applyBorder="1" applyAlignment="1">
      <alignment horizontal="left"/>
    </xf>
    <xf numFmtId="0" fontId="15" fillId="16" borderId="65" xfId="0" applyFont="1" applyFill="1" applyBorder="1" applyAlignment="1"/>
    <xf numFmtId="0" fontId="16" fillId="0" borderId="65" xfId="0" applyFont="1" applyBorder="1" applyAlignment="1">
      <alignment horizontal="left"/>
    </xf>
    <xf numFmtId="0" fontId="1" fillId="0" borderId="63" xfId="0" applyFont="1" applyBorder="1" applyAlignment="1">
      <alignment horizontal="left"/>
    </xf>
    <xf numFmtId="0" fontId="0" fillId="0" borderId="66" xfId="0" applyBorder="1" applyAlignment="1"/>
    <xf numFmtId="0" fontId="1" fillId="0" borderId="66" xfId="0" applyFont="1" applyBorder="1" applyAlignment="1">
      <alignment horizontal="left"/>
    </xf>
    <xf numFmtId="0" fontId="0" fillId="0" borderId="63" xfId="0" applyBorder="1" applyAlignment="1">
      <alignment shrinkToFit="1"/>
    </xf>
    <xf numFmtId="0" fontId="0" fillId="17" borderId="63" xfId="0" applyFill="1" applyBorder="1" applyAlignment="1"/>
    <xf numFmtId="0" fontId="0" fillId="17" borderId="63" xfId="0" applyFill="1" applyBorder="1" applyAlignment="1">
      <alignment horizontal="left"/>
    </xf>
    <xf numFmtId="0" fontId="1" fillId="0" borderId="63" xfId="0" applyFont="1" applyBorder="1" applyAlignment="1"/>
    <xf numFmtId="38" fontId="1" fillId="0" borderId="0" xfId="4"/>
    <xf numFmtId="14" fontId="17" fillId="0" borderId="0" xfId="4" applyNumberFormat="1" applyFont="1" applyAlignment="1">
      <alignment horizontal="right" wrapText="1"/>
    </xf>
    <xf numFmtId="38" fontId="18" fillId="0" borderId="70" xfId="4" applyFont="1" applyBorder="1" applyAlignment="1">
      <alignment horizontal="right"/>
    </xf>
    <xf numFmtId="38" fontId="1" fillId="0" borderId="68" xfId="4" applyBorder="1"/>
    <xf numFmtId="38" fontId="1" fillId="0" borderId="72" xfId="4" applyBorder="1"/>
    <xf numFmtId="38" fontId="19" fillId="0" borderId="70" xfId="4" applyFont="1" applyBorder="1" applyAlignment="1">
      <alignment horizontal="right"/>
    </xf>
    <xf numFmtId="0" fontId="0" fillId="0" borderId="0" xfId="0" applyAlignment="1"/>
    <xf numFmtId="0" fontId="1" fillId="0" borderId="0" xfId="0" applyFont="1" applyAlignment="1"/>
    <xf numFmtId="0" fontId="20" fillId="0" borderId="20" xfId="0" applyFont="1" applyBorder="1">
      <alignment vertical="center"/>
    </xf>
    <xf numFmtId="0" fontId="22" fillId="0" borderId="20" xfId="0" applyFont="1" applyBorder="1" applyAlignment="1">
      <alignment horizontal="left"/>
    </xf>
    <xf numFmtId="0" fontId="22" fillId="0" borderId="20" xfId="0" applyFont="1" applyBorder="1" applyAlignment="1"/>
    <xf numFmtId="38" fontId="14" fillId="0" borderId="0" xfId="4" applyFont="1" applyAlignment="1">
      <alignment horizontal="center" vertical="center"/>
    </xf>
    <xf numFmtId="38" fontId="14" fillId="0" borderId="73" xfId="4" applyFont="1" applyBorder="1" applyAlignment="1">
      <alignment horizontal="center" vertical="center"/>
    </xf>
    <xf numFmtId="0" fontId="16" fillId="0" borderId="74" xfId="0" applyFont="1" applyBorder="1" applyAlignment="1">
      <alignment horizontal="left"/>
    </xf>
    <xf numFmtId="0" fontId="0" fillId="0" borderId="20" xfId="0" applyBorder="1">
      <alignment vertical="center"/>
    </xf>
    <xf numFmtId="3" fontId="5" fillId="0" borderId="19" xfId="0" applyNumberFormat="1" applyFont="1" applyBorder="1">
      <alignment vertical="center"/>
    </xf>
    <xf numFmtId="0" fontId="0" fillId="0" borderId="78" xfId="0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26" fillId="0" borderId="25" xfId="0" applyFont="1" applyBorder="1" applyAlignment="1">
      <alignment horizontal="left" vertical="center"/>
    </xf>
    <xf numFmtId="0" fontId="26" fillId="0" borderId="29" xfId="0" applyFont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7" fillId="0" borderId="25" xfId="0" applyFont="1" applyBorder="1">
      <alignment vertical="center"/>
    </xf>
    <xf numFmtId="0" fontId="0" fillId="0" borderId="81" xfId="0" applyBorder="1" applyAlignment="1"/>
    <xf numFmtId="0" fontId="0" fillId="0" borderId="81" xfId="0" applyBorder="1" applyAlignment="1">
      <alignment horizontal="left"/>
    </xf>
    <xf numFmtId="38" fontId="1" fillId="0" borderId="71" xfId="4" applyBorder="1"/>
    <xf numFmtId="0" fontId="0" fillId="13" borderId="38" xfId="0" applyFill="1" applyBorder="1">
      <alignment vertical="center"/>
    </xf>
    <xf numFmtId="0" fontId="0" fillId="13" borderId="59" xfId="0" applyFill="1" applyBorder="1" applyAlignment="1">
      <alignment horizontal="center" vertical="center"/>
    </xf>
    <xf numFmtId="0" fontId="5" fillId="13" borderId="34" xfId="0" applyFont="1" applyFill="1" applyBorder="1" applyAlignment="1">
      <alignment horizontal="right" vertical="center"/>
    </xf>
    <xf numFmtId="0" fontId="5" fillId="13" borderId="43" xfId="0" applyFont="1" applyFill="1" applyBorder="1">
      <alignment vertical="center"/>
    </xf>
    <xf numFmtId="0" fontId="0" fillId="13" borderId="35" xfId="0" applyFill="1" applyBorder="1">
      <alignment vertical="center"/>
    </xf>
    <xf numFmtId="38" fontId="2" fillId="13" borderId="1" xfId="1" applyFont="1" applyFill="1" applyBorder="1" applyAlignment="1">
      <alignment vertical="center"/>
    </xf>
    <xf numFmtId="38" fontId="2" fillId="13" borderId="2" xfId="1" applyFont="1" applyFill="1" applyBorder="1" applyAlignment="1">
      <alignment vertical="center"/>
    </xf>
    <xf numFmtId="38" fontId="2" fillId="13" borderId="3" xfId="1" applyFont="1" applyFill="1" applyBorder="1" applyAlignment="1">
      <alignment vertical="center"/>
    </xf>
    <xf numFmtId="38" fontId="2" fillId="13" borderId="4" xfId="1" applyFont="1" applyFill="1" applyBorder="1" applyAlignment="1">
      <alignment vertical="center"/>
    </xf>
    <xf numFmtId="0" fontId="28" fillId="13" borderId="83" xfId="0" applyFont="1" applyFill="1" applyBorder="1" applyAlignment="1">
      <alignment horizontal="center" vertical="center"/>
    </xf>
    <xf numFmtId="0" fontId="28" fillId="13" borderId="84" xfId="0" applyFont="1" applyFill="1" applyBorder="1">
      <alignment vertical="center"/>
    </xf>
    <xf numFmtId="0" fontId="29" fillId="13" borderId="84" xfId="0" applyFont="1" applyFill="1" applyBorder="1">
      <alignment vertical="center"/>
    </xf>
    <xf numFmtId="56" fontId="29" fillId="13" borderId="85" xfId="0" applyNumberFormat="1" applyFont="1" applyFill="1" applyBorder="1" applyAlignment="1">
      <alignment horizontal="center" vertical="center"/>
    </xf>
    <xf numFmtId="0" fontId="0" fillId="0" borderId="87" xfId="0" applyBorder="1">
      <alignment vertical="center"/>
    </xf>
    <xf numFmtId="0" fontId="0" fillId="0" borderId="88" xfId="0" applyBorder="1">
      <alignment vertical="center"/>
    </xf>
    <xf numFmtId="0" fontId="5" fillId="0" borderId="88" xfId="0" applyFont="1" applyBorder="1">
      <alignment vertical="center"/>
    </xf>
    <xf numFmtId="0" fontId="25" fillId="0" borderId="88" xfId="0" applyFont="1" applyBorder="1">
      <alignment vertical="center"/>
    </xf>
    <xf numFmtId="0" fontId="27" fillId="0" borderId="8" xfId="0" applyFont="1" applyBorder="1">
      <alignment vertical="center"/>
    </xf>
    <xf numFmtId="0" fontId="27" fillId="0" borderId="28" xfId="0" applyFont="1" applyBorder="1">
      <alignment vertical="center"/>
    </xf>
    <xf numFmtId="38" fontId="2" fillId="13" borderId="21" xfId="1" applyFont="1" applyFill="1" applyBorder="1" applyAlignment="1">
      <alignment horizontal="center" vertical="center"/>
    </xf>
    <xf numFmtId="0" fontId="0" fillId="13" borderId="54" xfId="0" applyFill="1" applyBorder="1" applyAlignment="1">
      <alignment horizontal="center" vertical="center"/>
    </xf>
    <xf numFmtId="0" fontId="0" fillId="13" borderId="40" xfId="0" applyFill="1" applyBorder="1" applyAlignment="1">
      <alignment horizontal="center" vertical="center"/>
    </xf>
    <xf numFmtId="0" fontId="0" fillId="13" borderId="34" xfId="0" applyFill="1" applyBorder="1">
      <alignment vertical="center"/>
    </xf>
    <xf numFmtId="0" fontId="0" fillId="13" borderId="49" xfId="0" applyFill="1" applyBorder="1">
      <alignment vertical="center"/>
    </xf>
    <xf numFmtId="56" fontId="0" fillId="13" borderId="41" xfId="0" applyNumberFormat="1" applyFill="1" applyBorder="1">
      <alignment vertical="center"/>
    </xf>
    <xf numFmtId="0" fontId="0" fillId="13" borderId="50" xfId="0" applyFill="1" applyBorder="1" applyAlignment="1">
      <alignment horizontal="center" vertical="center"/>
    </xf>
    <xf numFmtId="0" fontId="5" fillId="13" borderId="21" xfId="0" applyFont="1" applyFill="1" applyBorder="1" applyAlignment="1">
      <alignment horizontal="center" vertical="center"/>
    </xf>
    <xf numFmtId="0" fontId="0" fillId="13" borderId="21" xfId="0" applyFill="1" applyBorder="1" applyAlignment="1">
      <alignment horizontal="center" vertical="center"/>
    </xf>
    <xf numFmtId="0" fontId="5" fillId="13" borderId="22" xfId="0" applyFont="1" applyFill="1" applyBorder="1" applyAlignment="1">
      <alignment horizontal="center" vertical="center"/>
    </xf>
    <xf numFmtId="0" fontId="0" fillId="13" borderId="89" xfId="0" applyFill="1" applyBorder="1" applyAlignment="1">
      <alignment horizontal="center" vertical="center"/>
    </xf>
    <xf numFmtId="0" fontId="0" fillId="13" borderId="90" xfId="0" applyFill="1" applyBorder="1">
      <alignment vertical="center"/>
    </xf>
    <xf numFmtId="0" fontId="0" fillId="13" borderId="91" xfId="0" applyFill="1" applyBorder="1">
      <alignment vertical="center"/>
    </xf>
    <xf numFmtId="0" fontId="30" fillId="0" borderId="25" xfId="0" applyFont="1" applyBorder="1" applyAlignment="1">
      <alignment horizontal="left" vertical="center"/>
    </xf>
    <xf numFmtId="0" fontId="27" fillId="0" borderId="29" xfId="0" applyFont="1" applyBorder="1">
      <alignment vertical="center"/>
    </xf>
    <xf numFmtId="56" fontId="27" fillId="13" borderId="85" xfId="0" applyNumberFormat="1" applyFont="1" applyFill="1" applyBorder="1" applyAlignment="1">
      <alignment horizontal="center" vertical="center"/>
    </xf>
    <xf numFmtId="177" fontId="27" fillId="13" borderId="86" xfId="0" applyNumberFormat="1" applyFont="1" applyFill="1" applyBorder="1">
      <alignment vertical="center"/>
    </xf>
    <xf numFmtId="0" fontId="27" fillId="0" borderId="96" xfId="0" applyFont="1" applyBorder="1">
      <alignment vertical="center"/>
    </xf>
    <xf numFmtId="0" fontId="28" fillId="0" borderId="25" xfId="0" applyFont="1" applyBorder="1">
      <alignment vertical="center"/>
    </xf>
    <xf numFmtId="0" fontId="29" fillId="13" borderId="20" xfId="0" applyFont="1" applyFill="1" applyBorder="1" applyAlignment="1">
      <alignment horizontal="center" vertical="center"/>
    </xf>
    <xf numFmtId="0" fontId="5" fillId="13" borderId="0" xfId="0" applyFont="1" applyFill="1" applyAlignment="1">
      <alignment horizontal="right" vertical="center"/>
    </xf>
    <xf numFmtId="0" fontId="5" fillId="13" borderId="20" xfId="0" applyFont="1" applyFill="1" applyBorder="1" applyAlignment="1">
      <alignment horizontal="right" vertical="center"/>
    </xf>
    <xf numFmtId="0" fontId="5" fillId="13" borderId="20" xfId="0" applyFont="1" applyFill="1" applyBorder="1" applyAlignment="1">
      <alignment horizontal="center" vertical="center"/>
    </xf>
    <xf numFmtId="0" fontId="13" fillId="13" borderId="20" xfId="0" applyFont="1" applyFill="1" applyBorder="1" applyAlignment="1">
      <alignment horizontal="center" vertical="center"/>
    </xf>
    <xf numFmtId="177" fontId="5" fillId="13" borderId="20" xfId="0" applyNumberFormat="1" applyFont="1" applyFill="1" applyBorder="1" applyAlignment="1">
      <alignment horizontal="center" vertical="center"/>
    </xf>
    <xf numFmtId="0" fontId="31" fillId="0" borderId="0" xfId="0" applyFont="1">
      <alignment vertical="center"/>
    </xf>
    <xf numFmtId="0" fontId="0" fillId="13" borderId="46" xfId="0" applyFill="1" applyBorder="1" applyAlignment="1">
      <alignment horizontal="left" vertical="center"/>
    </xf>
    <xf numFmtId="0" fontId="5" fillId="13" borderId="46" xfId="0" applyFont="1" applyFill="1" applyBorder="1" applyAlignment="1">
      <alignment horizontal="center" vertical="center"/>
    </xf>
    <xf numFmtId="38" fontId="2" fillId="13" borderId="0" xfId="1" applyFont="1" applyFill="1" applyAlignment="1">
      <alignment vertical="center"/>
    </xf>
    <xf numFmtId="179" fontId="1" fillId="0" borderId="71" xfId="4" applyNumberFormat="1" applyBorder="1" applyAlignment="1">
      <alignment horizontal="right"/>
    </xf>
    <xf numFmtId="56" fontId="0" fillId="13" borderId="92" xfId="0" applyNumberFormat="1" applyFill="1" applyBorder="1" applyAlignment="1">
      <alignment horizontal="left" vertical="center"/>
    </xf>
    <xf numFmtId="0" fontId="0" fillId="13" borderId="31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38" fontId="2" fillId="13" borderId="31" xfId="1" applyFont="1" applyFill="1" applyBorder="1" applyAlignment="1">
      <alignment horizontal="center" vertical="center"/>
    </xf>
    <xf numFmtId="38" fontId="2" fillId="13" borderId="5" xfId="1" applyFont="1" applyFill="1" applyBorder="1" applyAlignment="1">
      <alignment vertical="center"/>
    </xf>
    <xf numFmtId="38" fontId="2" fillId="13" borderId="6" xfId="1" applyFont="1" applyFill="1" applyBorder="1" applyAlignment="1">
      <alignment vertical="center"/>
    </xf>
    <xf numFmtId="0" fontId="0" fillId="13" borderId="97" xfId="0" applyFill="1" applyBorder="1" applyAlignment="1">
      <alignment horizontal="center" vertical="center"/>
    </xf>
    <xf numFmtId="0" fontId="6" fillId="0" borderId="77" xfId="0" applyFont="1" applyBorder="1">
      <alignment vertical="center"/>
    </xf>
    <xf numFmtId="178" fontId="5" fillId="0" borderId="25" xfId="0" applyNumberFormat="1" applyFont="1" applyBorder="1">
      <alignment vertical="center"/>
    </xf>
    <xf numFmtId="178" fontId="24" fillId="20" borderId="98" xfId="0" applyNumberFormat="1" applyFont="1" applyFill="1" applyBorder="1">
      <alignment vertical="center"/>
    </xf>
    <xf numFmtId="178" fontId="24" fillId="20" borderId="99" xfId="0" applyNumberFormat="1" applyFont="1" applyFill="1" applyBorder="1">
      <alignment vertical="center"/>
    </xf>
    <xf numFmtId="178" fontId="32" fillId="20" borderId="103" xfId="0" applyNumberFormat="1" applyFont="1" applyFill="1" applyBorder="1">
      <alignment vertical="center"/>
    </xf>
    <xf numFmtId="178" fontId="32" fillId="20" borderId="99" xfId="0" applyNumberFormat="1" applyFont="1" applyFill="1" applyBorder="1">
      <alignment vertical="center"/>
    </xf>
    <xf numFmtId="178" fontId="5" fillId="0" borderId="101" xfId="0" applyNumberFormat="1" applyFont="1" applyBorder="1">
      <alignment vertical="center"/>
    </xf>
    <xf numFmtId="178" fontId="5" fillId="0" borderId="102" xfId="0" applyNumberFormat="1" applyFont="1" applyBorder="1">
      <alignment vertical="center"/>
    </xf>
    <xf numFmtId="178" fontId="27" fillId="20" borderId="99" xfId="0" applyNumberFormat="1" applyFont="1" applyFill="1" applyBorder="1">
      <alignment vertical="center"/>
    </xf>
    <xf numFmtId="178" fontId="24" fillId="21" borderId="104" xfId="0" applyNumberFormat="1" applyFont="1" applyFill="1" applyBorder="1">
      <alignment vertical="center"/>
    </xf>
    <xf numFmtId="178" fontId="32" fillId="21" borderId="104" xfId="0" applyNumberFormat="1" applyFont="1" applyFill="1" applyBorder="1">
      <alignment vertical="center"/>
    </xf>
    <xf numFmtId="178" fontId="27" fillId="21" borderId="104" xfId="0" applyNumberFormat="1" applyFont="1" applyFill="1" applyBorder="1">
      <alignment vertical="center"/>
    </xf>
    <xf numFmtId="0" fontId="33" fillId="0" borderId="100" xfId="0" applyFont="1" applyBorder="1" applyAlignment="1">
      <alignment horizontal="left" vertical="center"/>
    </xf>
    <xf numFmtId="0" fontId="33" fillId="0" borderId="105" xfId="0" applyFont="1" applyBorder="1" applyAlignment="1">
      <alignment horizontal="left" vertical="center"/>
    </xf>
    <xf numFmtId="0" fontId="33" fillId="21" borderId="97" xfId="0" applyFont="1" applyFill="1" applyBorder="1" applyAlignment="1">
      <alignment horizontal="left" vertical="center"/>
    </xf>
    <xf numFmtId="0" fontId="33" fillId="20" borderId="31" xfId="0" applyFont="1" applyFill="1" applyBorder="1" applyAlignment="1">
      <alignment horizontal="left" vertical="center"/>
    </xf>
    <xf numFmtId="0" fontId="34" fillId="0" borderId="25" xfId="0" applyFont="1" applyBorder="1" applyAlignment="1">
      <alignment horizontal="left" vertical="center"/>
    </xf>
    <xf numFmtId="0" fontId="35" fillId="0" borderId="25" xfId="0" applyFont="1" applyBorder="1" applyAlignment="1">
      <alignment horizontal="left" vertical="center"/>
    </xf>
    <xf numFmtId="0" fontId="30" fillId="0" borderId="29" xfId="0" applyFont="1" applyBorder="1" applyAlignment="1">
      <alignment horizontal="left" vertical="center"/>
    </xf>
    <xf numFmtId="0" fontId="36" fillId="13" borderId="20" xfId="0" applyFont="1" applyFill="1" applyBorder="1" applyAlignment="1">
      <alignment horizontal="center" vertical="center"/>
    </xf>
    <xf numFmtId="0" fontId="5" fillId="13" borderId="0" xfId="0" applyFont="1" applyFill="1" applyAlignment="1">
      <alignment horizontal="center" vertical="center"/>
    </xf>
    <xf numFmtId="0" fontId="37" fillId="0" borderId="23" xfId="0" applyFont="1" applyBorder="1" applyAlignment="1">
      <alignment horizontal="left" vertical="center"/>
    </xf>
    <xf numFmtId="0" fontId="29" fillId="12" borderId="24" xfId="0" applyFont="1" applyFill="1" applyBorder="1">
      <alignment vertical="center"/>
    </xf>
    <xf numFmtId="0" fontId="28" fillId="0" borderId="93" xfId="0" applyFont="1" applyBorder="1">
      <alignment vertical="center"/>
    </xf>
    <xf numFmtId="0" fontId="28" fillId="0" borderId="94" xfId="0" applyFont="1" applyBorder="1">
      <alignment vertical="center"/>
    </xf>
    <xf numFmtId="0" fontId="29" fillId="0" borderId="94" xfId="0" applyFont="1" applyBorder="1">
      <alignment vertical="center"/>
    </xf>
    <xf numFmtId="0" fontId="28" fillId="0" borderId="95" xfId="0" applyFont="1" applyBorder="1">
      <alignment vertical="center"/>
    </xf>
    <xf numFmtId="0" fontId="29" fillId="0" borderId="31" xfId="0" applyFont="1" applyBorder="1">
      <alignment vertical="center"/>
    </xf>
    <xf numFmtId="0" fontId="28" fillId="0" borderId="51" xfId="0" applyFont="1" applyBorder="1">
      <alignment vertical="center"/>
    </xf>
    <xf numFmtId="0" fontId="29" fillId="0" borderId="23" xfId="0" applyFont="1" applyBorder="1">
      <alignment vertical="center"/>
    </xf>
    <xf numFmtId="0" fontId="29" fillId="0" borderId="76" xfId="0" applyFont="1" applyBorder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horizontal="right" vertical="center"/>
    </xf>
    <xf numFmtId="0" fontId="29" fillId="0" borderId="0" xfId="0" applyFont="1">
      <alignment vertical="center"/>
    </xf>
    <xf numFmtId="0" fontId="0" fillId="15" borderId="66" xfId="0" applyFill="1" applyBorder="1" applyAlignment="1"/>
    <xf numFmtId="0" fontId="0" fillId="15" borderId="66" xfId="0" applyFill="1" applyBorder="1" applyAlignment="1">
      <alignment horizontal="left"/>
    </xf>
    <xf numFmtId="0" fontId="0" fillId="0" borderId="61" xfId="0" applyBorder="1" applyAlignment="1"/>
    <xf numFmtId="0" fontId="0" fillId="0" borderId="61" xfId="0" applyBorder="1" applyAlignment="1">
      <alignment horizontal="left"/>
    </xf>
    <xf numFmtId="38" fontId="1" fillId="0" borderId="106" xfId="4" applyBorder="1" applyAlignment="1">
      <alignment horizontal="right"/>
    </xf>
    <xf numFmtId="38" fontId="1" fillId="0" borderId="68" xfId="4" applyBorder="1" applyAlignment="1">
      <alignment horizontal="right"/>
    </xf>
    <xf numFmtId="0" fontId="0" fillId="13" borderId="107" xfId="0" applyFill="1" applyBorder="1">
      <alignment vertical="center"/>
    </xf>
    <xf numFmtId="56" fontId="28" fillId="13" borderId="108" xfId="0" applyNumberFormat="1" applyFont="1" applyFill="1" applyBorder="1">
      <alignment vertical="center"/>
    </xf>
    <xf numFmtId="56" fontId="28" fillId="13" borderId="109" xfId="0" applyNumberFormat="1" applyFont="1" applyFill="1" applyBorder="1">
      <alignment vertical="center"/>
    </xf>
    <xf numFmtId="177" fontId="29" fillId="13" borderId="110" xfId="0" applyNumberFormat="1" applyFont="1" applyFill="1" applyBorder="1">
      <alignment vertical="center"/>
    </xf>
    <xf numFmtId="0" fontId="5" fillId="12" borderId="111" xfId="0" applyFont="1" applyFill="1" applyBorder="1" applyAlignment="1">
      <alignment horizontal="center" vertical="center"/>
    </xf>
    <xf numFmtId="0" fontId="5" fillId="0" borderId="111" xfId="0" applyFont="1" applyBorder="1" applyAlignment="1">
      <alignment horizontal="center" vertical="center"/>
    </xf>
    <xf numFmtId="0" fontId="0" fillId="13" borderId="73" xfId="0" applyFill="1" applyBorder="1">
      <alignment vertical="center"/>
    </xf>
    <xf numFmtId="0" fontId="0" fillId="13" borderId="60" xfId="0" applyFill="1" applyBorder="1">
      <alignment vertical="center"/>
    </xf>
    <xf numFmtId="0" fontId="0" fillId="0" borderId="113" xfId="0" applyBorder="1">
      <alignment vertical="center"/>
    </xf>
    <xf numFmtId="0" fontId="0" fillId="0" borderId="114" xfId="0" applyBorder="1">
      <alignment vertical="center"/>
    </xf>
    <xf numFmtId="0" fontId="0" fillId="0" borderId="115" xfId="0" applyBorder="1">
      <alignment vertical="center"/>
    </xf>
    <xf numFmtId="0" fontId="5" fillId="0" borderId="115" xfId="0" applyFont="1" applyBorder="1">
      <alignment vertical="center"/>
    </xf>
    <xf numFmtId="0" fontId="25" fillId="0" borderId="115" xfId="0" applyFont="1" applyBorder="1">
      <alignment vertical="center"/>
    </xf>
    <xf numFmtId="0" fontId="27" fillId="0" borderId="112" xfId="0" applyFont="1" applyBorder="1">
      <alignment vertical="center"/>
    </xf>
    <xf numFmtId="3" fontId="5" fillId="0" borderId="116" xfId="0" applyNumberFormat="1" applyFont="1" applyBorder="1">
      <alignment vertical="center"/>
    </xf>
    <xf numFmtId="0" fontId="5" fillId="12" borderId="117" xfId="0" applyFont="1" applyFill="1" applyBorder="1">
      <alignment vertical="center"/>
    </xf>
    <xf numFmtId="0" fontId="5" fillId="0" borderId="117" xfId="0" applyFont="1" applyBorder="1">
      <alignment vertical="center"/>
    </xf>
    <xf numFmtId="0" fontId="5" fillId="17" borderId="0" xfId="0" applyFont="1" applyFill="1" applyAlignment="1">
      <alignment horizontal="left" vertical="center"/>
    </xf>
    <xf numFmtId="38" fontId="1" fillId="0" borderId="69" xfId="4" applyBorder="1" applyAlignment="1">
      <alignment horizontal="right"/>
    </xf>
    <xf numFmtId="176" fontId="2" fillId="6" borderId="7" xfId="1" applyNumberFormat="1" applyFont="1" applyFill="1" applyBorder="1" applyAlignment="1">
      <alignment horizontal="center" vertical="center"/>
    </xf>
    <xf numFmtId="176" fontId="2" fillId="5" borderId="7" xfId="1" applyNumberFormat="1" applyFont="1" applyFill="1" applyBorder="1" applyAlignment="1">
      <alignment horizontal="center" vertical="center"/>
    </xf>
    <xf numFmtId="38" fontId="2" fillId="5" borderId="7" xfId="1" applyFont="1" applyFill="1" applyBorder="1" applyAlignment="1">
      <alignment horizontal="center" vertical="center"/>
    </xf>
    <xf numFmtId="38" fontId="2" fillId="6" borderId="7" xfId="1" applyFont="1" applyFill="1" applyBorder="1" applyAlignment="1">
      <alignment horizontal="center" vertical="center"/>
    </xf>
    <xf numFmtId="38" fontId="2" fillId="6" borderId="11" xfId="1" applyFont="1" applyFill="1" applyBorder="1" applyAlignment="1">
      <alignment horizontal="center"/>
    </xf>
    <xf numFmtId="0" fontId="2" fillId="2" borderId="11" xfId="2" applyFont="1" applyFill="1" applyBorder="1" applyAlignment="1" applyProtection="1">
      <alignment horizontal="center" vertical="center"/>
      <protection locked="0"/>
    </xf>
    <xf numFmtId="0" fontId="2" fillId="2" borderId="12" xfId="2" applyFont="1" applyFill="1" applyBorder="1" applyAlignment="1" applyProtection="1">
      <alignment horizontal="center" vertical="center"/>
      <protection locked="0"/>
    </xf>
    <xf numFmtId="0" fontId="0" fillId="0" borderId="121" xfId="0" applyBorder="1">
      <alignment vertical="center"/>
    </xf>
    <xf numFmtId="0" fontId="0" fillId="0" borderId="122" xfId="0" applyBorder="1">
      <alignment vertical="center"/>
    </xf>
    <xf numFmtId="0" fontId="5" fillId="0" borderId="122" xfId="0" applyFont="1" applyBorder="1">
      <alignment vertical="center"/>
    </xf>
    <xf numFmtId="0" fontId="25" fillId="0" borderId="122" xfId="0" applyFont="1" applyBorder="1">
      <alignment vertical="center"/>
    </xf>
    <xf numFmtId="0" fontId="0" fillId="0" borderId="123" xfId="0" applyBorder="1">
      <alignment vertical="center"/>
    </xf>
    <xf numFmtId="0" fontId="0" fillId="0" borderId="124" xfId="0" applyBorder="1">
      <alignment vertical="center"/>
    </xf>
    <xf numFmtId="0" fontId="5" fillId="0" borderId="124" xfId="0" applyFont="1" applyBorder="1">
      <alignment vertical="center"/>
    </xf>
    <xf numFmtId="0" fontId="25" fillId="0" borderId="124" xfId="0" applyFont="1" applyBorder="1">
      <alignment vertical="center"/>
    </xf>
    <xf numFmtId="0" fontId="27" fillId="0" borderId="12" xfId="0" applyFont="1" applyBorder="1">
      <alignment vertical="center"/>
    </xf>
    <xf numFmtId="0" fontId="5" fillId="0" borderId="33" xfId="0" applyFont="1" applyBorder="1">
      <alignment vertical="center"/>
    </xf>
    <xf numFmtId="0" fontId="0" fillId="0" borderId="125" xfId="0" applyBorder="1">
      <alignment vertical="center"/>
    </xf>
    <xf numFmtId="38" fontId="2" fillId="5" borderId="139" xfId="1" applyFont="1" applyFill="1" applyBorder="1" applyAlignment="1">
      <alignment horizontal="center" vertical="center"/>
    </xf>
    <xf numFmtId="38" fontId="2" fillId="5" borderId="140" xfId="1" applyFont="1" applyFill="1" applyBorder="1" applyAlignment="1">
      <alignment horizontal="center" vertical="center"/>
    </xf>
    <xf numFmtId="0" fontId="0" fillId="0" borderId="141" xfId="0" applyBorder="1">
      <alignment vertical="center"/>
    </xf>
    <xf numFmtId="0" fontId="0" fillId="0" borderId="142" xfId="0" applyBorder="1">
      <alignment vertical="center"/>
    </xf>
    <xf numFmtId="0" fontId="0" fillId="0" borderId="143" xfId="0" applyBorder="1">
      <alignment vertical="center"/>
    </xf>
    <xf numFmtId="0" fontId="5" fillId="0" borderId="143" xfId="0" applyFont="1" applyBorder="1">
      <alignment vertical="center"/>
    </xf>
    <xf numFmtId="0" fontId="25" fillId="0" borderId="143" xfId="0" applyFont="1" applyBorder="1">
      <alignment vertical="center"/>
    </xf>
    <xf numFmtId="0" fontId="27" fillId="0" borderId="140" xfId="0" applyFont="1" applyBorder="1">
      <alignment vertical="center"/>
    </xf>
    <xf numFmtId="0" fontId="5" fillId="12" borderId="144" xfId="0" applyFont="1" applyFill="1" applyBorder="1">
      <alignment vertical="center"/>
    </xf>
    <xf numFmtId="0" fontId="5" fillId="0" borderId="144" xfId="0" applyFont="1" applyBorder="1">
      <alignment vertical="center"/>
    </xf>
    <xf numFmtId="0" fontId="0" fillId="0" borderId="138" xfId="0" applyBorder="1">
      <alignment vertical="center"/>
    </xf>
    <xf numFmtId="176" fontId="2" fillId="0" borderId="119" xfId="1" applyNumberFormat="1" applyFont="1" applyBorder="1" applyAlignment="1">
      <alignment horizontal="right" vertical="center"/>
    </xf>
    <xf numFmtId="178" fontId="27" fillId="20" borderId="104" xfId="0" applyNumberFormat="1" applyFont="1" applyFill="1" applyBorder="1">
      <alignment vertical="center"/>
    </xf>
    <xf numFmtId="176" fontId="2" fillId="0" borderId="3" xfId="1" applyNumberFormat="1" applyFont="1" applyBorder="1" applyAlignment="1">
      <alignment horizontal="right" vertical="center"/>
    </xf>
    <xf numFmtId="176" fontId="2" fillId="0" borderId="7" xfId="1" applyNumberFormat="1" applyFont="1" applyBorder="1" applyAlignment="1">
      <alignment horizontal="right" vertical="center"/>
    </xf>
    <xf numFmtId="38" fontId="2" fillId="0" borderId="57" xfId="1" applyFont="1" applyBorder="1" applyAlignment="1">
      <alignment horizontal="center"/>
    </xf>
    <xf numFmtId="38" fontId="2" fillId="5" borderId="139" xfId="1" applyFont="1" applyFill="1" applyBorder="1" applyAlignment="1">
      <alignment horizontal="right" vertical="center"/>
    </xf>
    <xf numFmtId="38" fontId="2" fillId="0" borderId="145" xfId="1" applyFont="1" applyBorder="1" applyAlignment="1">
      <alignment horizontal="center" vertical="center"/>
    </xf>
    <xf numFmtId="0" fontId="0" fillId="0" borderId="146" xfId="0" applyBorder="1">
      <alignment vertical="center"/>
    </xf>
    <xf numFmtId="176" fontId="2" fillId="0" borderId="58" xfId="1" applyNumberFormat="1" applyFont="1" applyBorder="1" applyAlignment="1">
      <alignment horizontal="center" vertical="center"/>
    </xf>
    <xf numFmtId="176" fontId="2" fillId="5" borderId="132" xfId="1" applyNumberFormat="1" applyFont="1" applyFill="1" applyBorder="1" applyAlignment="1">
      <alignment horizontal="right" vertical="center"/>
    </xf>
    <xf numFmtId="176" fontId="2" fillId="0" borderId="147" xfId="1" applyNumberFormat="1" applyFont="1" applyBorder="1" applyAlignment="1">
      <alignment horizontal="center" vertical="center"/>
    </xf>
    <xf numFmtId="0" fontId="0" fillId="0" borderId="148" xfId="0" applyBorder="1">
      <alignment vertical="center"/>
    </xf>
    <xf numFmtId="0" fontId="38" fillId="0" borderId="0" xfId="0" applyFont="1">
      <alignment vertical="center"/>
    </xf>
    <xf numFmtId="0" fontId="1" fillId="0" borderId="7" xfId="2" applyBorder="1" applyAlignment="1" applyProtection="1">
      <alignment horizontal="center" vertical="center"/>
      <protection locked="0"/>
    </xf>
    <xf numFmtId="0" fontId="1" fillId="0" borderId="8" xfId="2" applyBorder="1" applyAlignment="1" applyProtection="1">
      <alignment horizontal="center" vertical="center"/>
      <protection locked="0"/>
    </xf>
    <xf numFmtId="0" fontId="38" fillId="0" borderId="37" xfId="0" applyFont="1" applyBorder="1">
      <alignment vertical="center"/>
    </xf>
    <xf numFmtId="0" fontId="38" fillId="0" borderId="121" xfId="0" applyFont="1" applyBorder="1">
      <alignment vertical="center"/>
    </xf>
    <xf numFmtId="0" fontId="38" fillId="0" borderId="122" xfId="0" applyFont="1" applyBorder="1">
      <alignment vertical="center"/>
    </xf>
    <xf numFmtId="0" fontId="29" fillId="0" borderId="122" xfId="0" applyFont="1" applyBorder="1">
      <alignment vertical="center"/>
    </xf>
    <xf numFmtId="0" fontId="28" fillId="0" borderId="122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6" xfId="0" applyFont="1" applyBorder="1">
      <alignment vertical="center"/>
    </xf>
    <xf numFmtId="0" fontId="38" fillId="0" borderId="79" xfId="0" applyFont="1" applyBorder="1">
      <alignment vertical="center"/>
    </xf>
    <xf numFmtId="0" fontId="38" fillId="0" borderId="0" xfId="0" applyFont="1" applyAlignment="1">
      <alignment horizontal="right" vertical="center"/>
    </xf>
    <xf numFmtId="176" fontId="1" fillId="0" borderId="7" xfId="1" applyNumberFormat="1" applyBorder="1" applyAlignment="1">
      <alignment horizontal="center" vertical="center"/>
    </xf>
    <xf numFmtId="176" fontId="1" fillId="0" borderId="8" xfId="1" applyNumberFormat="1" applyBorder="1" applyAlignment="1">
      <alignment horizontal="center" vertical="center"/>
    </xf>
    <xf numFmtId="0" fontId="1" fillId="0" borderId="119" xfId="2" applyBorder="1" applyAlignment="1" applyProtection="1">
      <alignment horizontal="center" vertical="center"/>
      <protection locked="0"/>
    </xf>
    <xf numFmtId="0" fontId="1" fillId="0" borderId="120" xfId="2" applyBorder="1" applyAlignment="1" applyProtection="1">
      <alignment horizontal="center" vertical="center"/>
      <protection locked="0"/>
    </xf>
    <xf numFmtId="0" fontId="38" fillId="0" borderId="127" xfId="0" applyFont="1" applyBorder="1">
      <alignment vertical="center"/>
    </xf>
    <xf numFmtId="0" fontId="38" fillId="0" borderId="128" xfId="0" applyFont="1" applyBorder="1">
      <alignment vertical="center"/>
    </xf>
    <xf numFmtId="0" fontId="38" fillId="0" borderId="129" xfId="0" applyFont="1" applyBorder="1">
      <alignment vertical="center"/>
    </xf>
    <xf numFmtId="0" fontId="29" fillId="0" borderId="129" xfId="0" applyFont="1" applyBorder="1">
      <alignment vertical="center"/>
    </xf>
    <xf numFmtId="0" fontId="28" fillId="0" borderId="129" xfId="0" applyFont="1" applyBorder="1">
      <alignment vertical="center"/>
    </xf>
    <xf numFmtId="0" fontId="29" fillId="0" borderId="120" xfId="0" applyFont="1" applyBorder="1">
      <alignment vertical="center"/>
    </xf>
    <xf numFmtId="0" fontId="29" fillId="0" borderId="130" xfId="0" applyFont="1" applyBorder="1">
      <alignment vertical="center"/>
    </xf>
    <xf numFmtId="0" fontId="38" fillId="0" borderId="131" xfId="0" applyFont="1" applyBorder="1">
      <alignment vertical="center"/>
    </xf>
    <xf numFmtId="176" fontId="1" fillId="0" borderId="132" xfId="1" applyNumberFormat="1" applyBorder="1" applyAlignment="1">
      <alignment horizontal="center" vertical="center"/>
    </xf>
    <xf numFmtId="176" fontId="1" fillId="0" borderId="133" xfId="1" applyNumberFormat="1" applyBorder="1" applyAlignment="1">
      <alignment horizontal="center" vertical="center"/>
    </xf>
    <xf numFmtId="0" fontId="38" fillId="0" borderId="134" xfId="0" applyFont="1" applyBorder="1">
      <alignment vertical="center"/>
    </xf>
    <xf numFmtId="0" fontId="38" fillId="0" borderId="135" xfId="0" applyFont="1" applyBorder="1">
      <alignment vertical="center"/>
    </xf>
    <xf numFmtId="0" fontId="38" fillId="0" borderId="136" xfId="0" applyFont="1" applyBorder="1">
      <alignment vertical="center"/>
    </xf>
    <xf numFmtId="0" fontId="29" fillId="0" borderId="136" xfId="0" applyFont="1" applyBorder="1">
      <alignment vertical="center"/>
    </xf>
    <xf numFmtId="0" fontId="28" fillId="0" borderId="136" xfId="0" applyFont="1" applyBorder="1">
      <alignment vertical="center"/>
    </xf>
    <xf numFmtId="0" fontId="29" fillId="0" borderId="133" xfId="0" applyFont="1" applyBorder="1">
      <alignment vertical="center"/>
    </xf>
    <xf numFmtId="0" fontId="29" fillId="0" borderId="137" xfId="0" applyFont="1" applyBorder="1">
      <alignment vertical="center"/>
    </xf>
    <xf numFmtId="0" fontId="38" fillId="0" borderId="126" xfId="0" applyFont="1" applyBorder="1">
      <alignment vertical="center"/>
    </xf>
    <xf numFmtId="180" fontId="5" fillId="0" borderId="0" xfId="0" applyNumberFormat="1" applyFont="1">
      <alignment vertical="center"/>
    </xf>
    <xf numFmtId="177" fontId="29" fillId="13" borderId="109" xfId="0" applyNumberFormat="1" applyFont="1" applyFill="1" applyBorder="1">
      <alignment vertical="center"/>
    </xf>
    <xf numFmtId="38" fontId="1" fillId="0" borderId="106" xfId="4" applyBorder="1"/>
    <xf numFmtId="38" fontId="17" fillId="0" borderId="149" xfId="4" applyFont="1" applyBorder="1"/>
    <xf numFmtId="0" fontId="39" fillId="17" borderId="0" xfId="0" applyFont="1" applyFill="1" applyAlignment="1">
      <alignment horizontal="center" vertical="center"/>
    </xf>
    <xf numFmtId="38" fontId="4" fillId="8" borderId="151" xfId="1" applyFont="1" applyFill="1" applyBorder="1" applyAlignment="1">
      <alignment vertical="center"/>
    </xf>
    <xf numFmtId="0" fontId="0" fillId="0" borderId="48" xfId="0" applyBorder="1">
      <alignment vertical="center"/>
    </xf>
    <xf numFmtId="0" fontId="28" fillId="0" borderId="152" xfId="0" applyFont="1" applyBorder="1">
      <alignment vertical="center"/>
    </xf>
    <xf numFmtId="0" fontId="0" fillId="13" borderId="46" xfId="0" applyFill="1" applyBorder="1" applyAlignment="1">
      <alignment horizontal="center" vertical="center"/>
    </xf>
    <xf numFmtId="0" fontId="29" fillId="0" borderId="47" xfId="0" applyFont="1" applyBorder="1">
      <alignment vertical="center"/>
    </xf>
    <xf numFmtId="0" fontId="27" fillId="0" borderId="42" xfId="0" applyFont="1" applyBorder="1">
      <alignment vertical="center"/>
    </xf>
    <xf numFmtId="0" fontId="28" fillId="0" borderId="42" xfId="0" applyFont="1" applyBorder="1">
      <alignment vertical="center"/>
    </xf>
    <xf numFmtId="56" fontId="0" fillId="13" borderId="153" xfId="0" applyNumberFormat="1" applyFill="1" applyBorder="1" applyAlignment="1">
      <alignment horizontal="left" vertical="center"/>
    </xf>
    <xf numFmtId="0" fontId="29" fillId="0" borderId="24" xfId="0" applyFont="1" applyBorder="1">
      <alignment vertical="center"/>
    </xf>
    <xf numFmtId="0" fontId="28" fillId="0" borderId="154" xfId="0" applyFont="1" applyBorder="1">
      <alignment vertical="center"/>
    </xf>
    <xf numFmtId="0" fontId="28" fillId="0" borderId="155" xfId="0" applyFont="1" applyBorder="1">
      <alignment vertical="center"/>
    </xf>
    <xf numFmtId="0" fontId="29" fillId="0" borderId="155" xfId="0" applyFont="1" applyBorder="1">
      <alignment vertical="center"/>
    </xf>
    <xf numFmtId="0" fontId="28" fillId="0" borderId="156" xfId="0" applyFont="1" applyBorder="1">
      <alignment vertical="center"/>
    </xf>
    <xf numFmtId="0" fontId="24" fillId="0" borderId="26" xfId="0" applyFont="1" applyBorder="1">
      <alignment vertical="center"/>
    </xf>
    <xf numFmtId="0" fontId="5" fillId="0" borderId="30" xfId="0" applyFont="1" applyBorder="1">
      <alignment vertical="center"/>
    </xf>
    <xf numFmtId="0" fontId="29" fillId="0" borderId="77" xfId="0" applyFont="1" applyBorder="1">
      <alignment vertical="center"/>
    </xf>
    <xf numFmtId="0" fontId="33" fillId="23" borderId="31" xfId="0" applyFont="1" applyFill="1" applyBorder="1" applyAlignment="1">
      <alignment horizontal="left" vertical="center"/>
    </xf>
    <xf numFmtId="178" fontId="27" fillId="24" borderId="99" xfId="0" applyNumberFormat="1" applyFont="1" applyFill="1" applyBorder="1">
      <alignment vertical="center"/>
    </xf>
    <xf numFmtId="178" fontId="5" fillId="0" borderId="31" xfId="0" applyNumberFormat="1" applyFont="1" applyBorder="1">
      <alignment vertical="center"/>
    </xf>
    <xf numFmtId="178" fontId="27" fillId="23" borderId="157" xfId="0" applyNumberFormat="1" applyFont="1" applyFill="1" applyBorder="1">
      <alignment vertical="center"/>
    </xf>
    <xf numFmtId="178" fontId="24" fillId="23" borderId="103" xfId="0" applyNumberFormat="1" applyFont="1" applyFill="1" applyBorder="1">
      <alignment vertical="center"/>
    </xf>
    <xf numFmtId="178" fontId="41" fillId="24" borderId="99" xfId="0" applyNumberFormat="1" applyFont="1" applyFill="1" applyBorder="1">
      <alignment vertical="center"/>
    </xf>
    <xf numFmtId="178" fontId="41" fillId="23" borderId="99" xfId="0" applyNumberFormat="1" applyFont="1" applyFill="1" applyBorder="1">
      <alignment vertical="center"/>
    </xf>
    <xf numFmtId="178" fontId="5" fillId="0" borderId="158" xfId="0" applyNumberFormat="1" applyFont="1" applyBorder="1">
      <alignment vertical="center"/>
    </xf>
    <xf numFmtId="180" fontId="0" fillId="0" borderId="23" xfId="0" applyNumberFormat="1" applyBorder="1">
      <alignment vertical="center"/>
    </xf>
    <xf numFmtId="180" fontId="0" fillId="0" borderId="25" xfId="0" applyNumberFormat="1" applyBorder="1">
      <alignment vertical="center"/>
    </xf>
    <xf numFmtId="180" fontId="0" fillId="0" borderId="29" xfId="0" applyNumberFormat="1" applyBorder="1">
      <alignment vertical="center"/>
    </xf>
    <xf numFmtId="0" fontId="2" fillId="2" borderId="4" xfId="2" applyFont="1" applyFill="1" applyBorder="1" applyAlignment="1" applyProtection="1">
      <alignment horizontal="left" vertical="center"/>
      <protection locked="0"/>
    </xf>
    <xf numFmtId="0" fontId="2" fillId="2" borderId="8" xfId="2" applyFont="1" applyFill="1" applyBorder="1" applyAlignment="1" applyProtection="1">
      <alignment horizontal="left" vertical="center"/>
      <protection locked="0"/>
    </xf>
    <xf numFmtId="0" fontId="2" fillId="2" borderId="10" xfId="2" applyFont="1" applyFill="1" applyBorder="1" applyAlignment="1" applyProtection="1">
      <alignment horizontal="left" vertical="center"/>
      <protection locked="0"/>
    </xf>
    <xf numFmtId="0" fontId="2" fillId="0" borderId="12" xfId="2" applyFont="1" applyBorder="1" applyAlignment="1" applyProtection="1">
      <alignment horizontal="left" vertical="center"/>
      <protection locked="0"/>
    </xf>
    <xf numFmtId="0" fontId="2" fillId="3" borderId="8" xfId="2" applyFont="1" applyFill="1" applyBorder="1" applyAlignment="1" applyProtection="1">
      <alignment horizontal="left" vertical="center"/>
      <protection locked="0"/>
    </xf>
    <xf numFmtId="0" fontId="2" fillId="4" borderId="8" xfId="2" applyFont="1" applyFill="1" applyBorder="1" applyAlignment="1" applyProtection="1">
      <alignment horizontal="left" vertical="center"/>
      <protection locked="0"/>
    </xf>
    <xf numFmtId="0" fontId="2" fillId="0" borderId="8" xfId="2" applyFont="1" applyBorder="1" applyAlignment="1" applyProtection="1">
      <alignment horizontal="left" vertical="center"/>
      <protection locked="0"/>
    </xf>
    <xf numFmtId="176" fontId="2" fillId="0" borderId="8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120" xfId="1" applyNumberFormat="1" applyFont="1" applyBorder="1" applyAlignment="1">
      <alignment horizontal="left" vertical="center"/>
    </xf>
    <xf numFmtId="176" fontId="2" fillId="5" borderId="133" xfId="1" applyNumberFormat="1" applyFont="1" applyFill="1" applyBorder="1" applyAlignment="1">
      <alignment horizontal="left" vertical="center"/>
    </xf>
    <xf numFmtId="176" fontId="2" fillId="6" borderId="8" xfId="1" applyNumberFormat="1" applyFont="1" applyFill="1" applyBorder="1" applyAlignment="1">
      <alignment horizontal="left" vertical="center"/>
    </xf>
    <xf numFmtId="176" fontId="2" fillId="5" borderId="8" xfId="1" applyNumberFormat="1" applyFont="1" applyFill="1" applyBorder="1" applyAlignment="1">
      <alignment horizontal="left" vertical="center"/>
    </xf>
    <xf numFmtId="38" fontId="2" fillId="5" borderId="8" xfId="1" applyFont="1" applyFill="1" applyBorder="1" applyAlignment="1">
      <alignment horizontal="left" vertical="center"/>
    </xf>
    <xf numFmtId="38" fontId="2" fillId="6" borderId="8" xfId="1" applyFont="1" applyFill="1" applyBorder="1" applyAlignment="1">
      <alignment horizontal="left" vertical="center"/>
    </xf>
    <xf numFmtId="38" fontId="2" fillId="5" borderId="140" xfId="1" applyFont="1" applyFill="1" applyBorder="1" applyAlignment="1">
      <alignment horizontal="left" vertical="center"/>
    </xf>
    <xf numFmtId="38" fontId="2" fillId="6" borderId="12" xfId="1" applyFont="1" applyFill="1" applyBorder="1" applyAlignment="1">
      <alignment horizontal="left"/>
    </xf>
    <xf numFmtId="38" fontId="2" fillId="6" borderId="8" xfId="1" applyFont="1" applyFill="1" applyBorder="1" applyAlignment="1">
      <alignment horizontal="left"/>
    </xf>
    <xf numFmtId="38" fontId="2" fillId="6" borderId="14" xfId="1" applyFont="1" applyFill="1" applyBorder="1" applyAlignment="1">
      <alignment horizontal="left" vertical="center"/>
    </xf>
    <xf numFmtId="38" fontId="1" fillId="25" borderId="68" xfId="4" applyFill="1" applyBorder="1" applyAlignment="1">
      <alignment horizontal="right"/>
    </xf>
    <xf numFmtId="38" fontId="1" fillId="0" borderId="67" xfId="4" applyBorder="1"/>
    <xf numFmtId="0" fontId="40" fillId="0" borderId="0" xfId="6">
      <alignment vertical="center"/>
    </xf>
    <xf numFmtId="38" fontId="4" fillId="22" borderId="16" xfId="1" applyFont="1" applyFill="1" applyBorder="1" applyAlignment="1">
      <alignment vertical="center"/>
    </xf>
    <xf numFmtId="56" fontId="0" fillId="0" borderId="0" xfId="0" applyNumberFormat="1">
      <alignment vertical="center"/>
    </xf>
    <xf numFmtId="0" fontId="5" fillId="13" borderId="49" xfId="0" applyFont="1" applyFill="1" applyBorder="1" applyAlignment="1">
      <alignment horizontal="center" vertical="center"/>
    </xf>
    <xf numFmtId="0" fontId="24" fillId="0" borderId="0" xfId="0" applyFont="1">
      <alignment vertical="center"/>
    </xf>
    <xf numFmtId="181" fontId="1" fillId="25" borderId="72" xfId="7" applyNumberFormat="1" applyFill="1" applyBorder="1" applyAlignment="1">
      <alignment horizontal="center"/>
    </xf>
    <xf numFmtId="181" fontId="1" fillId="25" borderId="67" xfId="7" quotePrefix="1" applyNumberFormat="1" applyFill="1" applyBorder="1" applyAlignment="1">
      <alignment horizontal="center"/>
    </xf>
    <xf numFmtId="0" fontId="43" fillId="28" borderId="163" xfId="0" applyFont="1" applyFill="1" applyBorder="1" applyAlignment="1">
      <alignment horizontal="center"/>
    </xf>
    <xf numFmtId="0" fontId="42" fillId="0" borderId="163" xfId="0" applyFont="1" applyBorder="1" applyAlignment="1"/>
    <xf numFmtId="0" fontId="44" fillId="0" borderId="0" xfId="0" applyFont="1" applyAlignment="1"/>
    <xf numFmtId="0" fontId="42" fillId="0" borderId="0" xfId="0" applyFont="1" applyAlignment="1"/>
    <xf numFmtId="0" fontId="45" fillId="0" borderId="0" xfId="0" applyFont="1" applyAlignment="1"/>
    <xf numFmtId="22" fontId="42" fillId="0" borderId="163" xfId="0" applyNumberFormat="1" applyFont="1" applyBorder="1" applyAlignment="1"/>
    <xf numFmtId="0" fontId="5" fillId="13" borderId="163" xfId="0" applyFont="1" applyFill="1" applyBorder="1" applyAlignment="1">
      <alignment horizontal="center" vertical="center"/>
    </xf>
    <xf numFmtId="177" fontId="5" fillId="13" borderId="163" xfId="0" applyNumberFormat="1" applyFont="1" applyFill="1" applyBorder="1" applyAlignment="1">
      <alignment horizontal="center" vertical="center"/>
    </xf>
    <xf numFmtId="0" fontId="38" fillId="13" borderId="0" xfId="0" applyFont="1" applyFill="1">
      <alignment vertical="center"/>
    </xf>
    <xf numFmtId="38" fontId="15" fillId="7" borderId="15" xfId="1" applyFont="1" applyFill="1" applyBorder="1" applyAlignment="1">
      <alignment horizontal="center" vertical="center" wrapText="1"/>
    </xf>
    <xf numFmtId="38" fontId="15" fillId="7" borderId="118" xfId="1" applyFont="1" applyFill="1" applyBorder="1" applyAlignment="1">
      <alignment horizontal="center" vertical="center"/>
    </xf>
    <xf numFmtId="38" fontId="48" fillId="7" borderId="16" xfId="1" applyFont="1" applyFill="1" applyBorder="1" applyAlignment="1">
      <alignment vertical="center"/>
    </xf>
    <xf numFmtId="38" fontId="48" fillId="7" borderId="151" xfId="1" applyFont="1" applyFill="1" applyBorder="1" applyAlignment="1">
      <alignment vertical="center"/>
    </xf>
    <xf numFmtId="38" fontId="48" fillId="8" borderId="17" xfId="1" applyFont="1" applyFill="1" applyBorder="1" applyAlignment="1">
      <alignment vertical="center"/>
    </xf>
    <xf numFmtId="38" fontId="48" fillId="8" borderId="16" xfId="1" applyFont="1" applyFill="1" applyBorder="1" applyAlignment="1">
      <alignment horizontal="right" vertical="center"/>
    </xf>
    <xf numFmtId="38" fontId="48" fillId="9" borderId="16" xfId="1" applyFont="1" applyFill="1" applyBorder="1" applyAlignment="1">
      <alignment horizontal="right" vertical="center" wrapText="1"/>
    </xf>
    <xf numFmtId="38" fontId="48" fillId="10" borderId="16" xfId="1" applyFont="1" applyFill="1" applyBorder="1" applyAlignment="1">
      <alignment horizontal="right" vertical="center" wrapText="1"/>
    </xf>
    <xf numFmtId="38" fontId="48" fillId="29" borderId="16" xfId="1" applyFont="1" applyFill="1" applyBorder="1" applyAlignment="1">
      <alignment vertical="center"/>
    </xf>
    <xf numFmtId="38" fontId="50" fillId="9" borderId="16" xfId="1" applyFont="1" applyFill="1" applyBorder="1" applyAlignment="1">
      <alignment horizontal="right" vertical="center" wrapText="1"/>
    </xf>
    <xf numFmtId="38" fontId="48" fillId="8" borderId="16" xfId="1" applyFont="1" applyFill="1" applyBorder="1" applyAlignment="1">
      <alignment vertical="center"/>
    </xf>
    <xf numFmtId="38" fontId="48" fillId="9" borderId="16" xfId="1" applyFont="1" applyFill="1" applyBorder="1" applyAlignment="1">
      <alignment vertical="center"/>
    </xf>
    <xf numFmtId="38" fontId="50" fillId="4" borderId="16" xfId="1" applyFont="1" applyFill="1" applyBorder="1" applyAlignment="1">
      <alignment horizontal="right" vertical="center"/>
    </xf>
    <xf numFmtId="38" fontId="50" fillId="10" borderId="16" xfId="1" applyFont="1" applyFill="1" applyBorder="1" applyAlignment="1">
      <alignment horizontal="right" vertical="center" wrapText="1"/>
    </xf>
    <xf numFmtId="38" fontId="48" fillId="7" borderId="15" xfId="1" applyFont="1" applyFill="1" applyBorder="1" applyAlignment="1">
      <alignment vertical="center"/>
    </xf>
    <xf numFmtId="38" fontId="4" fillId="27" borderId="16" xfId="1" applyFont="1" applyFill="1" applyBorder="1" applyAlignment="1">
      <alignment vertical="center"/>
    </xf>
    <xf numFmtId="38" fontId="50" fillId="27" borderId="16" xfId="1" applyFont="1" applyFill="1" applyBorder="1" applyAlignment="1">
      <alignment horizontal="right" vertical="center" wrapText="1"/>
    </xf>
    <xf numFmtId="38" fontId="48" fillId="27" borderId="151" xfId="1" applyFont="1" applyFill="1" applyBorder="1" applyAlignment="1">
      <alignment vertical="center"/>
    </xf>
    <xf numFmtId="38" fontId="50" fillId="22" borderId="17" xfId="1" applyFont="1" applyFill="1" applyBorder="1" applyAlignment="1">
      <alignment vertical="center"/>
    </xf>
    <xf numFmtId="38" fontId="48" fillId="22" borderId="16" xfId="1" applyFont="1" applyFill="1" applyBorder="1" applyAlignment="1">
      <alignment horizontal="right" vertical="center"/>
    </xf>
    <xf numFmtId="38" fontId="48" fillId="22" borderId="17" xfId="1" applyFont="1" applyFill="1" applyBorder="1" applyAlignment="1">
      <alignment vertical="center"/>
    </xf>
    <xf numFmtId="38" fontId="49" fillId="19" borderId="18" xfId="1" applyFont="1" applyFill="1" applyBorder="1" applyAlignment="1">
      <alignment vertical="center"/>
    </xf>
    <xf numFmtId="38" fontId="48" fillId="7" borderId="150" xfId="1" applyFont="1" applyFill="1" applyBorder="1" applyAlignment="1">
      <alignment vertical="center"/>
    </xf>
    <xf numFmtId="38" fontId="48" fillId="26" borderId="16" xfId="1" applyFont="1" applyFill="1" applyBorder="1" applyAlignment="1">
      <alignment vertical="center"/>
    </xf>
    <xf numFmtId="38" fontId="23" fillId="8" borderId="16" xfId="1" applyFont="1" applyFill="1" applyBorder="1" applyAlignment="1">
      <alignment vertical="center"/>
    </xf>
    <xf numFmtId="0" fontId="23" fillId="18" borderId="75" xfId="0" applyFont="1" applyFill="1" applyBorder="1" applyAlignment="1">
      <alignment horizontal="left"/>
    </xf>
    <xf numFmtId="0" fontId="0" fillId="0" borderId="159" xfId="0" applyBorder="1" applyAlignment="1"/>
    <xf numFmtId="0" fontId="0" fillId="0" borderId="160" xfId="0" applyBorder="1" applyAlignment="1"/>
    <xf numFmtId="38" fontId="14" fillId="0" borderId="65" xfId="4" applyFont="1" applyBorder="1" applyAlignment="1">
      <alignment horizontal="center" vertical="center"/>
    </xf>
    <xf numFmtId="0" fontId="0" fillId="0" borderId="60" xfId="0" applyBorder="1" applyAlignment="1"/>
    <xf numFmtId="0" fontId="0" fillId="0" borderId="61" xfId="0" applyBorder="1" applyAlignment="1"/>
    <xf numFmtId="0" fontId="5" fillId="13" borderId="20" xfId="0" applyFont="1" applyFill="1" applyBorder="1" applyAlignment="1">
      <alignment horizontal="right" vertical="center"/>
    </xf>
    <xf numFmtId="0" fontId="0" fillId="0" borderId="161" xfId="0" applyBorder="1" applyAlignment="1"/>
    <xf numFmtId="0" fontId="0" fillId="0" borderId="162" xfId="0" applyBorder="1" applyAlignment="1"/>
    <xf numFmtId="0" fontId="13" fillId="0" borderId="20" xfId="0" applyFont="1" applyBorder="1" applyAlignment="1">
      <alignment horizontal="center" vertical="center"/>
    </xf>
    <xf numFmtId="0" fontId="0" fillId="0" borderId="32" xfId="0" applyBorder="1" applyAlignment="1"/>
    <xf numFmtId="0" fontId="28" fillId="13" borderId="65" xfId="0" applyFont="1" applyFill="1" applyBorder="1" applyAlignment="1">
      <alignment horizontal="center" vertical="center"/>
    </xf>
    <xf numFmtId="0" fontId="0" fillId="0" borderId="82" xfId="0" applyBorder="1" applyAlignment="1"/>
    <xf numFmtId="0" fontId="0" fillId="0" borderId="74" xfId="0" applyBorder="1" applyAlignment="1"/>
    <xf numFmtId="182" fontId="5" fillId="0" borderId="20" xfId="0" applyNumberFormat="1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29" fillId="13" borderId="20" xfId="0" applyFont="1" applyFill="1" applyBorder="1" applyAlignment="1">
      <alignment horizontal="center" vertical="center"/>
    </xf>
  </cellXfs>
  <cellStyles count="8">
    <cellStyle name="ハイパーリンク" xfId="6" builtinId="8"/>
    <cellStyle name="桁区切り 2" xfId="1" xr:uid="{00000000-0005-0000-0000-000001000000}"/>
    <cellStyle name="桁区切り 2 4" xfId="4" xr:uid="{00000000-0005-0000-0000-000004000000}"/>
    <cellStyle name="常规 2 15" xfId="5" xr:uid="{00000000-0005-0000-0000-000005000000}"/>
    <cellStyle name="標準" xfId="0" builtinId="0"/>
    <cellStyle name="標準 129" xfId="3" xr:uid="{00000000-0005-0000-0000-000003000000}"/>
    <cellStyle name="標準 2" xfId="7" xr:uid="{00000000-0005-0000-0000-000007000000}"/>
    <cellStyle name="標準_検討表(08年5月期) 080229" xfId="2" xr:uid="{00000000-0005-0000-0000-000002000000}"/>
  </cellStyles>
  <dxfs count="26">
    <dxf>
      <font>
        <b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</font>
      <fill>
        <patternFill>
          <bgColor rgb="FFFF0000"/>
        </patternFill>
      </fill>
    </dxf>
    <dxf>
      <font>
        <b/>
      </font>
      <fill>
        <patternFill>
          <bgColor rgb="FFFF0000"/>
        </patternFill>
      </fill>
    </dxf>
    <dxf>
      <font>
        <b/>
      </font>
      <fill>
        <patternFill>
          <bgColor rgb="FFFF0000"/>
        </patternFill>
      </fill>
    </dxf>
    <dxf>
      <font>
        <b/>
      </font>
      <fill>
        <patternFill patternType="solid">
          <fgColor theme="0"/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</font>
      <fill>
        <patternFill patternType="solid">
          <fgColor theme="0"/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0</xdr:row>
      <xdr:rowOff>104775</xdr:rowOff>
    </xdr:from>
    <xdr:to>
      <xdr:col>6</xdr:col>
      <xdr:colOff>742950</xdr:colOff>
      <xdr:row>2</xdr:row>
      <xdr:rowOff>171450</xdr:rowOff>
    </xdr:to>
    <xdr:sp macro="[0]!Manual_Updat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AE55E99-227C-752E-AFA8-FAFC6EF97AC8}"/>
            </a:ext>
          </a:extLst>
        </xdr:cNvPr>
        <xdr:cNvSpPr/>
      </xdr:nvSpPr>
      <xdr:spPr>
        <a:xfrm>
          <a:off x="4067175" y="104775"/>
          <a:ext cx="1343025" cy="5429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/>
            <a:t>読込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1</xdr:row>
      <xdr:rowOff>47625</xdr:rowOff>
    </xdr:from>
    <xdr:to>
      <xdr:col>5</xdr:col>
      <xdr:colOff>647700</xdr:colOff>
      <xdr:row>3</xdr:row>
      <xdr:rowOff>114300</xdr:rowOff>
    </xdr:to>
    <xdr:sp macro="[0]!Manual_Updat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3352A95-516E-48C8-8F1B-7904EED2364E}"/>
            </a:ext>
          </a:extLst>
        </xdr:cNvPr>
        <xdr:cNvSpPr/>
      </xdr:nvSpPr>
      <xdr:spPr>
        <a:xfrm>
          <a:off x="5172075" y="285750"/>
          <a:ext cx="1343025" cy="5429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/>
            <a:t>読込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file:///\\kte\kte-files\kte-sv1\public\100_&#20844;&#38283;&#24773;&#22577;\004_&#21830;&#21697;&#37096;&#26989;&#21209;&#65319;\&#29983;&#29987;&#31649;&#29702;\2025&#24180;&#36899;&#32097;&#34920;.xlsx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C6"/>
  <sheetViews>
    <sheetView workbookViewId="0">
      <selection activeCell="F12" sqref="F12"/>
    </sheetView>
  </sheetViews>
  <sheetFormatPr defaultRowHeight="18.75"/>
  <cols>
    <col min="1" max="1" width="20" style="129" customWidth="1"/>
    <col min="2" max="2" width="25" style="129" customWidth="1"/>
    <col min="3" max="3" width="60" style="129" customWidth="1"/>
  </cols>
  <sheetData>
    <row r="1" spans="1:3">
      <c r="A1" s="399" t="s">
        <v>0</v>
      </c>
      <c r="B1" s="399" t="s">
        <v>1</v>
      </c>
      <c r="C1" s="399" t="s">
        <v>2</v>
      </c>
    </row>
    <row r="2" spans="1:3">
      <c r="A2" s="400" t="s">
        <v>3</v>
      </c>
      <c r="B2" s="400" t="s">
        <v>4</v>
      </c>
      <c r="C2" s="400" t="s">
        <v>5</v>
      </c>
    </row>
    <row r="3" spans="1:3">
      <c r="A3" s="400" t="s">
        <v>6</v>
      </c>
      <c r="B3" s="400" t="s">
        <v>7</v>
      </c>
      <c r="C3" s="400"/>
    </row>
    <row r="4" spans="1:3">
      <c r="A4" s="400" t="s">
        <v>8</v>
      </c>
      <c r="B4" s="400" t="s">
        <v>8</v>
      </c>
      <c r="C4" s="404">
        <v>46121.402361111112</v>
      </c>
    </row>
    <row r="5" spans="1:3">
      <c r="A5" s="400" t="s">
        <v>9</v>
      </c>
      <c r="B5" s="400" t="s">
        <v>9</v>
      </c>
      <c r="C5" s="400" t="s">
        <v>655</v>
      </c>
    </row>
    <row r="6" spans="1:3">
      <c r="A6" s="400" t="s">
        <v>10</v>
      </c>
      <c r="B6" s="400" t="s">
        <v>11</v>
      </c>
      <c r="C6" s="400" t="s">
        <v>12</v>
      </c>
    </row>
  </sheetData>
  <phoneticPr fontId="3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29"/>
  <sheetViews>
    <sheetView workbookViewId="0">
      <selection activeCell="C20" sqref="C20"/>
    </sheetView>
  </sheetViews>
  <sheetFormatPr defaultRowHeight="18.75"/>
  <cols>
    <col min="1" max="1" width="80" style="129" customWidth="1"/>
  </cols>
  <sheetData>
    <row r="1" spans="1:1" ht="24">
      <c r="A1" s="401" t="s">
        <v>13</v>
      </c>
    </row>
    <row r="2" spans="1:1">
      <c r="A2" s="402"/>
    </row>
    <row r="3" spans="1:1" ht="19.5">
      <c r="A3" s="403" t="s">
        <v>14</v>
      </c>
    </row>
    <row r="4" spans="1:1">
      <c r="A4" s="402" t="s">
        <v>15</v>
      </c>
    </row>
    <row r="5" spans="1:1">
      <c r="A5" s="402" t="s">
        <v>16</v>
      </c>
    </row>
    <row r="6" spans="1:1">
      <c r="A6" s="402"/>
    </row>
    <row r="7" spans="1:1" ht="19.5">
      <c r="A7" s="403" t="s">
        <v>17</v>
      </c>
    </row>
    <row r="8" spans="1:1">
      <c r="A8" s="402" t="s">
        <v>18</v>
      </c>
    </row>
    <row r="9" spans="1:1">
      <c r="A9" s="402" t="s">
        <v>19</v>
      </c>
    </row>
    <row r="10" spans="1:1">
      <c r="A10" s="402"/>
    </row>
    <row r="11" spans="1:1" ht="19.5">
      <c r="A11" s="403" t="s">
        <v>20</v>
      </c>
    </row>
    <row r="12" spans="1:1">
      <c r="A12" s="402" t="s">
        <v>21</v>
      </c>
    </row>
    <row r="13" spans="1:1">
      <c r="A13" s="402" t="s">
        <v>22</v>
      </c>
    </row>
    <row r="14" spans="1:1">
      <c r="A14" s="402"/>
    </row>
    <row r="15" spans="1:1" ht="19.5">
      <c r="A15" s="403" t="s">
        <v>23</v>
      </c>
    </row>
    <row r="16" spans="1:1">
      <c r="A16" s="402" t="s">
        <v>24</v>
      </c>
    </row>
    <row r="17" spans="1:1">
      <c r="A17" s="402" t="s">
        <v>25</v>
      </c>
    </row>
    <row r="18" spans="1:1">
      <c r="A18" s="402" t="s">
        <v>26</v>
      </c>
    </row>
    <row r="19" spans="1:1">
      <c r="A19" s="402" t="s">
        <v>27</v>
      </c>
    </row>
    <row r="20" spans="1:1">
      <c r="A20" s="402" t="s">
        <v>28</v>
      </c>
    </row>
    <row r="21" spans="1:1">
      <c r="A21" s="402" t="s">
        <v>29</v>
      </c>
    </row>
    <row r="22" spans="1:1">
      <c r="A22" s="402"/>
    </row>
    <row r="23" spans="1:1" ht="19.5">
      <c r="A23" s="403" t="s">
        <v>30</v>
      </c>
    </row>
    <row r="24" spans="1:1">
      <c r="A24" s="402" t="s">
        <v>31</v>
      </c>
    </row>
    <row r="25" spans="1:1">
      <c r="A25" s="402" t="s">
        <v>32</v>
      </c>
    </row>
    <row r="26" spans="1:1">
      <c r="A26" s="402" t="s">
        <v>33</v>
      </c>
    </row>
    <row r="27" spans="1:1">
      <c r="A27" s="402"/>
    </row>
    <row r="28" spans="1:1" ht="19.5">
      <c r="A28" s="403" t="s">
        <v>34</v>
      </c>
    </row>
    <row r="29" spans="1:1">
      <c r="A29" s="402" t="s">
        <v>35</v>
      </c>
    </row>
  </sheetData>
  <phoneticPr fontId="3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L161"/>
  <sheetViews>
    <sheetView topLeftCell="A27" workbookViewId="0">
      <selection activeCell="E65" sqref="E65:E110"/>
    </sheetView>
  </sheetViews>
  <sheetFormatPr defaultRowHeight="18.75"/>
  <cols>
    <col min="1" max="1" width="16.5" style="129" bestFit="1" customWidth="1"/>
    <col min="2" max="2" width="12.375" style="129" bestFit="1" customWidth="1"/>
    <col min="4" max="4" width="14.75" style="129" bestFit="1" customWidth="1"/>
    <col min="5" max="5" width="9.25" style="129" customWidth="1"/>
    <col min="6" max="6" width="3.25" style="129" customWidth="1"/>
    <col min="7" max="7" width="11" style="129" bestFit="1" customWidth="1"/>
    <col min="8" max="8" width="4.375" style="129" bestFit="1" customWidth="1"/>
    <col min="9" max="9" width="16.5" style="129" bestFit="1" customWidth="1"/>
  </cols>
  <sheetData>
    <row r="1" spans="1:12" ht="19.5" customHeight="1" thickBot="1">
      <c r="E1" s="123"/>
    </row>
    <row r="2" spans="1:12">
      <c r="B2" s="436" t="s">
        <v>36</v>
      </c>
      <c r="C2" s="436" t="s">
        <v>37</v>
      </c>
      <c r="D2" s="134"/>
      <c r="E2" s="124"/>
      <c r="L2" s="392" t="s">
        <v>38</v>
      </c>
    </row>
    <row r="3" spans="1:12">
      <c r="B3" s="437"/>
      <c r="C3" s="437"/>
      <c r="D3" s="135"/>
      <c r="E3" s="397" t="s">
        <v>39</v>
      </c>
      <c r="G3" s="63" t="s">
        <v>40</v>
      </c>
    </row>
    <row r="4" spans="1:12" ht="19.5" customHeight="1" thickBot="1">
      <c r="B4" s="438"/>
      <c r="C4" s="438"/>
      <c r="D4" t="s">
        <v>41</v>
      </c>
      <c r="E4" s="398">
        <v>45995</v>
      </c>
      <c r="G4" s="433" t="s">
        <v>42</v>
      </c>
      <c r="H4" s="434"/>
      <c r="I4" s="435"/>
      <c r="J4" s="17" t="s">
        <v>43</v>
      </c>
    </row>
    <row r="5" spans="1:12" ht="19.5" customHeight="1">
      <c r="A5" t="str">
        <f t="shared" ref="A5:A36" si="0">B5&amp;C5</f>
        <v>PDN-A400CU</v>
      </c>
      <c r="B5" s="104" t="s">
        <v>44</v>
      </c>
      <c r="C5" s="105" t="s">
        <v>45</v>
      </c>
      <c r="D5" t="str">
        <f>IFERROR(VLOOKUP($A5,コード!$C$2:$G$962,5,FALSE)&amp;"","")</f>
        <v>2TG13002</v>
      </c>
      <c r="E5" s="243"/>
      <c r="G5" s="133" t="s">
        <v>44</v>
      </c>
      <c r="H5" s="132"/>
      <c r="I5" s="131" t="s">
        <v>46</v>
      </c>
      <c r="J5" s="137">
        <f t="shared" ref="J5:J36" si="1">IFERROR(VLOOKUP($I5,$D$2:$E$964,2,FALSE),0)</f>
        <v>0</v>
      </c>
    </row>
    <row r="6" spans="1:12" ht="19.5" customHeight="1">
      <c r="A6" t="str">
        <f t="shared" si="0"/>
        <v>PDN-A500CU</v>
      </c>
      <c r="B6" s="106" t="s">
        <v>47</v>
      </c>
      <c r="C6" s="107" t="s">
        <v>45</v>
      </c>
      <c r="D6" t="str">
        <f>IFERROR(VLOOKUP($A6,コード!$C$2:$G$962,5,FALSE)&amp;"","")</f>
        <v>2TG13102</v>
      </c>
      <c r="E6" s="390">
        <v>500</v>
      </c>
      <c r="G6" s="133" t="s">
        <v>47</v>
      </c>
      <c r="H6" s="132"/>
      <c r="I6" s="131" t="s">
        <v>48</v>
      </c>
      <c r="J6" s="137">
        <f t="shared" si="1"/>
        <v>500</v>
      </c>
    </row>
    <row r="7" spans="1:12" ht="19.5" customHeight="1">
      <c r="A7" t="str">
        <f t="shared" si="0"/>
        <v>PDR-G220WU</v>
      </c>
      <c r="B7" s="106" t="s">
        <v>49</v>
      </c>
      <c r="C7" s="107" t="s">
        <v>50</v>
      </c>
      <c r="D7" t="str">
        <f>IFERROR(VLOOKUP($A7,コード!$C$2:$G$962,5,FALSE)&amp;"","")</f>
        <v>2TG13602</v>
      </c>
      <c r="E7" s="390">
        <v>1000</v>
      </c>
      <c r="G7" s="133" t="s">
        <v>49</v>
      </c>
      <c r="H7" s="132"/>
      <c r="I7" s="131" t="s">
        <v>51</v>
      </c>
      <c r="J7" s="137">
        <f t="shared" si="1"/>
        <v>1000</v>
      </c>
    </row>
    <row r="8" spans="1:12" ht="19.5" customHeight="1">
      <c r="A8" t="str">
        <f t="shared" si="0"/>
        <v>PDR-G300WU</v>
      </c>
      <c r="B8" s="106" t="s">
        <v>52</v>
      </c>
      <c r="C8" s="107" t="s">
        <v>50</v>
      </c>
      <c r="D8" t="str">
        <f>IFERROR(VLOOKUP($A8,コード!$C$2:$G$962,5,FALSE)&amp;"","")</f>
        <v>2TG13702</v>
      </c>
      <c r="E8" s="390">
        <v>500</v>
      </c>
      <c r="G8" s="133" t="s">
        <v>52</v>
      </c>
      <c r="H8" s="132"/>
      <c r="I8" s="131" t="s">
        <v>53</v>
      </c>
      <c r="J8" s="137">
        <f t="shared" si="1"/>
        <v>500</v>
      </c>
    </row>
    <row r="9" spans="1:12" ht="19.5" customHeight="1">
      <c r="A9" t="str">
        <f t="shared" si="0"/>
        <v>PDR-G221W</v>
      </c>
      <c r="B9" s="106" t="s">
        <v>54</v>
      </c>
      <c r="C9" s="107" t="s">
        <v>55</v>
      </c>
      <c r="D9" t="str">
        <f>IFERROR(VLOOKUP($A9,コード!$C$2:$G$962,5,FALSE)&amp;"","")</f>
        <v>2TG13603</v>
      </c>
      <c r="E9" s="390">
        <v>15000</v>
      </c>
      <c r="G9" s="133" t="s">
        <v>54</v>
      </c>
      <c r="H9" s="132"/>
      <c r="I9" s="131" t="s">
        <v>56</v>
      </c>
      <c r="J9" s="137">
        <f t="shared" si="1"/>
        <v>15000</v>
      </c>
    </row>
    <row r="10" spans="1:12" ht="19.5" customHeight="1">
      <c r="A10" t="str">
        <f t="shared" si="0"/>
        <v>PDR-G301W</v>
      </c>
      <c r="B10" s="106" t="s">
        <v>57</v>
      </c>
      <c r="C10" s="107" t="s">
        <v>55</v>
      </c>
      <c r="D10" t="str">
        <f>IFERROR(VLOOKUP($A10,コード!$C$2:$G$962,5,FALSE)&amp;"","")</f>
        <v>2TG13708</v>
      </c>
      <c r="E10" s="244">
        <v>9000</v>
      </c>
      <c r="G10" s="133" t="s">
        <v>57</v>
      </c>
      <c r="H10" s="132"/>
      <c r="I10" s="131" t="s">
        <v>58</v>
      </c>
      <c r="J10" s="137">
        <f t="shared" si="1"/>
        <v>9000</v>
      </c>
    </row>
    <row r="11" spans="1:12" ht="19.5" customHeight="1">
      <c r="A11" t="str">
        <f t="shared" si="0"/>
        <v>PDR-G401W</v>
      </c>
      <c r="B11" s="106" t="s">
        <v>59</v>
      </c>
      <c r="C11" s="107" t="s">
        <v>55</v>
      </c>
      <c r="D11" t="str">
        <f>IFERROR(VLOOKUP($A11,コード!$C$2:$G$962,5,FALSE)&amp;"","")</f>
        <v>2TG13807</v>
      </c>
      <c r="E11" s="244">
        <v>2000</v>
      </c>
      <c r="G11" s="133" t="s">
        <v>59</v>
      </c>
      <c r="H11" s="132"/>
      <c r="I11" s="131" t="s">
        <v>60</v>
      </c>
      <c r="J11" s="137">
        <f t="shared" si="1"/>
        <v>2000</v>
      </c>
    </row>
    <row r="12" spans="1:12">
      <c r="A12" t="str">
        <f t="shared" si="0"/>
        <v/>
      </c>
      <c r="B12" s="106"/>
      <c r="C12" s="107"/>
      <c r="D12" t="str">
        <f>IFERROR(VLOOKUP($A12,コード!$C$2:$G$962,5,FALSE)&amp;"","")</f>
        <v/>
      </c>
      <c r="E12" s="244"/>
      <c r="G12" s="133"/>
      <c r="H12" s="132"/>
      <c r="I12" s="132"/>
      <c r="J12" s="137">
        <f t="shared" si="1"/>
        <v>0</v>
      </c>
    </row>
    <row r="13" spans="1:12" ht="19.5" customHeight="1">
      <c r="A13" t="str">
        <f t="shared" si="0"/>
        <v>PIE-A501K</v>
      </c>
      <c r="B13" s="108" t="s">
        <v>61</v>
      </c>
      <c r="C13" s="109" t="s">
        <v>62</v>
      </c>
      <c r="D13" t="str">
        <f>IFERROR(VLOOKUP($A13,コード!$C$2:$G$962,5,FALSE)&amp;"","")</f>
        <v>2TG14504</v>
      </c>
      <c r="E13" s="244">
        <v>1000</v>
      </c>
      <c r="G13" s="133" t="s">
        <v>61</v>
      </c>
      <c r="H13" s="132"/>
      <c r="I13" s="131" t="s">
        <v>63</v>
      </c>
      <c r="J13" s="137">
        <f t="shared" si="1"/>
        <v>1000</v>
      </c>
    </row>
    <row r="14" spans="1:12">
      <c r="A14" t="str">
        <f t="shared" si="0"/>
        <v/>
      </c>
      <c r="B14" s="106"/>
      <c r="C14" s="107"/>
      <c r="D14" t="str">
        <f>IFERROR(VLOOKUP($A14,コード!$C$2:$G$962,5,FALSE)&amp;"","")</f>
        <v/>
      </c>
      <c r="E14" s="244"/>
      <c r="G14" s="133"/>
      <c r="H14" s="132"/>
      <c r="I14" s="132"/>
      <c r="J14" s="137">
        <f t="shared" si="1"/>
        <v>0</v>
      </c>
    </row>
    <row r="15" spans="1:12" ht="19.5" customHeight="1">
      <c r="A15" t="str">
        <f t="shared" si="0"/>
        <v>PIG-J300K</v>
      </c>
      <c r="B15" s="108" t="s">
        <v>64</v>
      </c>
      <c r="C15" s="109" t="s">
        <v>62</v>
      </c>
      <c r="D15" t="str">
        <f>IFERROR(VLOOKUP($A15,コード!$C$2:$G$962,5,FALSE)&amp;"","")</f>
        <v>2TG14404</v>
      </c>
      <c r="E15" s="244"/>
      <c r="G15" s="133" t="s">
        <v>64</v>
      </c>
      <c r="H15" s="132"/>
      <c r="I15" s="131" t="s">
        <v>65</v>
      </c>
      <c r="J15" s="137">
        <f t="shared" si="1"/>
        <v>0</v>
      </c>
    </row>
    <row r="16" spans="1:12" ht="19.5" customHeight="1">
      <c r="A16" t="str">
        <f t="shared" si="0"/>
        <v>PIG-H300K</v>
      </c>
      <c r="B16" s="110" t="s">
        <v>66</v>
      </c>
      <c r="C16" s="111" t="s">
        <v>62</v>
      </c>
      <c r="D16" t="str">
        <f>IFERROR(VLOOKUP($A16,コード!$C$2:$G$962,5,FALSE)&amp;"","")</f>
        <v>2TG14407</v>
      </c>
      <c r="E16" s="244">
        <v>1000</v>
      </c>
      <c r="G16" s="133" t="s">
        <v>66</v>
      </c>
      <c r="H16" s="132" t="s">
        <v>62</v>
      </c>
      <c r="I16" s="131" t="s">
        <v>67</v>
      </c>
      <c r="J16" s="137">
        <f t="shared" si="1"/>
        <v>1000</v>
      </c>
    </row>
    <row r="17" spans="1:10" ht="19.5" customHeight="1">
      <c r="A17" t="str">
        <f t="shared" si="0"/>
        <v>PIK-KS22K</v>
      </c>
      <c r="B17" s="106" t="s">
        <v>68</v>
      </c>
      <c r="C17" s="107" t="s">
        <v>62</v>
      </c>
      <c r="D17" t="str">
        <f>IFERROR(VLOOKUP($A17,コード!$C$2:$G$962,5,FALSE)&amp;"","")</f>
        <v>2TG13903</v>
      </c>
      <c r="E17" s="244"/>
      <c r="G17" s="133" t="s">
        <v>69</v>
      </c>
      <c r="H17" s="132"/>
      <c r="I17" s="131" t="s">
        <v>70</v>
      </c>
      <c r="J17" s="137">
        <f t="shared" si="1"/>
        <v>1500</v>
      </c>
    </row>
    <row r="18" spans="1:10" ht="19.5" customHeight="1">
      <c r="A18" t="str">
        <f t="shared" si="0"/>
        <v>PIK-KS30K</v>
      </c>
      <c r="B18" s="106" t="s">
        <v>71</v>
      </c>
      <c r="C18" s="107" t="s">
        <v>62</v>
      </c>
      <c r="D18" t="str">
        <f>IFERROR(VLOOKUP($A18,コード!$C$2:$G$962,5,FALSE)&amp;"","")</f>
        <v>2TG14008</v>
      </c>
      <c r="E18" s="244"/>
      <c r="G18" s="133" t="s">
        <v>72</v>
      </c>
      <c r="H18" s="132"/>
      <c r="I18" s="131" t="s">
        <v>73</v>
      </c>
      <c r="J18" s="137">
        <f t="shared" si="1"/>
        <v>1500</v>
      </c>
    </row>
    <row r="19" spans="1:10" ht="19.5" customHeight="1">
      <c r="A19" t="str">
        <f t="shared" si="0"/>
        <v>PIL-A220T</v>
      </c>
      <c r="B19" s="106" t="s">
        <v>69</v>
      </c>
      <c r="C19" s="107" t="s">
        <v>74</v>
      </c>
      <c r="D19" t="str">
        <f>IFERROR(VLOOKUP($A19,コード!$C$2:$G$962,5,FALSE)&amp;"","")</f>
        <v>2TG13202</v>
      </c>
      <c r="E19" s="390">
        <v>1500</v>
      </c>
      <c r="G19" s="133" t="s">
        <v>75</v>
      </c>
      <c r="H19" s="132"/>
      <c r="I19" s="131" t="s">
        <v>76</v>
      </c>
      <c r="J19" s="137">
        <f t="shared" si="1"/>
        <v>0</v>
      </c>
    </row>
    <row r="20" spans="1:10" ht="19.5" customHeight="1">
      <c r="A20" t="str">
        <f t="shared" si="0"/>
        <v>PIL-A300T</v>
      </c>
      <c r="B20" s="106" t="s">
        <v>72</v>
      </c>
      <c r="C20" s="107" t="s">
        <v>74</v>
      </c>
      <c r="D20" t="str">
        <f>IFERROR(VLOOKUP($A20,コード!$C$2:$G$962,5,FALSE)&amp;"","")</f>
        <v>2TG13302</v>
      </c>
      <c r="E20" s="390">
        <v>1500</v>
      </c>
      <c r="G20" s="133" t="s">
        <v>77</v>
      </c>
      <c r="H20" s="132"/>
      <c r="I20" s="131" t="s">
        <v>78</v>
      </c>
      <c r="J20" s="137">
        <f t="shared" si="1"/>
        <v>0</v>
      </c>
    </row>
    <row r="21" spans="1:10" ht="19.5" customHeight="1">
      <c r="A21" t="str">
        <f t="shared" si="0"/>
        <v>PIL-T220WF</v>
      </c>
      <c r="B21" s="106" t="s">
        <v>79</v>
      </c>
      <c r="C21" s="107" t="s">
        <v>80</v>
      </c>
      <c r="D21" t="str">
        <f>IFERROR(VLOOKUP($A21,コード!$C$2:$G$962,5,FALSE)&amp;"","")</f>
        <v/>
      </c>
      <c r="E21" s="244"/>
      <c r="G21" s="133" t="s">
        <v>81</v>
      </c>
      <c r="H21" s="132" t="s">
        <v>82</v>
      </c>
      <c r="I21" s="131" t="s">
        <v>83</v>
      </c>
      <c r="J21" s="137">
        <f t="shared" si="1"/>
        <v>500</v>
      </c>
    </row>
    <row r="22" spans="1:10" ht="19.5" customHeight="1">
      <c r="A22" t="str">
        <f t="shared" si="0"/>
        <v>PIL-T220WO</v>
      </c>
      <c r="B22" s="106" t="s">
        <v>79</v>
      </c>
      <c r="C22" s="107" t="s">
        <v>84</v>
      </c>
      <c r="D22" t="str">
        <f>IFERROR(VLOOKUP($A22,コード!$C$2:$G$962,5,FALSE)&amp;"","")</f>
        <v/>
      </c>
      <c r="E22" s="244"/>
      <c r="G22" s="133" t="s">
        <v>85</v>
      </c>
      <c r="H22" s="132" t="s">
        <v>82</v>
      </c>
      <c r="I22" s="131" t="s">
        <v>86</v>
      </c>
      <c r="J22" s="137">
        <f t="shared" si="1"/>
        <v>500</v>
      </c>
    </row>
    <row r="23" spans="1:10" ht="19.5" customHeight="1">
      <c r="A23" t="str">
        <f t="shared" si="0"/>
        <v>PIP-22E6GD</v>
      </c>
      <c r="B23" s="106" t="s">
        <v>75</v>
      </c>
      <c r="C23" s="107" t="s">
        <v>87</v>
      </c>
      <c r="D23" t="str">
        <f>IFERROR(VLOOKUP($A23,コード!$C$2:$G$962,5,FALSE)&amp;"","")</f>
        <v>2TG15501</v>
      </c>
      <c r="E23" s="244">
        <v>0</v>
      </c>
      <c r="G23" s="133" t="s">
        <v>88</v>
      </c>
      <c r="H23" s="132" t="s">
        <v>89</v>
      </c>
      <c r="I23" s="131" t="s">
        <v>90</v>
      </c>
      <c r="J23" s="137">
        <f t="shared" si="1"/>
        <v>2000</v>
      </c>
    </row>
    <row r="24" spans="1:10" ht="19.5" customHeight="1">
      <c r="A24" t="str">
        <f t="shared" si="0"/>
        <v>PIP-30E6GD</v>
      </c>
      <c r="B24" s="106" t="s">
        <v>77</v>
      </c>
      <c r="C24" s="107" t="s">
        <v>87</v>
      </c>
      <c r="D24" t="str">
        <f>IFERROR(VLOOKUP($A24,コード!$C$2:$G$962,5,FALSE)&amp;"","")</f>
        <v>2TG15601</v>
      </c>
      <c r="E24" s="244"/>
      <c r="G24" s="133" t="s">
        <v>91</v>
      </c>
      <c r="H24" s="132" t="s">
        <v>89</v>
      </c>
      <c r="I24" s="131" t="s">
        <v>92</v>
      </c>
      <c r="J24" s="137">
        <f t="shared" si="1"/>
        <v>2000</v>
      </c>
    </row>
    <row r="25" spans="1:10" ht="19.5" customHeight="1">
      <c r="A25" t="str">
        <f t="shared" si="0"/>
        <v>PIP-A221R</v>
      </c>
      <c r="B25" s="108" t="s">
        <v>93</v>
      </c>
      <c r="C25" s="109" t="s">
        <v>94</v>
      </c>
      <c r="D25" t="str">
        <f>IFERROR(VLOOKUP($A25,コード!$C$2:$G$962,5,FALSE)&amp;"","")</f>
        <v>2TG15502</v>
      </c>
      <c r="E25" s="244"/>
      <c r="G25" s="133" t="s">
        <v>88</v>
      </c>
      <c r="H25" s="132" t="s">
        <v>95</v>
      </c>
      <c r="I25" s="131" t="s">
        <v>96</v>
      </c>
      <c r="J25" s="137">
        <f t="shared" si="1"/>
        <v>0</v>
      </c>
    </row>
    <row r="26" spans="1:10" ht="19.5" customHeight="1">
      <c r="A26" t="str">
        <f t="shared" si="0"/>
        <v>PIP-A301R</v>
      </c>
      <c r="B26" s="108" t="s">
        <v>97</v>
      </c>
      <c r="C26" s="109" t="s">
        <v>94</v>
      </c>
      <c r="D26" t="str">
        <f>IFERROR(VLOOKUP($A26,コード!$C$2:$G$962,5,FALSE)&amp;"","")</f>
        <v>2TG15602</v>
      </c>
      <c r="E26" s="244"/>
      <c r="G26" s="133" t="s">
        <v>91</v>
      </c>
      <c r="H26" s="132" t="s">
        <v>95</v>
      </c>
      <c r="I26" s="131" t="s">
        <v>98</v>
      </c>
      <c r="J26" s="137">
        <f t="shared" si="1"/>
        <v>0</v>
      </c>
    </row>
    <row r="27" spans="1:10" ht="19.5" customHeight="1">
      <c r="A27" t="str">
        <f t="shared" si="0"/>
        <v>PIP-G220WE</v>
      </c>
      <c r="B27" s="110" t="s">
        <v>81</v>
      </c>
      <c r="C27" s="111" t="s">
        <v>82</v>
      </c>
      <c r="D27" t="str">
        <f>IFERROR(VLOOKUP($A27,コード!$C$2:$G$962,5,FALSE)&amp;"","")</f>
        <v>2TG15503</v>
      </c>
      <c r="E27" s="390">
        <v>500</v>
      </c>
      <c r="G27" s="133" t="s">
        <v>99</v>
      </c>
      <c r="H27" s="132" t="s">
        <v>74</v>
      </c>
      <c r="I27" s="131" t="s">
        <v>100</v>
      </c>
      <c r="J27" s="137">
        <f t="shared" si="1"/>
        <v>0</v>
      </c>
    </row>
    <row r="28" spans="1:10" ht="19.5" customHeight="1">
      <c r="A28" t="str">
        <f t="shared" si="0"/>
        <v>PIP-G300WE</v>
      </c>
      <c r="B28" s="110" t="s">
        <v>85</v>
      </c>
      <c r="C28" s="111" t="s">
        <v>82</v>
      </c>
      <c r="D28" t="str">
        <f>IFERROR(VLOOKUP($A28,コード!$C$2:$G$962,5,FALSE)&amp;"","")</f>
        <v>2TG15603</v>
      </c>
      <c r="E28" s="390">
        <v>500</v>
      </c>
      <c r="G28" s="133" t="s">
        <v>101</v>
      </c>
      <c r="H28" s="132" t="s">
        <v>74</v>
      </c>
      <c r="I28" s="131" t="s">
        <v>102</v>
      </c>
      <c r="J28" s="137">
        <f t="shared" si="1"/>
        <v>0</v>
      </c>
    </row>
    <row r="29" spans="1:10" ht="19.5" customHeight="1">
      <c r="A29" t="str">
        <f t="shared" si="0"/>
        <v>PIQ-A221W</v>
      </c>
      <c r="B29" s="108" t="s">
        <v>103</v>
      </c>
      <c r="C29" s="109" t="s">
        <v>55</v>
      </c>
      <c r="D29" t="str">
        <f>IFERROR(VLOOKUP($A29,コード!$C$2:$G$962,5,FALSE)&amp;"","")</f>
        <v>2TG15301</v>
      </c>
      <c r="E29" s="244"/>
      <c r="G29" s="133" t="s">
        <v>104</v>
      </c>
      <c r="H29" s="132"/>
      <c r="I29" s="131" t="s">
        <v>105</v>
      </c>
      <c r="J29" s="137">
        <f t="shared" si="1"/>
        <v>0</v>
      </c>
    </row>
    <row r="30" spans="1:10" ht="19.5" customHeight="1">
      <c r="A30" t="str">
        <f t="shared" si="0"/>
        <v>PIQ-A301W</v>
      </c>
      <c r="B30" s="108" t="s">
        <v>106</v>
      </c>
      <c r="C30" s="109" t="s">
        <v>55</v>
      </c>
      <c r="D30" t="str">
        <f>IFERROR(VLOOKUP($A30,コード!$C$2:$G$962,5,FALSE)&amp;"","")</f>
        <v>2TG15401</v>
      </c>
      <c r="E30" s="244"/>
      <c r="G30" s="133" t="s">
        <v>107</v>
      </c>
      <c r="H30" s="132"/>
      <c r="I30" s="131" t="s">
        <v>108</v>
      </c>
      <c r="J30" s="137">
        <f t="shared" si="1"/>
        <v>0</v>
      </c>
    </row>
    <row r="31" spans="1:10" ht="19.5" customHeight="1">
      <c r="A31" t="str">
        <f t="shared" si="0"/>
        <v>PIQ-G220KC</v>
      </c>
      <c r="B31" s="110" t="s">
        <v>88</v>
      </c>
      <c r="C31" s="111" t="s">
        <v>89</v>
      </c>
      <c r="D31" t="str">
        <f>IFERROR(VLOOKUP($A31,コード!$C$2:$G$962,5,FALSE)&amp;"","")</f>
        <v>2TG15303</v>
      </c>
      <c r="E31" s="390">
        <v>2000</v>
      </c>
      <c r="G31" s="133" t="s">
        <v>109</v>
      </c>
      <c r="H31" s="132" t="s">
        <v>110</v>
      </c>
      <c r="I31" s="131" t="s">
        <v>111</v>
      </c>
      <c r="J31" s="137">
        <f t="shared" si="1"/>
        <v>1000</v>
      </c>
    </row>
    <row r="32" spans="1:10" ht="19.5" customHeight="1">
      <c r="A32" t="str">
        <f t="shared" si="0"/>
        <v>PIQ-G300KC</v>
      </c>
      <c r="B32" s="110" t="s">
        <v>91</v>
      </c>
      <c r="C32" s="111" t="s">
        <v>89</v>
      </c>
      <c r="D32" t="str">
        <f>IFERROR(VLOOKUP($A32,コード!$C$2:$G$962,5,FALSE)&amp;"","")</f>
        <v>2TG15403</v>
      </c>
      <c r="E32" s="390">
        <v>2000</v>
      </c>
      <c r="G32" s="133" t="s">
        <v>112</v>
      </c>
      <c r="H32" s="132" t="s">
        <v>110</v>
      </c>
      <c r="I32" s="131" t="s">
        <v>113</v>
      </c>
      <c r="J32" s="137">
        <f t="shared" si="1"/>
        <v>1000</v>
      </c>
    </row>
    <row r="33" spans="1:10" ht="19.5" customHeight="1">
      <c r="A33" t="str">
        <f t="shared" si="0"/>
        <v>PIQ-G220WC</v>
      </c>
      <c r="B33" s="110" t="s">
        <v>88</v>
      </c>
      <c r="C33" s="111" t="s">
        <v>95</v>
      </c>
      <c r="D33" t="str">
        <f>IFERROR(VLOOKUP($A33,コード!$C$2:$G$962,5,FALSE)&amp;"","")</f>
        <v>2TG15302</v>
      </c>
      <c r="E33" s="244"/>
      <c r="G33" s="133" t="s">
        <v>114</v>
      </c>
      <c r="H33" s="132" t="s">
        <v>74</v>
      </c>
      <c r="I33" s="131" t="s">
        <v>115</v>
      </c>
      <c r="J33" s="137">
        <f t="shared" si="1"/>
        <v>0</v>
      </c>
    </row>
    <row r="34" spans="1:10" ht="19.5" customHeight="1">
      <c r="A34" t="str">
        <f t="shared" si="0"/>
        <v>PIQ-G300WC</v>
      </c>
      <c r="B34" s="110" t="s">
        <v>91</v>
      </c>
      <c r="C34" s="111" t="s">
        <v>95</v>
      </c>
      <c r="D34" t="str">
        <f>IFERROR(VLOOKUP($A34,コード!$C$2:$G$962,5,FALSE)&amp;"","")</f>
        <v>2TG15402</v>
      </c>
      <c r="E34" s="244">
        <v>0</v>
      </c>
      <c r="G34" s="133" t="s">
        <v>116</v>
      </c>
      <c r="H34" s="132" t="s">
        <v>74</v>
      </c>
      <c r="I34" s="131" t="s">
        <v>117</v>
      </c>
      <c r="J34" s="137">
        <f t="shared" si="1"/>
        <v>0</v>
      </c>
    </row>
    <row r="35" spans="1:10" ht="19.5" customHeight="1">
      <c r="A35" t="str">
        <f t="shared" si="0"/>
        <v>PIQ-N220T</v>
      </c>
      <c r="B35" s="110" t="s">
        <v>99</v>
      </c>
      <c r="C35" s="111" t="s">
        <v>74</v>
      </c>
      <c r="D35" t="str">
        <f>IFERROR(VLOOKUP($A35,コード!$C$2:$G$962,5,FALSE)&amp;"","")</f>
        <v>2TG15304</v>
      </c>
      <c r="E35" s="244"/>
      <c r="G35" s="133" t="s">
        <v>118</v>
      </c>
      <c r="H35" s="132"/>
      <c r="I35" s="131" t="s">
        <v>115</v>
      </c>
      <c r="J35" s="137">
        <f t="shared" si="1"/>
        <v>0</v>
      </c>
    </row>
    <row r="36" spans="1:10" ht="19.5" customHeight="1">
      <c r="A36" t="str">
        <f t="shared" si="0"/>
        <v>PIQ-N300T</v>
      </c>
      <c r="B36" s="110" t="s">
        <v>101</v>
      </c>
      <c r="C36" s="111" t="s">
        <v>74</v>
      </c>
      <c r="D36" t="str">
        <f>IFERROR(VLOOKUP($A36,コード!$C$2:$G$962,5,FALSE)&amp;"","")</f>
        <v>2TG15404</v>
      </c>
      <c r="E36" s="244"/>
      <c r="G36" s="133" t="s">
        <v>119</v>
      </c>
      <c r="H36" s="132"/>
      <c r="I36" s="131" t="s">
        <v>117</v>
      </c>
      <c r="J36" s="137">
        <f t="shared" si="1"/>
        <v>0</v>
      </c>
    </row>
    <row r="37" spans="1:10" ht="19.5" customHeight="1">
      <c r="A37" t="str">
        <f t="shared" ref="A37:A55" si="2">B37&amp;C37</f>
        <v>PIS-22E6K</v>
      </c>
      <c r="B37" s="106" t="s">
        <v>104</v>
      </c>
      <c r="C37" s="107" t="s">
        <v>62</v>
      </c>
      <c r="D37" t="str">
        <f>IFERROR(VLOOKUP($A37,コード!$C$2:$G$962,5,FALSE)&amp;"","")</f>
        <v>2TG15701</v>
      </c>
      <c r="E37" s="244"/>
      <c r="G37" s="133" t="s">
        <v>120</v>
      </c>
      <c r="H37" s="132"/>
      <c r="I37" s="131" t="s">
        <v>121</v>
      </c>
      <c r="J37" s="137">
        <f t="shared" ref="J37:J56" si="3">IFERROR(VLOOKUP($I37,$D$2:$E$964,2,FALSE),0)</f>
        <v>1500</v>
      </c>
    </row>
    <row r="38" spans="1:10">
      <c r="A38" t="str">
        <f t="shared" si="2"/>
        <v>PIS-30E6K</v>
      </c>
      <c r="B38" s="106" t="s">
        <v>107</v>
      </c>
      <c r="C38" s="107" t="s">
        <v>62</v>
      </c>
      <c r="D38" t="str">
        <f>IFERROR(VLOOKUP($A38,コード!$C$2:$G$962,5,FALSE)&amp;"","")</f>
        <v>2TG15801</v>
      </c>
      <c r="E38" s="244"/>
      <c r="G38" s="133" t="s">
        <v>122</v>
      </c>
      <c r="H38" s="132"/>
      <c r="I38" s="132" t="s">
        <v>123</v>
      </c>
      <c r="J38" s="137">
        <f t="shared" si="3"/>
        <v>2000</v>
      </c>
    </row>
    <row r="39" spans="1:10">
      <c r="A39" t="str">
        <f t="shared" si="2"/>
        <v>PIS-A221T</v>
      </c>
      <c r="B39" s="108" t="s">
        <v>124</v>
      </c>
      <c r="C39" s="109" t="s">
        <v>74</v>
      </c>
      <c r="D39" t="str">
        <f>IFERROR(VLOOKUP($A39,コード!$C$2:$G$962,5,FALSE)&amp;"","")</f>
        <v>2TG15702</v>
      </c>
      <c r="E39" s="244"/>
      <c r="G39" s="133" t="s">
        <v>125</v>
      </c>
      <c r="H39" s="132" t="s">
        <v>126</v>
      </c>
      <c r="I39" s="132" t="s">
        <v>127</v>
      </c>
      <c r="J39" s="137">
        <f t="shared" si="3"/>
        <v>0</v>
      </c>
    </row>
    <row r="40" spans="1:10">
      <c r="A40" t="str">
        <f t="shared" si="2"/>
        <v>PIS-A301T</v>
      </c>
      <c r="B40" s="106" t="s">
        <v>128</v>
      </c>
      <c r="C40" s="107" t="s">
        <v>74</v>
      </c>
      <c r="D40" t="str">
        <f>IFERROR(VLOOKUP($A40,コード!$C$2:$G$962,5,FALSE)&amp;"","")</f>
        <v>2TG15802</v>
      </c>
      <c r="E40" s="244"/>
      <c r="G40" s="133" t="s">
        <v>125</v>
      </c>
      <c r="H40" s="132" t="s">
        <v>129</v>
      </c>
      <c r="I40" s="132" t="s">
        <v>130</v>
      </c>
      <c r="J40" s="137">
        <f t="shared" si="3"/>
        <v>0</v>
      </c>
    </row>
    <row r="41" spans="1:10">
      <c r="A41" t="str">
        <f t="shared" si="2"/>
        <v>PIS-G220KE</v>
      </c>
      <c r="B41" s="110" t="s">
        <v>109</v>
      </c>
      <c r="C41" s="111" t="s">
        <v>110</v>
      </c>
      <c r="D41" t="str">
        <f>IFERROR(VLOOKUP($A41,コード!$C$2:$G$962,5,FALSE)&amp;"","")</f>
        <v>2TG15704</v>
      </c>
      <c r="E41" s="390">
        <v>1000</v>
      </c>
      <c r="G41" s="133" t="s">
        <v>125</v>
      </c>
      <c r="H41" s="132" t="s">
        <v>131</v>
      </c>
      <c r="I41" s="132" t="s">
        <v>132</v>
      </c>
      <c r="J41" s="137">
        <f t="shared" si="3"/>
        <v>0</v>
      </c>
    </row>
    <row r="42" spans="1:10">
      <c r="A42" t="str">
        <f t="shared" si="2"/>
        <v>PIS-G300KE</v>
      </c>
      <c r="B42" s="110" t="s">
        <v>112</v>
      </c>
      <c r="C42" s="111" t="s">
        <v>110</v>
      </c>
      <c r="D42" t="str">
        <f>IFERROR(VLOOKUP($A42,コード!$C$2:$G$962,5,FALSE)&amp;"","")</f>
        <v>2TG15804</v>
      </c>
      <c r="E42" s="244">
        <v>1000</v>
      </c>
      <c r="G42" s="133"/>
      <c r="H42" s="132"/>
      <c r="I42" s="132"/>
      <c r="J42" s="137">
        <f t="shared" si="3"/>
        <v>0</v>
      </c>
    </row>
    <row r="43" spans="1:10">
      <c r="A43" t="str">
        <f t="shared" si="2"/>
        <v>PIS-N220T</v>
      </c>
      <c r="B43" s="110" t="s">
        <v>114</v>
      </c>
      <c r="C43" s="111" t="s">
        <v>74</v>
      </c>
      <c r="D43" t="str">
        <f>IFERROR(VLOOKUP($A43,コード!$C$2:$G$962,5,FALSE)&amp;"","")</f>
        <v>2TG15703</v>
      </c>
      <c r="E43" s="244"/>
      <c r="G43" s="133" t="s">
        <v>133</v>
      </c>
      <c r="H43" s="132" t="s">
        <v>134</v>
      </c>
      <c r="I43" s="132" t="s">
        <v>135</v>
      </c>
      <c r="J43" s="137">
        <f t="shared" si="3"/>
        <v>0</v>
      </c>
    </row>
    <row r="44" spans="1:10">
      <c r="A44" t="str">
        <f t="shared" si="2"/>
        <v>PIS-N300T</v>
      </c>
      <c r="B44" s="110" t="s">
        <v>116</v>
      </c>
      <c r="C44" s="111" t="s">
        <v>74</v>
      </c>
      <c r="D44" t="str">
        <f>IFERROR(VLOOKUP($A44,コード!$C$2:$G$962,5,FALSE)&amp;"","")</f>
        <v>2TG15803</v>
      </c>
      <c r="E44" s="244"/>
      <c r="G44" s="133" t="s">
        <v>136</v>
      </c>
      <c r="H44" s="132"/>
      <c r="I44" s="132" t="s">
        <v>137</v>
      </c>
      <c r="J44" s="137">
        <f t="shared" si="3"/>
        <v>0</v>
      </c>
    </row>
    <row r="45" spans="1:10" ht="19.5" customHeight="1">
      <c r="A45" t="str">
        <f t="shared" si="2"/>
        <v>PIS-A22NT</v>
      </c>
      <c r="B45" s="106" t="s">
        <v>118</v>
      </c>
      <c r="C45" s="107" t="s">
        <v>74</v>
      </c>
      <c r="D45" t="str">
        <f>IFERROR(VLOOKUP($A45,コード!$C$2:$G$962,5,FALSE)&amp;"","")</f>
        <v>2TG15705</v>
      </c>
      <c r="E45" s="244"/>
      <c r="G45" s="133" t="s">
        <v>138</v>
      </c>
      <c r="H45" s="132"/>
      <c r="I45" s="131" t="s">
        <v>139</v>
      </c>
      <c r="J45" s="137">
        <f t="shared" si="3"/>
        <v>0</v>
      </c>
    </row>
    <row r="46" spans="1:10" ht="19.5" customHeight="1">
      <c r="A46" t="str">
        <f t="shared" si="2"/>
        <v>PIS-A30NT</v>
      </c>
      <c r="B46" s="106" t="s">
        <v>119</v>
      </c>
      <c r="C46" s="107" t="s">
        <v>74</v>
      </c>
      <c r="D46" t="str">
        <f>IFERROR(VLOOKUP($A46,コード!$C$2:$G$962,5,FALSE)&amp;"","")</f>
        <v>2TG15805</v>
      </c>
      <c r="E46" s="244"/>
      <c r="G46" s="133" t="s">
        <v>140</v>
      </c>
      <c r="H46" s="132"/>
      <c r="I46" s="131" t="s">
        <v>141</v>
      </c>
      <c r="J46" s="137">
        <f t="shared" si="3"/>
        <v>0</v>
      </c>
    </row>
    <row r="47" spans="1:10" ht="19.5" customHeight="1">
      <c r="A47" t="str">
        <f t="shared" si="2"/>
        <v>PIW-A220T</v>
      </c>
      <c r="B47" s="106" t="s">
        <v>120</v>
      </c>
      <c r="C47" s="107" t="s">
        <v>74</v>
      </c>
      <c r="D47" t="str">
        <f>IFERROR(VLOOKUP($A47,コード!$C$2:$G$962,5,FALSE)&amp;"","")</f>
        <v>2TG14102</v>
      </c>
      <c r="E47" s="244">
        <v>1500</v>
      </c>
      <c r="G47" s="133" t="s">
        <v>142</v>
      </c>
      <c r="H47" s="132"/>
      <c r="I47" s="131" t="s">
        <v>143</v>
      </c>
      <c r="J47" s="137">
        <f t="shared" si="3"/>
        <v>0</v>
      </c>
    </row>
    <row r="48" spans="1:10" ht="19.5" customHeight="1">
      <c r="A48" t="str">
        <f t="shared" si="2"/>
        <v>PIW-A300T</v>
      </c>
      <c r="B48" s="106" t="s">
        <v>122</v>
      </c>
      <c r="C48" s="107" t="s">
        <v>74</v>
      </c>
      <c r="D48" t="str">
        <f>IFERROR(VLOOKUP($A48,コード!$C$2:$G$962,5,FALSE)&amp;"","")</f>
        <v>2TG14202</v>
      </c>
      <c r="E48" s="244">
        <v>2000</v>
      </c>
      <c r="G48" s="133"/>
      <c r="H48" s="132"/>
      <c r="I48" s="131"/>
      <c r="J48" s="137">
        <f t="shared" si="3"/>
        <v>0</v>
      </c>
    </row>
    <row r="49" spans="1:10" ht="19.5" customHeight="1">
      <c r="A49" t="str">
        <f t="shared" si="2"/>
        <v>PTQ-A100RR</v>
      </c>
      <c r="B49" s="106" t="s">
        <v>125</v>
      </c>
      <c r="C49" s="107" t="s">
        <v>126</v>
      </c>
      <c r="D49" t="str">
        <f>IFERROR(VLOOKUP($A49,コード!$C$2:$G$962,5,FALSE)&amp;"","")</f>
        <v>2TG70101</v>
      </c>
      <c r="E49" s="244"/>
      <c r="G49" s="133" t="s">
        <v>144</v>
      </c>
      <c r="H49" s="132"/>
      <c r="I49" s="131" t="s">
        <v>145</v>
      </c>
      <c r="J49" s="137" t="str">
        <f t="shared" si="3"/>
        <v/>
      </c>
    </row>
    <row r="50" spans="1:10" ht="19.5" customHeight="1">
      <c r="A50" t="str">
        <f t="shared" si="2"/>
        <v>PTQ-A100KO</v>
      </c>
      <c r="B50" s="106" t="s">
        <v>125</v>
      </c>
      <c r="C50" s="107" t="s">
        <v>129</v>
      </c>
      <c r="D50" t="str">
        <f>IFERROR(VLOOKUP($A50,コード!$C$2:$G$962,5,FALSE)&amp;"","")</f>
        <v>2TG70100</v>
      </c>
      <c r="E50" s="244"/>
      <c r="G50" s="133" t="s">
        <v>146</v>
      </c>
      <c r="H50" s="132"/>
      <c r="I50" s="131" t="s">
        <v>147</v>
      </c>
      <c r="J50" s="137" t="str">
        <f t="shared" si="3"/>
        <v/>
      </c>
    </row>
    <row r="51" spans="1:10" ht="19.5" customHeight="1">
      <c r="A51" t="str">
        <f t="shared" si="2"/>
        <v>PTQ-A100HS</v>
      </c>
      <c r="B51" s="106" t="s">
        <v>125</v>
      </c>
      <c r="C51" s="107" t="s">
        <v>131</v>
      </c>
      <c r="D51" t="str">
        <f>IFERROR(VLOOKUP($A51,コード!$C$2:$G$962,5,FALSE)&amp;"","")</f>
        <v>2TG70102</v>
      </c>
      <c r="E51" s="244"/>
      <c r="G51" s="133" t="s">
        <v>148</v>
      </c>
      <c r="H51" s="132"/>
      <c r="I51" s="131" t="s">
        <v>149</v>
      </c>
      <c r="J51" s="137" t="str">
        <f t="shared" si="3"/>
        <v/>
      </c>
    </row>
    <row r="52" spans="1:10" ht="19.5" customHeight="1">
      <c r="A52" t="str">
        <f t="shared" si="2"/>
        <v/>
      </c>
      <c r="B52" s="106"/>
      <c r="C52" s="107"/>
      <c r="D52" t="str">
        <f>IFERROR(VLOOKUP($A52,コード!$C$2:$G$962,5,FALSE)&amp;"","")</f>
        <v/>
      </c>
      <c r="E52" s="244"/>
      <c r="G52" s="133" t="s">
        <v>150</v>
      </c>
      <c r="H52" s="132"/>
      <c r="I52" s="131" t="s">
        <v>151</v>
      </c>
      <c r="J52" s="137" t="str">
        <f t="shared" si="3"/>
        <v/>
      </c>
    </row>
    <row r="53" spans="1:10">
      <c r="A53" t="str">
        <f t="shared" si="2"/>
        <v/>
      </c>
      <c r="B53" s="106"/>
      <c r="C53" s="107"/>
      <c r="D53" t="str">
        <f>IFERROR(VLOOKUP($A53,コード!$C$2:$G$962,5,FALSE)&amp;"","")</f>
        <v/>
      </c>
      <c r="E53" s="244"/>
      <c r="G53" s="137" t="s">
        <v>152</v>
      </c>
      <c r="H53" s="137"/>
      <c r="I53" s="137" t="s">
        <v>153</v>
      </c>
      <c r="J53" s="137" t="str">
        <f t="shared" si="3"/>
        <v/>
      </c>
    </row>
    <row r="54" spans="1:10" ht="19.5" customHeight="1" thickBot="1">
      <c r="A54" t="str">
        <f t="shared" si="2"/>
        <v/>
      </c>
      <c r="B54" s="112"/>
      <c r="C54" s="113"/>
      <c r="D54" t="str">
        <f>IFERROR(VLOOKUP($A54,コード!$C$2:$G$962,5,FALSE)&amp;"","")</f>
        <v/>
      </c>
      <c r="E54" s="263"/>
      <c r="G54" s="137" t="s">
        <v>154</v>
      </c>
      <c r="H54" s="137"/>
      <c r="I54" s="137" t="s">
        <v>155</v>
      </c>
      <c r="J54" s="137" t="str">
        <f t="shared" si="3"/>
        <v/>
      </c>
    </row>
    <row r="55" spans="1:10" ht="19.5" customHeight="1" thickBot="1">
      <c r="A55" t="str">
        <f t="shared" si="2"/>
        <v>国内　計</v>
      </c>
      <c r="B55" s="114" t="s">
        <v>156</v>
      </c>
      <c r="C55" s="115"/>
      <c r="D55" t="str">
        <f>IFERROR(VLOOKUP($A55,コード!$C$2:$G$962,5,FALSE)&amp;"","")</f>
        <v/>
      </c>
      <c r="E55" s="125">
        <f>SUM(E5:E54)</f>
        <v>43500</v>
      </c>
      <c r="G55" s="137" t="s">
        <v>157</v>
      </c>
      <c r="H55" s="137"/>
      <c r="I55" s="137" t="s">
        <v>158</v>
      </c>
      <c r="J55" s="137" t="str">
        <f t="shared" si="3"/>
        <v/>
      </c>
    </row>
    <row r="56" spans="1:10">
      <c r="B56" s="106"/>
      <c r="C56" s="116"/>
      <c r="D56" t="str">
        <f>IFERROR(VLOOKUP($A56,コード!$C$2:$G$962,5,FALSE)&amp;"","")</f>
        <v/>
      </c>
      <c r="E56" s="341"/>
      <c r="G56" s="137" t="s">
        <v>159</v>
      </c>
      <c r="H56" s="137"/>
      <c r="I56" s="137" t="s">
        <v>160</v>
      </c>
      <c r="J56" s="137" t="str">
        <f t="shared" si="3"/>
        <v/>
      </c>
    </row>
    <row r="57" spans="1:10">
      <c r="A57" t="str">
        <f t="shared" ref="A57:A62" si="4">B57&amp;C57</f>
        <v>PDR+C30R</v>
      </c>
      <c r="B57" s="106" t="s">
        <v>161</v>
      </c>
      <c r="C57" s="107"/>
      <c r="D57" t="str">
        <f>IFERROR(VLOOKUP($A57,コード!$C$2:$G$962,5,FALSE)&amp;"","")</f>
        <v/>
      </c>
      <c r="E57" s="126"/>
    </row>
    <row r="58" spans="1:10">
      <c r="A58" t="str">
        <f t="shared" si="4"/>
        <v>PDR+C40RWX</v>
      </c>
      <c r="B58" s="239" t="s">
        <v>133</v>
      </c>
      <c r="C58" s="240" t="s">
        <v>134</v>
      </c>
      <c r="D58" t="str">
        <f>IFERROR(VLOOKUP($A58,コード!$C$2:$G$962,5,FALSE)&amp;"","")</f>
        <v>2TG15900</v>
      </c>
      <c r="E58" s="127"/>
    </row>
    <row r="59" spans="1:10">
      <c r="A59" t="str">
        <f t="shared" si="4"/>
        <v>PDR+C30S</v>
      </c>
      <c r="B59" s="146" t="s">
        <v>136</v>
      </c>
      <c r="C59" s="147"/>
      <c r="D59" t="str">
        <f>IFERROR(VLOOKUP($A59,コード!$C$2:$G$962,5,FALSE)&amp;"","")</f>
        <v>2TG16001</v>
      </c>
      <c r="E59" s="148"/>
    </row>
    <row r="60" spans="1:10">
      <c r="A60" t="str">
        <f t="shared" si="4"/>
        <v>PDR+C40S</v>
      </c>
      <c r="B60" s="146" t="s">
        <v>138</v>
      </c>
      <c r="C60" s="147"/>
      <c r="D60" t="str">
        <f>IFERROR(VLOOKUP($A60,コード!$C$2:$G$962,5,FALSE)&amp;"","")</f>
        <v>2TG15901</v>
      </c>
      <c r="E60" s="148"/>
    </row>
    <row r="61" spans="1:10">
      <c r="A61" t="str">
        <f t="shared" si="4"/>
        <v>PDR+C30W</v>
      </c>
      <c r="B61" s="106" t="s">
        <v>140</v>
      </c>
      <c r="C61" s="107"/>
      <c r="D61" t="str">
        <f>IFERROR(VLOOKUP($A61,コード!$C$2:$G$962,5,FALSE)&amp;"","")</f>
        <v>2TG16002</v>
      </c>
      <c r="E61" s="126"/>
    </row>
    <row r="62" spans="1:10" ht="19.5" customHeight="1" thickBot="1">
      <c r="A62" t="str">
        <f t="shared" si="4"/>
        <v>PDR+C40W</v>
      </c>
      <c r="B62" s="241" t="s">
        <v>142</v>
      </c>
      <c r="C62" s="242"/>
      <c r="D62" t="str">
        <f>IFERROR(VLOOKUP($A62,コード!$C$2:$G$962,5,FALSE)&amp;"","")</f>
        <v>2TG15902</v>
      </c>
      <c r="E62" s="391"/>
    </row>
    <row r="63" spans="1:10" ht="19.5" customHeight="1" thickBot="1">
      <c r="B63" s="112"/>
      <c r="C63" s="113"/>
      <c r="D63" t="str">
        <f>IFERROR(VLOOKUP($A63,コード!$C$2:$G$962,5,FALSE)&amp;"","")</f>
        <v/>
      </c>
      <c r="E63" s="342">
        <f>SUM(E56:E62)</f>
        <v>0</v>
      </c>
    </row>
    <row r="64" spans="1:10">
      <c r="A64" t="str">
        <f t="shared" ref="A64:A110" si="5">B64&amp;C64</f>
        <v/>
      </c>
      <c r="B64" s="117"/>
      <c r="C64" s="118"/>
      <c r="D64" t="str">
        <f>IFERROR(VLOOKUP($A64,コード!$C$2:$G$962,5,FALSE)&amp;"","")</f>
        <v/>
      </c>
      <c r="E64" s="127"/>
    </row>
    <row r="65" spans="1:5">
      <c r="A65" t="str">
        <f t="shared" si="5"/>
        <v>PDR+S30RCX</v>
      </c>
      <c r="B65" s="119" t="s">
        <v>162</v>
      </c>
      <c r="C65" s="107" t="s">
        <v>163</v>
      </c>
      <c r="D65" t="str">
        <f>IFERROR(VLOOKUP($A65,コード!$A$2:$G$962,7,FALSE)&amp;"","")</f>
        <v>3TG137A00100</v>
      </c>
      <c r="E65" s="197" t="str">
        <f>IF(IFERROR(VLOOKUP($D65,ハンカン確定注文!$E$9:$P$1022,12,0),"")=0,"",IFERROR(VLOOKUP($D65,ハンカン確定注文!$E$9:$P$1022,12,0),""))</f>
        <v/>
      </c>
    </row>
    <row r="66" spans="1:5">
      <c r="A66" t="str">
        <f t="shared" si="5"/>
        <v>PDR+S30RWUX</v>
      </c>
      <c r="B66" s="106" t="s">
        <v>162</v>
      </c>
      <c r="C66" s="107" t="s">
        <v>164</v>
      </c>
      <c r="D66" t="str">
        <f>IFERROR(VLOOKUP($A66,コード!$A$2:$G$962,7,FALSE)&amp;"","")</f>
        <v>3TG137A00110</v>
      </c>
      <c r="E66" s="197" t="str">
        <f>IF(IFERROR(VLOOKUP($D66,ハンカン確定注文!$E$9:$P$1022,12,0),"")=0,"",IFERROR(VLOOKUP($D66,ハンカン確定注文!$E$9:$P$1022,12,0),""))</f>
        <v/>
      </c>
    </row>
    <row r="67" spans="1:5">
      <c r="A67" t="str">
        <f t="shared" si="5"/>
        <v>PDR+S40RCX</v>
      </c>
      <c r="B67" s="106" t="s">
        <v>165</v>
      </c>
      <c r="C67" s="107" t="s">
        <v>163</v>
      </c>
      <c r="D67" t="str">
        <f>IFERROR(VLOOKUP($A67,コード!$A$2:$G$962,7,FALSE)&amp;"","")</f>
        <v>3TG138A00100</v>
      </c>
      <c r="E67" s="197" t="str">
        <f>IF(IFERROR(VLOOKUP($D67,ハンカン確定注文!$E$9:$P$1022,12,0),"")=0,"",IFERROR(VLOOKUP($D67,ハンカン確定注文!$E$9:$P$1022,12,0),""))</f>
        <v/>
      </c>
    </row>
    <row r="68" spans="1:5">
      <c r="A68" t="str">
        <f t="shared" si="5"/>
        <v>PDR+S30SCZ</v>
      </c>
      <c r="B68" s="106" t="s">
        <v>166</v>
      </c>
      <c r="C68" s="107" t="s">
        <v>167</v>
      </c>
      <c r="D68" t="str">
        <f>IFERROR(VLOOKUP($A68,コード!$A$2:$G$962,7,FALSE)&amp;"","")</f>
        <v>3TG137A00120</v>
      </c>
      <c r="E68" s="197" t="str">
        <f>IF(IFERROR(VLOOKUP($D68,ハンカン確定注文!$E$9:$P$1022,12,0),"")=0,"",IFERROR(VLOOKUP($D68,ハンカン確定注文!$E$9:$P$1022,12,0),""))</f>
        <v/>
      </c>
    </row>
    <row r="69" spans="1:5">
      <c r="A69" t="str">
        <f t="shared" si="5"/>
        <v>PDR+S40SCZ</v>
      </c>
      <c r="B69" s="119" t="s">
        <v>168</v>
      </c>
      <c r="C69" s="107" t="s">
        <v>167</v>
      </c>
      <c r="D69" t="str">
        <f>IFERROR(VLOOKUP($A69,コード!$A$2:$G$962,7,FALSE)&amp;"","")</f>
        <v>3TG138A00110</v>
      </c>
      <c r="E69" s="197" t="str">
        <f>IF(IFERROR(VLOOKUP($D69,ハンカン確定注文!$E$9:$P$1022,12,0),"")=0,"",IFERROR(VLOOKUP($D69,ハンカン確定注文!$E$9:$P$1022,12,0),""))</f>
        <v/>
      </c>
    </row>
    <row r="70" spans="1:5">
      <c r="A70" t="str">
        <f t="shared" si="5"/>
        <v>PDR+S30WCZ</v>
      </c>
      <c r="B70" s="106" t="s">
        <v>169</v>
      </c>
      <c r="C70" s="107" t="s">
        <v>167</v>
      </c>
      <c r="D70" t="str">
        <f>IFERROR(VLOOKUP($A70,コード!$A$2:$G$962,7,FALSE)&amp;"","")</f>
        <v>3TG137A00130</v>
      </c>
      <c r="E70" s="197" t="str">
        <f>IF(IFERROR(VLOOKUP($D70,ハンカン確定注文!$E$9:$P$1022,12,0),"")=0,"",IFERROR(VLOOKUP($D70,ハンカン確定注文!$E$9:$P$1022,12,0),""))</f>
        <v/>
      </c>
    </row>
    <row r="71" spans="1:5">
      <c r="A71" t="str">
        <f t="shared" si="5"/>
        <v>PDR+S40WCZ</v>
      </c>
      <c r="B71" s="106" t="s">
        <v>170</v>
      </c>
      <c r="C71" s="107" t="s">
        <v>167</v>
      </c>
      <c r="D71" t="str">
        <f>IFERROR(VLOOKUP($A71,コード!$A$2:$G$962,7,FALSE)&amp;"","")</f>
        <v>3TG138A00120</v>
      </c>
      <c r="E71" s="197" t="str">
        <f>IF(IFERROR(VLOOKUP($D71,ハンカン確定注文!$E$9:$P$1022,12,0),"")=0,"",IFERROR(VLOOKUP($D71,ハンカン確定注文!$E$9:$P$1022,12,0),""))</f>
        <v/>
      </c>
    </row>
    <row r="72" spans="1:5">
      <c r="A72" t="str">
        <f t="shared" si="5"/>
        <v/>
      </c>
      <c r="B72" s="106"/>
      <c r="C72" s="116"/>
      <c r="D72" t="str">
        <f>IFERROR(VLOOKUP($A72,コード!$A$2:$G$962,7,FALSE)&amp;"","")</f>
        <v/>
      </c>
      <c r="E72" s="197" t="str">
        <f>IF(IFERROR(VLOOKUP($D72,ハンカン確定注文!$E$9:$P$1022,12,0),"")=0,"",IFERROR(VLOOKUP($D72,ハンカン確定注文!$E$9:$P$1022,12,0),""))</f>
        <v/>
      </c>
    </row>
    <row r="73" spans="1:5">
      <c r="A73" t="str">
        <f t="shared" si="5"/>
        <v>PDU+A30AKZ</v>
      </c>
      <c r="B73" s="106" t="s">
        <v>171</v>
      </c>
      <c r="C73" s="107" t="s">
        <v>172</v>
      </c>
      <c r="D73" t="str">
        <f>IFERROR(VLOOKUP($A73,コード!$A$2:$G$962,7,FALSE)&amp;"","")</f>
        <v>3TG148A30010</v>
      </c>
      <c r="E73" s="197" t="str">
        <f>IF(IFERROR(VLOOKUP($D73,ハンカン確定注文!$E$9:$P$1022,12,0),"")=0,"",IFERROR(VLOOKUP($D73,ハンカン確定注文!$E$9:$P$1022,12,0),""))</f>
        <v/>
      </c>
    </row>
    <row r="74" spans="1:5">
      <c r="A74" t="str">
        <f t="shared" si="5"/>
        <v>PDU+A40AKZ</v>
      </c>
      <c r="B74" s="106" t="s">
        <v>173</v>
      </c>
      <c r="C74" s="107" t="s">
        <v>172</v>
      </c>
      <c r="D74" t="str">
        <f>IFERROR(VLOOKUP($A74,コード!$A$2:$G$962,7,FALSE)&amp;"","")</f>
        <v>3TG149A00250</v>
      </c>
      <c r="E74" s="197" t="str">
        <f>IF(IFERROR(VLOOKUP($D74,ハンカン確定注文!$E$9:$P$1022,12,0),"")=0,"",IFERROR(VLOOKUP($D74,ハンカン確定注文!$E$9:$P$1022,12,0),""))</f>
        <v/>
      </c>
    </row>
    <row r="75" spans="1:5">
      <c r="A75" t="str">
        <f t="shared" si="5"/>
        <v>PDU+A50AKZ</v>
      </c>
      <c r="B75" s="106" t="s">
        <v>174</v>
      </c>
      <c r="C75" s="107" t="s">
        <v>172</v>
      </c>
      <c r="D75" t="str">
        <f>IFERROR(VLOOKUP($A75,コード!$A$2:$G$962,7,FALSE)&amp;"","")</f>
        <v>3TG150A00250</v>
      </c>
      <c r="E75" s="197" t="str">
        <f>IF(IFERROR(VLOOKUP($D75,ハンカン確定注文!$E$9:$P$1022,12,0),"")=0,"",IFERROR(VLOOKUP($D75,ハンカン確定注文!$E$9:$P$1022,12,0),""))</f>
        <v/>
      </c>
    </row>
    <row r="76" spans="1:5">
      <c r="A76" t="str">
        <f t="shared" si="5"/>
        <v>PDU+A30CKZ</v>
      </c>
      <c r="B76" s="106" t="s">
        <v>175</v>
      </c>
      <c r="C76" s="107" t="s">
        <v>172</v>
      </c>
      <c r="D76" t="str">
        <f>IFERROR(VLOOKUP($A76,コード!$A$2:$G$962,7,FALSE)&amp;"","")</f>
        <v>3TG148A00230</v>
      </c>
      <c r="E76" s="197" t="str">
        <f>IF(IFERROR(VLOOKUP($D76,ハンカン確定注文!$E$9:$P$1022,12,0),"")=0,"",IFERROR(VLOOKUP($D76,ハンカン確定注文!$E$9:$P$1022,12,0),""))</f>
        <v/>
      </c>
    </row>
    <row r="77" spans="1:5">
      <c r="A77" t="str">
        <f t="shared" si="5"/>
        <v>PDU+A40CKZ</v>
      </c>
      <c r="B77" s="120" t="s">
        <v>176</v>
      </c>
      <c r="C77" s="121" t="s">
        <v>172</v>
      </c>
      <c r="D77" t="str">
        <f>IFERROR(VLOOKUP($A77,コード!$A$2:$G$962,7,FALSE)&amp;"","")</f>
        <v>3TG149A00230</v>
      </c>
      <c r="E77" s="197" t="str">
        <f>IF(IFERROR(VLOOKUP($D77,ハンカン確定注文!$E$9:$P$1022,12,0),"")=0,"",IFERROR(VLOOKUP($D77,ハンカン確定注文!$E$9:$P$1022,12,0),""))</f>
        <v/>
      </c>
    </row>
    <row r="78" spans="1:5">
      <c r="A78" t="str">
        <f t="shared" si="5"/>
        <v>PDU+A50CKZ</v>
      </c>
      <c r="B78" s="106" t="s">
        <v>177</v>
      </c>
      <c r="C78" s="107" t="s">
        <v>172</v>
      </c>
      <c r="D78" t="str">
        <f>IFERROR(VLOOKUP($A78,コード!$A$2:$G$962,7,FALSE)&amp;"","")</f>
        <v>3TG150A00230</v>
      </c>
      <c r="E78" s="197" t="str">
        <f>IF(IFERROR(VLOOKUP($D78,ハンカン確定注文!$E$9:$P$1022,12,0),"")=0,"",IFERROR(VLOOKUP($D78,ハンカン確定注文!$E$9:$P$1022,12,0),""))</f>
        <v/>
      </c>
    </row>
    <row r="79" spans="1:5">
      <c r="A79" t="str">
        <f t="shared" si="5"/>
        <v>PDU+A30CRZ</v>
      </c>
      <c r="B79" s="106" t="s">
        <v>175</v>
      </c>
      <c r="C79" s="107" t="s">
        <v>178</v>
      </c>
      <c r="D79" t="str">
        <f>IFERROR(VLOOKUP($A79,コード!$A$2:$G$962,7,FALSE)&amp;"","")</f>
        <v/>
      </c>
      <c r="E79" s="197" t="str">
        <f>IF(IFERROR(VLOOKUP($D79,ハンカン確定注文!$E$9:$P$1022,12,0),"")=0,"",IFERROR(VLOOKUP($D79,ハンカン確定注文!$E$9:$P$1022,12,0),""))</f>
        <v/>
      </c>
    </row>
    <row r="80" spans="1:5">
      <c r="A80" t="str">
        <f t="shared" si="5"/>
        <v>PDU+A40CRZ</v>
      </c>
      <c r="B80" s="106" t="s">
        <v>176</v>
      </c>
      <c r="C80" s="107" t="s">
        <v>178</v>
      </c>
      <c r="D80" t="str">
        <f>IFERROR(VLOOKUP($A80,コード!$A$2:$G$962,7,FALSE)&amp;"","")</f>
        <v/>
      </c>
      <c r="E80" s="197" t="str">
        <f>IF(IFERROR(VLOOKUP($D80,ハンカン確定注文!$E$9:$P$1022,12,0),"")=0,"",IFERROR(VLOOKUP($D80,ハンカン確定注文!$E$9:$P$1022,12,0),""))</f>
        <v/>
      </c>
    </row>
    <row r="81" spans="1:5">
      <c r="A81" t="str">
        <f t="shared" si="5"/>
        <v>PDU+A30RKX</v>
      </c>
      <c r="B81" s="106" t="s">
        <v>179</v>
      </c>
      <c r="C81" s="107" t="s">
        <v>180</v>
      </c>
      <c r="D81" t="str">
        <f>IFERROR(VLOOKUP($A81,コード!$A$2:$G$962,7,FALSE)&amp;"","")</f>
        <v>3TG148A00200</v>
      </c>
      <c r="E81" s="197" t="str">
        <f>IF(IFERROR(VLOOKUP($D81,ハンカン確定注文!$E$9:$P$1022,12,0),"")=0,"",IFERROR(VLOOKUP($D81,ハンカン確定注文!$E$9:$P$1022,12,0),""))</f>
        <v/>
      </c>
    </row>
    <row r="82" spans="1:5">
      <c r="A82" t="str">
        <f t="shared" si="5"/>
        <v>PDU+A40RKX</v>
      </c>
      <c r="B82" s="106" t="s">
        <v>181</v>
      </c>
      <c r="C82" s="107" t="s">
        <v>180</v>
      </c>
      <c r="D82" t="str">
        <f>IFERROR(VLOOKUP($A82,コード!$A$2:$G$962,7,FALSE)&amp;"","")</f>
        <v>3TG149A00200</v>
      </c>
      <c r="E82" s="197" t="str">
        <f>IF(IFERROR(VLOOKUP($D82,ハンカン確定注文!$E$9:$P$1022,12,0),"")=0,"",IFERROR(VLOOKUP($D82,ハンカン確定注文!$E$9:$P$1022,12,0),""))</f>
        <v/>
      </c>
    </row>
    <row r="83" spans="1:5">
      <c r="A83" t="str">
        <f t="shared" si="5"/>
        <v>PDU+A50RKX</v>
      </c>
      <c r="B83" s="106" t="s">
        <v>182</v>
      </c>
      <c r="C83" s="107" t="s">
        <v>180</v>
      </c>
      <c r="D83" t="str">
        <f>IFERROR(VLOOKUP($A83,コード!$A$2:$G$962,7,FALSE)&amp;"","")</f>
        <v>3TG150A00200</v>
      </c>
      <c r="E83" s="197" t="str">
        <f>IF(IFERROR(VLOOKUP($D83,ハンカン確定注文!$E$9:$P$1022,12,0),"")=0,"",IFERROR(VLOOKUP($D83,ハンカン確定注文!$E$9:$P$1022,12,0),""))</f>
        <v/>
      </c>
    </row>
    <row r="84" spans="1:5">
      <c r="A84" t="str">
        <f t="shared" si="5"/>
        <v>PDU+A30SKZ</v>
      </c>
      <c r="B84" s="106" t="s">
        <v>183</v>
      </c>
      <c r="C84" s="107" t="s">
        <v>172</v>
      </c>
      <c r="D84" t="str">
        <f>IFERROR(VLOOKUP($A84,コード!$A$2:$G$962,7,FALSE)&amp;"","")</f>
        <v>3TG148A00240</v>
      </c>
      <c r="E84" s="197" t="str">
        <f>IF(IFERROR(VLOOKUP($D84,ハンカン確定注文!$E$9:$P$1022,12,0),"")=0,"",IFERROR(VLOOKUP($D84,ハンカン確定注文!$E$9:$P$1022,12,0),""))</f>
        <v/>
      </c>
    </row>
    <row r="85" spans="1:5">
      <c r="A85" t="str">
        <f t="shared" si="5"/>
        <v>PDU+A40SKZ</v>
      </c>
      <c r="B85" s="106" t="s">
        <v>184</v>
      </c>
      <c r="C85" s="107" t="s">
        <v>172</v>
      </c>
      <c r="D85" t="str">
        <f>IFERROR(VLOOKUP($A85,コード!$A$2:$G$962,7,FALSE)&amp;"","")</f>
        <v>3TG149A00240</v>
      </c>
      <c r="E85" s="197" t="str">
        <f>IF(IFERROR(VLOOKUP($D85,ハンカン確定注文!$E$9:$P$1022,12,0),"")=0,"",IFERROR(VLOOKUP($D85,ハンカン確定注文!$E$9:$P$1022,12,0),""))</f>
        <v/>
      </c>
    </row>
    <row r="86" spans="1:5">
      <c r="A86" t="str">
        <f t="shared" si="5"/>
        <v>PDU+A50SKZ</v>
      </c>
      <c r="B86" s="106" t="s">
        <v>185</v>
      </c>
      <c r="C86" s="107" t="s">
        <v>172</v>
      </c>
      <c r="D86" t="str">
        <f>IFERROR(VLOOKUP($A86,コード!$A$2:$G$962,7,FALSE)&amp;"","")</f>
        <v>3TG150A00240</v>
      </c>
      <c r="E86" s="197" t="str">
        <f>IF(IFERROR(VLOOKUP($D86,ハンカン確定注文!$E$9:$P$1022,12,0),"")=0,"",IFERROR(VLOOKUP($D86,ハンカン確定注文!$E$9:$P$1022,12,0),""))</f>
        <v/>
      </c>
    </row>
    <row r="87" spans="1:5">
      <c r="A87" t="str">
        <f t="shared" si="5"/>
        <v>PDU+A30UKY</v>
      </c>
      <c r="B87" s="106" t="s">
        <v>186</v>
      </c>
      <c r="C87" s="107" t="s">
        <v>187</v>
      </c>
      <c r="D87" t="str">
        <f>IFERROR(VLOOKUP($A87,コード!$A$2:$G$962,7,FALSE)&amp;"","")</f>
        <v>3TG148A00210</v>
      </c>
      <c r="E87" s="197" t="str">
        <f>IF(IFERROR(VLOOKUP($D87,ハンカン確定注文!$E$9:$P$1022,12,0),"")=0,"",IFERROR(VLOOKUP($D87,ハンカン確定注文!$E$9:$P$1022,12,0),""))</f>
        <v/>
      </c>
    </row>
    <row r="88" spans="1:5">
      <c r="A88" t="str">
        <f t="shared" si="5"/>
        <v>PDU+A40UKY</v>
      </c>
      <c r="B88" s="106" t="s">
        <v>188</v>
      </c>
      <c r="C88" s="107" t="s">
        <v>187</v>
      </c>
      <c r="D88" t="str">
        <f>IFERROR(VLOOKUP($A88,コード!$A$2:$G$962,7,FALSE)&amp;"","")</f>
        <v>3TG149A00210</v>
      </c>
      <c r="E88" s="197" t="str">
        <f>IF(IFERROR(VLOOKUP($D88,ハンカン確定注文!$E$9:$P$1022,12,0),"")=0,"",IFERROR(VLOOKUP($D88,ハンカン確定注文!$E$9:$P$1022,12,0),""))</f>
        <v/>
      </c>
    </row>
    <row r="89" spans="1:5">
      <c r="A89" t="str">
        <f t="shared" si="5"/>
        <v>PDU+A50UKY</v>
      </c>
      <c r="B89" s="106" t="s">
        <v>189</v>
      </c>
      <c r="C89" s="107" t="s">
        <v>187</v>
      </c>
      <c r="D89" t="str">
        <f>IFERROR(VLOOKUP($A89,コード!$A$2:$G$962,7,FALSE)&amp;"","")</f>
        <v>3TG150A00210</v>
      </c>
      <c r="E89" s="197" t="str">
        <f>IF(IFERROR(VLOOKUP($D89,ハンカン確定注文!$E$9:$P$1022,12,0),"")=0,"",IFERROR(VLOOKUP($D89,ハンカン確定注文!$E$9:$P$1022,12,0),""))</f>
        <v/>
      </c>
    </row>
    <row r="90" spans="1:5">
      <c r="A90" t="str">
        <f t="shared" si="5"/>
        <v>PDU+A40WKZ</v>
      </c>
      <c r="B90" s="106" t="s">
        <v>190</v>
      </c>
      <c r="C90" s="107" t="s">
        <v>172</v>
      </c>
      <c r="D90" t="str">
        <f>IFERROR(VLOOKUP($A90,コード!$A$2:$G$962,7,FALSE)&amp;"","")</f>
        <v>3TG149A00220</v>
      </c>
      <c r="E90" s="197" t="str">
        <f>IF(IFERROR(VLOOKUP($D90,ハンカン確定注文!$E$9:$P$1022,12,0),"")=0,"",IFERROR(VLOOKUP($D90,ハンカン確定注文!$E$9:$P$1022,12,0),""))</f>
        <v/>
      </c>
    </row>
    <row r="91" spans="1:5">
      <c r="A91" t="str">
        <f t="shared" si="5"/>
        <v>PDU+A50WKZ</v>
      </c>
      <c r="B91" s="106" t="s">
        <v>191</v>
      </c>
      <c r="C91" s="107" t="s">
        <v>172</v>
      </c>
      <c r="D91" t="str">
        <f>IFERROR(VLOOKUP($A91,コード!$A$2:$G$962,7,FALSE)&amp;"","")</f>
        <v>3TG150A00220</v>
      </c>
      <c r="E91" s="197" t="str">
        <f>IF(IFERROR(VLOOKUP($D91,ハンカン確定注文!$E$9:$P$1022,12,0),"")=0,"",IFERROR(VLOOKUP($D91,ハンカン確定注文!$E$9:$P$1022,12,0),""))</f>
        <v/>
      </c>
    </row>
    <row r="92" spans="1:5">
      <c r="A92" t="str">
        <f t="shared" si="5"/>
        <v>PDZ+A30UKY</v>
      </c>
      <c r="B92" s="106" t="s">
        <v>192</v>
      </c>
      <c r="C92" s="107" t="s">
        <v>187</v>
      </c>
      <c r="D92" t="str">
        <f>IFERROR(VLOOKUP($A92,コード!$A$2:$G$962,7,FALSE)&amp;"","")</f>
        <v>3TG148A00260</v>
      </c>
      <c r="E92" s="197" t="str">
        <f>IF(IFERROR(VLOOKUP($D92,ハンカン確定注文!$E$9:$P$1022,12,0),"")=0,"",IFERROR(VLOOKUP($D92,ハンカン確定注文!$E$9:$P$1022,12,0),""))</f>
        <v/>
      </c>
    </row>
    <row r="93" spans="1:5">
      <c r="A93" t="str">
        <f t="shared" si="5"/>
        <v>PDZ+A40CKZ</v>
      </c>
      <c r="B93" s="106" t="s">
        <v>193</v>
      </c>
      <c r="C93" s="107" t="s">
        <v>172</v>
      </c>
      <c r="D93" t="str">
        <f>IFERROR(VLOOKUP($A93,コード!$A$2:$G$962,7,FALSE)&amp;"","")</f>
        <v>3TG149A00270</v>
      </c>
      <c r="E93" s="197" t="str">
        <f>IF(IFERROR(VLOOKUP($D93,ハンカン確定注文!$E$9:$P$1022,12,0),"")=0,"",IFERROR(VLOOKUP($D93,ハンカン確定注文!$E$9:$P$1022,12,0),""))</f>
        <v/>
      </c>
    </row>
    <row r="94" spans="1:5">
      <c r="A94" t="str">
        <f t="shared" si="5"/>
        <v>PDZ+A40UKY</v>
      </c>
      <c r="B94" s="106" t="s">
        <v>194</v>
      </c>
      <c r="C94" s="107" t="s">
        <v>187</v>
      </c>
      <c r="D94" t="str">
        <f>IFERROR(VLOOKUP($A94,コード!$A$2:$G$962,7,FALSE)&amp;"","")</f>
        <v>3TG149A00260</v>
      </c>
      <c r="E94" s="197" t="str">
        <f>IF(IFERROR(VLOOKUP($D94,ハンカン確定注文!$E$9:$P$1022,12,0),"")=0,"",IFERROR(VLOOKUP($D94,ハンカン確定注文!$E$9:$P$1022,12,0),""))</f>
        <v/>
      </c>
    </row>
    <row r="95" spans="1:5">
      <c r="A95" t="str">
        <f t="shared" si="5"/>
        <v>PDZ+A50CKZ</v>
      </c>
      <c r="B95" s="106" t="s">
        <v>195</v>
      </c>
      <c r="C95" s="107" t="s">
        <v>172</v>
      </c>
      <c r="D95" t="str">
        <f>IFERROR(VLOOKUP($A95,コード!$A$2:$G$962,7,FALSE)&amp;"","")</f>
        <v>3TG150A00270</v>
      </c>
      <c r="E95" s="197" t="str">
        <f>IF(IFERROR(VLOOKUP($D95,ハンカン確定注文!$E$9:$P$1022,12,0),"")=0,"",IFERROR(VLOOKUP($D95,ハンカン確定注文!$E$9:$P$1022,12,0),""))</f>
        <v/>
      </c>
    </row>
    <row r="96" spans="1:5">
      <c r="A96" t="str">
        <f t="shared" si="5"/>
        <v>PDZ+A50UKY</v>
      </c>
      <c r="B96" s="106" t="s">
        <v>196</v>
      </c>
      <c r="C96" s="107" t="s">
        <v>187</v>
      </c>
      <c r="D96" t="str">
        <f>IFERROR(VLOOKUP($A96,コード!$A$2:$G$962,7,FALSE)&amp;"","")</f>
        <v>3TG150A00260</v>
      </c>
      <c r="E96" s="197" t="str">
        <f>IF(IFERROR(VLOOKUP($D96,ハンカン確定注文!$E$9:$P$1022,12,0),"")=0,"",IFERROR(VLOOKUP($D96,ハンカン確定注文!$E$9:$P$1022,12,0),""))</f>
        <v/>
      </c>
    </row>
    <row r="97" spans="1:5">
      <c r="A97" t="str">
        <f t="shared" si="5"/>
        <v/>
      </c>
      <c r="B97" s="106"/>
      <c r="C97" s="107"/>
      <c r="D97" t="str">
        <f>IFERROR(VLOOKUP($A97,コード!$C$2:$G$962,5,FALSE)&amp;"","")</f>
        <v/>
      </c>
      <c r="E97" s="197" t="str">
        <f>IF(IFERROR(VLOOKUP($D97,ハンカン確定注文!$E$9:$P$1022,12,0),"")=0,"",IFERROR(VLOOKUP($D97,ハンカン確定注文!$E$9:$P$1022,12,0),""))</f>
        <v/>
      </c>
    </row>
    <row r="98" spans="1:5">
      <c r="A98" t="str">
        <f t="shared" si="5"/>
        <v>PIE+A40CKZ</v>
      </c>
      <c r="B98" s="106" t="s">
        <v>144</v>
      </c>
      <c r="C98" s="107" t="s">
        <v>172</v>
      </c>
      <c r="D98" t="str">
        <f>IFERROR(VLOOKUP($A98,コード!$C$2:$G$962,5,FALSE)&amp;"","")</f>
        <v>3TG152A30010</v>
      </c>
      <c r="E98" s="197" t="str">
        <f>IF(IFERROR(VLOOKUP($D98,ハンカン確定注文!$E$9:$P$1022,12,0),"")=0,"",IFERROR(VLOOKUP($D98,ハンカン確定注文!$E$9:$P$1022,12,0),""))</f>
        <v/>
      </c>
    </row>
    <row r="99" spans="1:5">
      <c r="A99" t="str">
        <f t="shared" si="5"/>
        <v>PIE+A40RKX</v>
      </c>
      <c r="B99" s="106" t="s">
        <v>146</v>
      </c>
      <c r="C99" s="107" t="s">
        <v>180</v>
      </c>
      <c r="D99" t="str">
        <f>IFERROR(VLOOKUP($A99,コード!$C$2:$G$962,5,FALSE)&amp;"","")</f>
        <v>3TG152A30000</v>
      </c>
      <c r="E99" s="197" t="str">
        <f>IF(IFERROR(VLOOKUP($D99,ハンカン確定注文!$E$9:$P$1022,12,0),"")=0,"",IFERROR(VLOOKUP($D99,ハンカン確定注文!$E$9:$P$1022,12,0),""))</f>
        <v/>
      </c>
    </row>
    <row r="100" spans="1:5">
      <c r="A100" t="str">
        <f t="shared" si="5"/>
        <v>PIE+A50CKZ</v>
      </c>
      <c r="B100" s="106" t="s">
        <v>148</v>
      </c>
      <c r="C100" s="107" t="s">
        <v>172</v>
      </c>
      <c r="D100" t="str">
        <f>IFERROR(VLOOKUP($A100,コード!$C$2:$G$962,5,FALSE)&amp;"","")</f>
        <v>3TG145A30020</v>
      </c>
      <c r="E100" s="197" t="str">
        <f>IF(IFERROR(VLOOKUP($D100,ハンカン確定注文!$E$9:$P$1022,12,0),"")=0,"",IFERROR(VLOOKUP($D100,ハンカン確定注文!$E$9:$P$1022,12,0),""))</f>
        <v/>
      </c>
    </row>
    <row r="101" spans="1:5">
      <c r="A101" t="str">
        <f t="shared" si="5"/>
        <v>PIE+A50RKX</v>
      </c>
      <c r="B101" s="106" t="s">
        <v>150</v>
      </c>
      <c r="C101" s="107" t="s">
        <v>180</v>
      </c>
      <c r="D101" t="str">
        <f>IFERROR(VLOOKUP($A101,コード!$C$2:$G$962,5,FALSE)&amp;"","")</f>
        <v>3TG145A30010</v>
      </c>
      <c r="E101" s="197" t="str">
        <f>IF(IFERROR(VLOOKUP($D101,ハンカン確定注文!$E$9:$P$1022,12,0),"")=0,"",IFERROR(VLOOKUP($D101,ハンカン確定注文!$E$9:$P$1022,12,0),""))</f>
        <v/>
      </c>
    </row>
    <row r="102" spans="1:5">
      <c r="A102" t="str">
        <f t="shared" si="5"/>
        <v>PIG+A30CKZ</v>
      </c>
      <c r="B102" s="106" t="s">
        <v>152</v>
      </c>
      <c r="C102" s="107" t="s">
        <v>172</v>
      </c>
      <c r="D102" t="str">
        <f>IFERROR(VLOOKUP($A102,コード!$C$2:$G$962,5,FALSE)&amp;"","")</f>
        <v>3TG144A30010</v>
      </c>
      <c r="E102" s="197" t="str">
        <f>IF(IFERROR(VLOOKUP($D102,ハンカン確定注文!$E$9:$P$1022,12,0),"")=0,"",IFERROR(VLOOKUP($D102,ハンカン確定注文!$E$9:$P$1022,12,0),""))</f>
        <v/>
      </c>
    </row>
    <row r="103" spans="1:5">
      <c r="A103" t="str">
        <f t="shared" si="5"/>
        <v>PIG+A30RKX</v>
      </c>
      <c r="B103" s="106" t="s">
        <v>154</v>
      </c>
      <c r="C103" s="107" t="s">
        <v>180</v>
      </c>
      <c r="D103" t="str">
        <f>IFERROR(VLOOKUP($A103,コード!$C$2:$G$962,5,FALSE)&amp;"","")</f>
        <v>3TG144A30020</v>
      </c>
      <c r="E103" s="197" t="str">
        <f>IF(IFERROR(VLOOKUP($D103,ハンカン確定注文!$E$9:$P$1022,12,0),"")=0,"",IFERROR(VLOOKUP($D103,ハンカン確定注文!$E$9:$P$1022,12,0),""))</f>
        <v/>
      </c>
    </row>
    <row r="104" spans="1:5">
      <c r="A104" t="str">
        <f t="shared" si="5"/>
        <v>PIG+A40CKZ</v>
      </c>
      <c r="B104" s="106" t="s">
        <v>157</v>
      </c>
      <c r="C104" s="107" t="s">
        <v>172</v>
      </c>
      <c r="D104" t="str">
        <f>IFERROR(VLOOKUP($A104,コード!$C$2:$G$962,5,FALSE)&amp;"","")</f>
        <v>3TG151A30010</v>
      </c>
      <c r="E104" s="197" t="str">
        <f>IF(IFERROR(VLOOKUP($D104,ハンカン確定注文!$E$9:$P$1022,12,0),"")=0,"",IFERROR(VLOOKUP($D104,ハンカン確定注文!$E$9:$P$1022,12,0),""))</f>
        <v/>
      </c>
    </row>
    <row r="105" spans="1:5">
      <c r="A105" t="str">
        <f t="shared" si="5"/>
        <v>PIG+A40RKX</v>
      </c>
      <c r="B105" s="106" t="s">
        <v>159</v>
      </c>
      <c r="C105" s="107" t="s">
        <v>180</v>
      </c>
      <c r="D105" t="str">
        <f>IFERROR(VLOOKUP($A105,コード!$C$2:$G$962,5,FALSE)&amp;"","")</f>
        <v>3TG151A30000</v>
      </c>
      <c r="E105" s="197" t="str">
        <f>IF(IFERROR(VLOOKUP($D105,ハンカン確定注文!$E$9:$P$1022,12,0),"")=0,"",IFERROR(VLOOKUP($D105,ハンカン確定注文!$E$9:$P$1022,12,0),""))</f>
        <v/>
      </c>
    </row>
    <row r="106" spans="1:5">
      <c r="A106" t="str">
        <f t="shared" si="5"/>
        <v/>
      </c>
      <c r="B106" s="106"/>
      <c r="C106" s="116"/>
      <c r="D106" t="str">
        <f>IFERROR(VLOOKUP($A106,コード!$C$2:$G$962,5,FALSE)&amp;"","")</f>
        <v/>
      </c>
      <c r="E106" s="197" t="str">
        <f>IF(IFERROR(VLOOKUP($D106,ハンカン確定注文!$E$9:$P$1022,12,0),"")=0,"",IFERROR(VLOOKUP($D106,ハンカン確定注文!$E$9:$P$1022,12,0),""))</f>
        <v/>
      </c>
    </row>
    <row r="107" spans="1:5">
      <c r="A107" t="str">
        <f t="shared" si="5"/>
        <v>PVW+B30CCUZ</v>
      </c>
      <c r="B107" s="106" t="s">
        <v>197</v>
      </c>
      <c r="C107" s="107" t="s">
        <v>198</v>
      </c>
      <c r="D107" t="str">
        <f>IFERROR(VLOOKUP($A107,コード!$A$2:$G$962,7,FALSE)&amp;"","")</f>
        <v>3TG140A00310</v>
      </c>
      <c r="E107" s="197" t="str">
        <f>IF(IFERROR(VLOOKUP($D107,ハンカン確定注文!$E$9:$P$1022,12,0),"")=0,"",IFERROR(VLOOKUP($D107,ハンカン確定注文!$E$9:$P$1022,12,0),""))</f>
        <v/>
      </c>
    </row>
    <row r="108" spans="1:5">
      <c r="A108" t="str">
        <f t="shared" si="5"/>
        <v>PVW+B30RCUX</v>
      </c>
      <c r="B108" s="106" t="s">
        <v>199</v>
      </c>
      <c r="C108" s="107" t="s">
        <v>200</v>
      </c>
      <c r="D108" t="str">
        <f>IFERROR(VLOOKUP($A108,コード!$A$2:$G$962,7,FALSE)&amp;"","")</f>
        <v>3TG140A00300</v>
      </c>
      <c r="E108" s="197" t="str">
        <f>IF(IFERROR(VLOOKUP($D108,ハンカン確定注文!$E$9:$P$1022,12,0),"")=0,"",IFERROR(VLOOKUP($D108,ハンカン確定注文!$E$9:$P$1022,12,0),""))</f>
        <v/>
      </c>
    </row>
    <row r="109" spans="1:5">
      <c r="A109" t="str">
        <f t="shared" si="5"/>
        <v>PVW+B30SCUZ</v>
      </c>
      <c r="B109" s="106" t="s">
        <v>201</v>
      </c>
      <c r="C109" s="107" t="s">
        <v>198</v>
      </c>
      <c r="D109" t="str">
        <f>IFERROR(VLOOKUP($A109,コード!$A$2:$G$962,7,FALSE)&amp;"","")</f>
        <v>3TG140A30050</v>
      </c>
      <c r="E109" s="197" t="str">
        <f>IF(IFERROR(VLOOKUP($D109,ハンカン確定注文!$E$9:$P$1022,12,0),"")=0,"",IFERROR(VLOOKUP($D109,ハンカン確定注文!$E$9:$P$1022,12,0),""))</f>
        <v/>
      </c>
    </row>
    <row r="110" spans="1:5">
      <c r="A110" t="str">
        <f t="shared" si="5"/>
        <v>PVW+B30WCUZ</v>
      </c>
      <c r="B110" s="106" t="s">
        <v>202</v>
      </c>
      <c r="C110" s="107" t="s">
        <v>198</v>
      </c>
      <c r="D110" t="str">
        <f>IFERROR(VLOOKUP($A110,コード!$A$2:$G$962,7,FALSE)&amp;"","")</f>
        <v>3TG140A00320</v>
      </c>
      <c r="E110" s="197" t="str">
        <f>IF(IFERROR(VLOOKUP($D110,ハンカン確定注文!$E$9:$P$1022,12,0),"")=0,"",IFERROR(VLOOKUP($D110,ハンカン確定注文!$E$9:$P$1022,12,0),""))</f>
        <v/>
      </c>
    </row>
    <row r="111" spans="1:5" ht="19.5" customHeight="1" thickBot="1">
      <c r="B111" s="122"/>
      <c r="C111" s="116"/>
      <c r="E111" s="126"/>
    </row>
    <row r="112" spans="1:5" ht="19.5" customHeight="1" thickBot="1">
      <c r="B112" s="114" t="s">
        <v>203</v>
      </c>
      <c r="C112" s="115"/>
      <c r="D112" s="136"/>
      <c r="E112" s="128">
        <f>E55+E111</f>
        <v>43500</v>
      </c>
    </row>
    <row r="113" spans="2:5" ht="19.5" customHeight="1" thickBot="1">
      <c r="B113" s="114" t="s">
        <v>204</v>
      </c>
      <c r="C113" s="115"/>
      <c r="D113" s="136"/>
    </row>
    <row r="119" spans="2:5">
      <c r="E119" s="130"/>
    </row>
    <row r="120" spans="2:5">
      <c r="E120" s="130"/>
    </row>
    <row r="121" spans="2:5">
      <c r="E121" s="130"/>
    </row>
    <row r="122" spans="2:5">
      <c r="E122" s="130"/>
    </row>
    <row r="123" spans="2:5">
      <c r="E123" s="130"/>
    </row>
    <row r="124" spans="2:5">
      <c r="E124" s="130"/>
    </row>
    <row r="125" spans="2:5">
      <c r="E125" s="130"/>
    </row>
    <row r="126" spans="2:5">
      <c r="E126" s="130"/>
    </row>
    <row r="127" spans="2:5">
      <c r="E127" s="130"/>
    </row>
    <row r="128" spans="2:5">
      <c r="E128" s="130"/>
    </row>
    <row r="129" spans="5:5">
      <c r="E129" s="130"/>
    </row>
    <row r="130" spans="5:5">
      <c r="E130" s="130"/>
    </row>
    <row r="131" spans="5:5">
      <c r="E131" s="130"/>
    </row>
    <row r="132" spans="5:5">
      <c r="E132" s="130"/>
    </row>
    <row r="133" spans="5:5">
      <c r="E133" s="130"/>
    </row>
    <row r="134" spans="5:5">
      <c r="E134" s="130"/>
    </row>
    <row r="135" spans="5:5">
      <c r="E135" s="130"/>
    </row>
    <row r="136" spans="5:5">
      <c r="E136" s="130"/>
    </row>
    <row r="137" spans="5:5">
      <c r="E137" s="130"/>
    </row>
    <row r="138" spans="5:5">
      <c r="E138" s="130"/>
    </row>
    <row r="139" spans="5:5">
      <c r="E139" s="130"/>
    </row>
    <row r="140" spans="5:5">
      <c r="E140" s="130"/>
    </row>
    <row r="141" spans="5:5">
      <c r="E141" s="130"/>
    </row>
    <row r="142" spans="5:5">
      <c r="E142" s="130"/>
    </row>
    <row r="143" spans="5:5">
      <c r="E143" s="130"/>
    </row>
    <row r="144" spans="5:5">
      <c r="E144" s="130"/>
    </row>
    <row r="145" spans="5:5">
      <c r="E145" s="130"/>
    </row>
    <row r="146" spans="5:5">
      <c r="E146" s="130"/>
    </row>
    <row r="147" spans="5:5">
      <c r="E147" s="130"/>
    </row>
    <row r="148" spans="5:5">
      <c r="E148" s="130"/>
    </row>
    <row r="149" spans="5:5">
      <c r="E149" s="130"/>
    </row>
    <row r="150" spans="5:5">
      <c r="E150" s="130"/>
    </row>
    <row r="151" spans="5:5">
      <c r="E151" s="130"/>
    </row>
    <row r="152" spans="5:5">
      <c r="E152" s="130"/>
    </row>
    <row r="153" spans="5:5">
      <c r="E153" s="130"/>
    </row>
    <row r="154" spans="5:5">
      <c r="E154" s="130"/>
    </row>
    <row r="155" spans="5:5">
      <c r="E155" s="130"/>
    </row>
    <row r="156" spans="5:5">
      <c r="E156" s="130"/>
    </row>
    <row r="157" spans="5:5">
      <c r="E157" s="130"/>
    </row>
    <row r="158" spans="5:5">
      <c r="E158" s="130"/>
    </row>
    <row r="159" spans="5:5">
      <c r="E159" s="130"/>
    </row>
    <row r="160" spans="5:5">
      <c r="E160" s="130"/>
    </row>
    <row r="161" spans="5:5">
      <c r="E161" s="130"/>
    </row>
  </sheetData>
  <autoFilter ref="G4:J56" xr:uid="{00000000-0009-0000-0000-000002000000}">
    <filterColumn colId="0" showButton="0"/>
    <filterColumn colId="1" showButton="0"/>
  </autoFilter>
  <mergeCells count="3">
    <mergeCell ref="G4:I4"/>
    <mergeCell ref="C2:C4"/>
    <mergeCell ref="B2:B4"/>
  </mergeCells>
  <phoneticPr fontId="3"/>
  <hyperlinks>
    <hyperlink ref="L2" r:id="rId1" xr:uid="{00000000-0004-0000-0200-000000000000}"/>
  </hyperlink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A54"/>
  <sheetViews>
    <sheetView tabSelected="1" zoomScaleNormal="100" workbookViewId="0">
      <pane xSplit="5" ySplit="12" topLeftCell="P13" activePane="bottomRight" state="frozen"/>
      <selection pane="topRight" activeCell="F1" sqref="F1"/>
      <selection pane="bottomLeft" activeCell="A13" sqref="A13"/>
      <selection pane="bottomRight" activeCell="Z18" sqref="Z18"/>
    </sheetView>
  </sheetViews>
  <sheetFormatPr defaultRowHeight="18.75"/>
  <cols>
    <col min="1" max="1" width="3.875" style="129" customWidth="1"/>
    <col min="2" max="2" width="10.875" style="129" customWidth="1"/>
    <col min="3" max="3" width="5.25" style="129" customWidth="1"/>
    <col min="4" max="4" width="15" style="129" customWidth="1"/>
    <col min="5" max="5" width="15.625" style="129" customWidth="1"/>
    <col min="6" max="15" width="10.625" style="129" customWidth="1"/>
    <col min="16" max="16" width="11.25" style="129" bestFit="1" customWidth="1"/>
    <col min="17" max="17" width="11.25" style="129" customWidth="1"/>
    <col min="18" max="18" width="11" style="129" bestFit="1" customWidth="1"/>
    <col min="19" max="19" width="10.875" style="129" bestFit="1" customWidth="1"/>
    <col min="20" max="20" width="33" style="129" bestFit="1" customWidth="1"/>
    <col min="21" max="21" width="11.375" bestFit="1" customWidth="1"/>
    <col min="22" max="22" width="11.375" customWidth="1"/>
    <col min="23" max="23" width="13" customWidth="1"/>
    <col min="24" max="24" width="11.375" bestFit="1" customWidth="1"/>
  </cols>
  <sheetData>
    <row r="1" spans="1:24">
      <c r="B1" s="439" t="s">
        <v>205</v>
      </c>
      <c r="C1" s="435"/>
      <c r="D1" s="190" t="s">
        <v>206</v>
      </c>
      <c r="E1" s="190" t="s">
        <v>207</v>
      </c>
      <c r="S1" s="63"/>
    </row>
    <row r="2" spans="1:24">
      <c r="B2" s="440"/>
      <c r="C2" s="441"/>
      <c r="D2" s="66">
        <v>60010</v>
      </c>
      <c r="E2" s="66">
        <v>60011</v>
      </c>
      <c r="P2" s="189"/>
      <c r="Q2" s="190" t="s">
        <v>208</v>
      </c>
      <c r="R2" s="191" t="s">
        <v>209</v>
      </c>
      <c r="S2" s="191" t="s">
        <v>210</v>
      </c>
      <c r="T2" s="190" t="s">
        <v>211</v>
      </c>
    </row>
    <row r="3" spans="1:24">
      <c r="B3" s="439" t="s">
        <v>212</v>
      </c>
      <c r="C3" s="443"/>
      <c r="D3" s="447">
        <f ca="1">EDATE(DATE(IF(P11&lt;MONTH(TODAY()),YEAR(TODAY())+1,YEAR(TODAY())),P11,15),-1)</f>
        <v>46188</v>
      </c>
      <c r="E3" s="443"/>
      <c r="P3" s="65"/>
      <c r="Q3" s="69"/>
      <c r="R3" s="68"/>
      <c r="S3" s="70"/>
      <c r="T3" s="68"/>
    </row>
    <row r="4" spans="1:24">
      <c r="B4" s="439" t="s">
        <v>214</v>
      </c>
      <c r="C4" s="443"/>
      <c r="D4" s="442" t="str">
        <f>"気高電機ジャーポット"&amp;P11&amp;"月度"</f>
        <v>気高電機ジャーポット7月度</v>
      </c>
      <c r="E4" s="443"/>
      <c r="P4" s="65"/>
      <c r="Q4" s="69"/>
      <c r="R4" s="68"/>
      <c r="S4" s="70"/>
      <c r="T4" s="68"/>
    </row>
    <row r="5" spans="1:24">
      <c r="B5" s="439" t="s">
        <v>215</v>
      </c>
      <c r="C5" s="443"/>
      <c r="D5" s="442" t="str">
        <f>"タイガー魔法瓶ジャーポット"&amp;P11&amp;"月度"</f>
        <v>タイガー魔法瓶ジャーポット7月度</v>
      </c>
      <c r="E5" s="443"/>
      <c r="P5" s="65"/>
      <c r="Q5" s="69"/>
      <c r="R5" s="68"/>
      <c r="S5" s="70"/>
      <c r="T5" s="68"/>
    </row>
    <row r="6" spans="1:24">
      <c r="B6" s="439" t="s">
        <v>216</v>
      </c>
      <c r="C6" s="443"/>
      <c r="D6" s="448" t="s">
        <v>217</v>
      </c>
      <c r="E6" s="443"/>
      <c r="P6" s="65"/>
      <c r="Q6" s="69"/>
      <c r="R6" s="68"/>
      <c r="S6" s="70"/>
      <c r="T6" s="68"/>
    </row>
    <row r="7" spans="1:24">
      <c r="B7" s="439" t="s">
        <v>218</v>
      </c>
      <c r="C7" s="435"/>
      <c r="D7" s="66" t="s">
        <v>206</v>
      </c>
      <c r="E7" s="66" t="s">
        <v>207</v>
      </c>
      <c r="S7" s="48"/>
    </row>
    <row r="8" spans="1:24">
      <c r="B8" s="440"/>
      <c r="C8" s="441"/>
      <c r="D8" s="66">
        <v>8033</v>
      </c>
      <c r="E8" s="66">
        <v>9121</v>
      </c>
      <c r="S8" s="48"/>
      <c r="T8" s="188" t="s">
        <v>219</v>
      </c>
      <c r="U8" s="405" t="s">
        <v>640</v>
      </c>
      <c r="V8" s="405" t="s">
        <v>651</v>
      </c>
      <c r="W8" s="405"/>
      <c r="X8" s="405"/>
    </row>
    <row r="9" spans="1:24" ht="19.5" customHeight="1" thickBot="1">
      <c r="P9" s="45" t="s">
        <v>220</v>
      </c>
      <c r="Q9" s="45"/>
      <c r="T9" s="188" t="s">
        <v>221</v>
      </c>
      <c r="U9" s="405"/>
      <c r="V9" s="405" t="s">
        <v>650</v>
      </c>
      <c r="W9" s="405" t="s">
        <v>649</v>
      </c>
      <c r="X9" s="405" t="s">
        <v>653</v>
      </c>
    </row>
    <row r="10" spans="1:24" ht="19.5" customHeight="1" thickBot="1">
      <c r="B10" s="154" t="s">
        <v>222</v>
      </c>
      <c r="C10" s="155" t="s">
        <v>37</v>
      </c>
      <c r="D10" s="407"/>
      <c r="E10" s="103"/>
      <c r="F10" s="444" t="s">
        <v>223</v>
      </c>
      <c r="G10" s="445"/>
      <c r="H10" s="445"/>
      <c r="I10" s="445"/>
      <c r="J10" s="445"/>
      <c r="K10" s="445"/>
      <c r="L10" s="445"/>
      <c r="M10" s="445"/>
      <c r="N10" s="445"/>
      <c r="O10" s="446"/>
      <c r="P10" s="47" t="s">
        <v>224</v>
      </c>
      <c r="Q10" s="47"/>
      <c r="T10" s="188" t="s">
        <v>213</v>
      </c>
      <c r="U10" s="406"/>
      <c r="V10" s="406"/>
      <c r="W10" s="406"/>
      <c r="X10" s="406"/>
    </row>
    <row r="11" spans="1:24" ht="19.5" customHeight="1" thickBot="1">
      <c r="B11" s="156"/>
      <c r="C11" s="157"/>
      <c r="D11" s="408" t="s">
        <v>225</v>
      </c>
      <c r="E11" s="153" t="s">
        <v>41</v>
      </c>
      <c r="F11" s="158" t="s">
        <v>226</v>
      </c>
      <c r="G11" s="159"/>
      <c r="H11" s="159" t="s">
        <v>227</v>
      </c>
      <c r="I11" s="159"/>
      <c r="J11" s="159" t="s">
        <v>228</v>
      </c>
      <c r="K11" s="160"/>
      <c r="L11" s="159" t="s">
        <v>229</v>
      </c>
      <c r="M11" s="159"/>
      <c r="N11" s="159" t="s">
        <v>230</v>
      </c>
      <c r="O11" s="161" t="s">
        <v>231</v>
      </c>
      <c r="P11" s="151">
        <v>7</v>
      </c>
      <c r="Q11" s="152" t="s">
        <v>232</v>
      </c>
      <c r="R11" s="149" t="s">
        <v>233</v>
      </c>
      <c r="S11" s="150" t="s">
        <v>234</v>
      </c>
      <c r="T11" s="188" t="s">
        <v>235</v>
      </c>
      <c r="U11" s="405" t="s">
        <v>641</v>
      </c>
      <c r="V11" s="405">
        <v>5</v>
      </c>
      <c r="W11" s="405">
        <v>6</v>
      </c>
      <c r="X11" s="405">
        <v>7</v>
      </c>
    </row>
    <row r="12" spans="1:24" ht="20.25" customHeight="1" thickTop="1" thickBot="1">
      <c r="B12" s="156"/>
      <c r="C12" s="157"/>
      <c r="D12" s="409" t="s">
        <v>236</v>
      </c>
      <c r="E12" s="245"/>
      <c r="F12" s="246">
        <v>46120</v>
      </c>
      <c r="G12" s="247">
        <f>F12+15</f>
        <v>46135</v>
      </c>
      <c r="H12" s="247">
        <f>F12+30</f>
        <v>46150</v>
      </c>
      <c r="I12" s="247">
        <f>F12+45</f>
        <v>46165</v>
      </c>
      <c r="J12" s="247">
        <f>F12+60</f>
        <v>46180</v>
      </c>
      <c r="K12" s="340">
        <f>F12+75</f>
        <v>46195</v>
      </c>
      <c r="L12" s="247">
        <f>F12+90</f>
        <v>46210</v>
      </c>
      <c r="M12" s="247">
        <f>F12+105</f>
        <v>46225</v>
      </c>
      <c r="N12" s="247">
        <f>F12+130</f>
        <v>46250</v>
      </c>
      <c r="O12" s="248">
        <v>45693</v>
      </c>
      <c r="P12" s="249" t="s">
        <v>213</v>
      </c>
      <c r="Q12" s="250" t="s">
        <v>237</v>
      </c>
      <c r="R12" s="251"/>
      <c r="S12" s="252"/>
      <c r="T12" s="188"/>
      <c r="U12" s="249" t="s">
        <v>642</v>
      </c>
      <c r="V12" s="249" t="s">
        <v>642</v>
      </c>
      <c r="W12" s="249" t="s">
        <v>213</v>
      </c>
      <c r="X12" s="249" t="s">
        <v>213</v>
      </c>
    </row>
    <row r="13" spans="1:24" ht="19.5" customHeight="1" thickTop="1">
      <c r="A13" t="str">
        <f t="shared" ref="A13:A52" si="0">B13&amp;C13</f>
        <v>PDR+S30RCX</v>
      </c>
      <c r="B13" s="269" t="s">
        <v>162</v>
      </c>
      <c r="C13" s="270" t="s">
        <v>163</v>
      </c>
      <c r="D13" s="430"/>
      <c r="E13" s="253" t="str">
        <f>IFERROR(VLOOKUP($A13,コード!$A$2:$G$962,7,FALSE)&amp;"","")</f>
        <v>3TG137A00100</v>
      </c>
      <c r="F13" s="254">
        <v>0</v>
      </c>
      <c r="G13" s="255">
        <v>0</v>
      </c>
      <c r="H13" s="255">
        <v>0</v>
      </c>
      <c r="I13" s="255">
        <v>0</v>
      </c>
      <c r="J13" s="255">
        <v>0</v>
      </c>
      <c r="K13" s="256">
        <v>0</v>
      </c>
      <c r="L13" s="257">
        <v>0</v>
      </c>
      <c r="M13" s="257">
        <v>0</v>
      </c>
      <c r="N13" s="257">
        <v>0</v>
      </c>
      <c r="O13" s="258"/>
      <c r="P13" s="41"/>
      <c r="Q13" s="79"/>
      <c r="R13" s="259">
        <f>M13+P13+Q13-D13</f>
        <v>0</v>
      </c>
      <c r="S13" s="139" t="str">
        <f t="shared" ref="S13:S52" si="1">_xlfn.IFS(D13&gt;=800,"+20",D13&gt;=400,"+10",D13&lt;399,"0")</f>
        <v>0</v>
      </c>
      <c r="T13" s="144" t="str">
        <f t="shared" ref="T13:T47" si="2">B13&amp;" "&amp;C13</f>
        <v>PDR+S30R CX</v>
      </c>
      <c r="U13" s="41"/>
      <c r="V13" s="41"/>
      <c r="W13" s="41"/>
      <c r="X13" s="41"/>
    </row>
    <row r="14" spans="1:24">
      <c r="A14" t="str">
        <f t="shared" si="0"/>
        <v>PDR+S30RWUX</v>
      </c>
      <c r="B14" s="1" t="s">
        <v>162</v>
      </c>
      <c r="C14" s="2" t="s">
        <v>164</v>
      </c>
      <c r="D14" s="410"/>
      <c r="E14" s="72" t="str">
        <f>IFERROR(VLOOKUP($A14,コード!$A$2:$G$962,7,FALSE)&amp;"","")</f>
        <v>3TG137A00110</v>
      </c>
      <c r="F14" s="271">
        <v>0</v>
      </c>
      <c r="G14" s="272">
        <v>0</v>
      </c>
      <c r="H14" s="272">
        <v>0</v>
      </c>
      <c r="I14" s="272">
        <v>0</v>
      </c>
      <c r="J14" s="272">
        <v>0</v>
      </c>
      <c r="K14" s="273">
        <v>0</v>
      </c>
      <c r="L14" s="274">
        <v>0</v>
      </c>
      <c r="M14" s="274">
        <v>0</v>
      </c>
      <c r="N14" s="274">
        <v>0</v>
      </c>
      <c r="O14" s="166">
        <v>0</v>
      </c>
      <c r="P14" s="42"/>
      <c r="Q14" s="73"/>
      <c r="R14" s="138">
        <f t="shared" ref="R14:R52" si="3">K14+P14+Q14-D14</f>
        <v>0</v>
      </c>
      <c r="S14" s="140" t="str">
        <f t="shared" si="1"/>
        <v>0</v>
      </c>
      <c r="T14" s="144" t="str">
        <f t="shared" si="2"/>
        <v>PDR+S30R WUX</v>
      </c>
      <c r="U14" s="42"/>
      <c r="V14" s="42"/>
      <c r="W14" s="42"/>
      <c r="X14" s="42"/>
    </row>
    <row r="15" spans="1:24">
      <c r="A15" t="str">
        <f t="shared" si="0"/>
        <v>PDR+S30SCZ</v>
      </c>
      <c r="B15" s="1" t="s">
        <v>166</v>
      </c>
      <c r="C15" s="2" t="s">
        <v>167</v>
      </c>
      <c r="D15" s="431"/>
      <c r="E15" s="72" t="str">
        <f>IFERROR(VLOOKUP($A15,コード!$A$2:$G$962,7,FALSE)&amp;"","")</f>
        <v>3TG137A00120</v>
      </c>
      <c r="F15" s="271">
        <v>0</v>
      </c>
      <c r="G15" s="272">
        <v>0</v>
      </c>
      <c r="H15" s="272">
        <v>0</v>
      </c>
      <c r="I15" s="272">
        <v>0</v>
      </c>
      <c r="J15" s="272">
        <v>0</v>
      </c>
      <c r="K15" s="273">
        <v>0</v>
      </c>
      <c r="L15" s="274">
        <v>0</v>
      </c>
      <c r="M15" s="274">
        <v>0</v>
      </c>
      <c r="N15" s="274">
        <v>0</v>
      </c>
      <c r="O15" s="166"/>
      <c r="P15" s="42"/>
      <c r="Q15" s="73"/>
      <c r="R15" s="138">
        <f t="shared" si="3"/>
        <v>0</v>
      </c>
      <c r="S15" s="140" t="str">
        <f t="shared" si="1"/>
        <v>0</v>
      </c>
      <c r="T15" s="144" t="str">
        <f t="shared" si="2"/>
        <v>PDR+S30S CZ</v>
      </c>
      <c r="U15" s="42"/>
      <c r="V15" s="42"/>
      <c r="W15" s="42"/>
      <c r="X15" s="42"/>
    </row>
    <row r="16" spans="1:24">
      <c r="A16" t="str">
        <f t="shared" si="0"/>
        <v>PDR+S30WCZ</v>
      </c>
      <c r="B16" s="1" t="s">
        <v>169</v>
      </c>
      <c r="C16" s="2" t="s">
        <v>167</v>
      </c>
      <c r="D16" s="410"/>
      <c r="E16" s="72" t="str">
        <f>IFERROR(VLOOKUP($A16,コード!$A$2:$G$962,7,FALSE)&amp;"","")</f>
        <v>3TG137A00130</v>
      </c>
      <c r="F16" s="271">
        <v>0</v>
      </c>
      <c r="G16" s="272">
        <v>0</v>
      </c>
      <c r="H16" s="272">
        <v>0</v>
      </c>
      <c r="I16" s="272">
        <v>0</v>
      </c>
      <c r="J16" s="272">
        <v>0</v>
      </c>
      <c r="K16" s="273">
        <v>0</v>
      </c>
      <c r="L16" s="274">
        <v>0</v>
      </c>
      <c r="M16" s="274">
        <v>0</v>
      </c>
      <c r="N16" s="274">
        <v>0</v>
      </c>
      <c r="O16" s="166"/>
      <c r="P16" s="42"/>
      <c r="Q16" s="73"/>
      <c r="R16" s="138">
        <f t="shared" si="3"/>
        <v>0</v>
      </c>
      <c r="S16" s="140" t="str">
        <f t="shared" si="1"/>
        <v>0</v>
      </c>
      <c r="T16" s="144" t="str">
        <f t="shared" si="2"/>
        <v>PDR+S30W CZ</v>
      </c>
      <c r="U16" s="42"/>
      <c r="V16" s="42"/>
      <c r="W16" s="42"/>
      <c r="X16" s="42"/>
    </row>
    <row r="17" spans="1:24">
      <c r="A17" t="str">
        <f t="shared" si="0"/>
        <v>PDR+S40RCX</v>
      </c>
      <c r="B17" s="1" t="s">
        <v>165</v>
      </c>
      <c r="C17" s="2" t="s">
        <v>163</v>
      </c>
      <c r="D17" s="410"/>
      <c r="E17" s="72" t="str">
        <f>IFERROR(VLOOKUP($A17,コード!$A$2:$G$962,7,FALSE)&amp;"","")</f>
        <v>3TG138A00100</v>
      </c>
      <c r="F17" s="271">
        <v>0</v>
      </c>
      <c r="G17" s="272">
        <v>0</v>
      </c>
      <c r="H17" s="272">
        <v>0</v>
      </c>
      <c r="I17" s="272">
        <v>0</v>
      </c>
      <c r="J17" s="272">
        <v>0</v>
      </c>
      <c r="K17" s="273">
        <v>0</v>
      </c>
      <c r="L17" s="274">
        <v>0</v>
      </c>
      <c r="M17" s="274">
        <v>0</v>
      </c>
      <c r="N17" s="274">
        <v>0</v>
      </c>
      <c r="O17" s="166"/>
      <c r="P17" s="42"/>
      <c r="Q17" s="73"/>
      <c r="R17" s="138">
        <f t="shared" si="3"/>
        <v>0</v>
      </c>
      <c r="S17" s="140" t="str">
        <f t="shared" si="1"/>
        <v>0</v>
      </c>
      <c r="T17" s="144" t="str">
        <f t="shared" si="2"/>
        <v>PDR+S40R CX</v>
      </c>
      <c r="U17" s="42"/>
      <c r="V17" s="42"/>
      <c r="W17" s="42"/>
      <c r="X17" s="42"/>
    </row>
    <row r="18" spans="1:24">
      <c r="A18" t="str">
        <f t="shared" si="0"/>
        <v>PDR+S40SCZ</v>
      </c>
      <c r="B18" s="1" t="s">
        <v>168</v>
      </c>
      <c r="C18" s="2" t="s">
        <v>167</v>
      </c>
      <c r="D18" s="410"/>
      <c r="E18" s="72" t="str">
        <f>IFERROR(VLOOKUP($A18,コード!$A$2:$G$962,7,FALSE)&amp;"","")</f>
        <v>3TG138A00110</v>
      </c>
      <c r="F18" s="271">
        <v>0</v>
      </c>
      <c r="G18" s="272">
        <v>0</v>
      </c>
      <c r="H18" s="272">
        <v>0</v>
      </c>
      <c r="I18" s="272">
        <v>0</v>
      </c>
      <c r="J18" s="272">
        <v>0</v>
      </c>
      <c r="K18" s="273">
        <v>0</v>
      </c>
      <c r="L18" s="274">
        <v>0</v>
      </c>
      <c r="M18" s="274">
        <v>0</v>
      </c>
      <c r="N18" s="274">
        <v>0</v>
      </c>
      <c r="O18" s="166"/>
      <c r="P18" s="42"/>
      <c r="Q18" s="73"/>
      <c r="R18" s="138">
        <f t="shared" si="3"/>
        <v>0</v>
      </c>
      <c r="S18" s="140" t="str">
        <f t="shared" si="1"/>
        <v>0</v>
      </c>
      <c r="T18" s="144" t="str">
        <f t="shared" si="2"/>
        <v>PDR+S40S CZ</v>
      </c>
      <c r="U18" s="42"/>
      <c r="V18" s="42"/>
      <c r="W18" s="42"/>
      <c r="X18" s="42"/>
    </row>
    <row r="19" spans="1:24" ht="19.5" customHeight="1" thickBot="1">
      <c r="A19" t="str">
        <f t="shared" si="0"/>
        <v>PDR+S40WCZ</v>
      </c>
      <c r="B19" s="1" t="s">
        <v>170</v>
      </c>
      <c r="C19" s="2" t="s">
        <v>167</v>
      </c>
      <c r="D19" s="411"/>
      <c r="E19" s="72" t="str">
        <f>IFERROR(VLOOKUP($A19,コード!$A$2:$G$962,7,FALSE)&amp;"","")</f>
        <v>3TG138A00120</v>
      </c>
      <c r="F19" s="271">
        <v>0</v>
      </c>
      <c r="G19" s="272">
        <v>0</v>
      </c>
      <c r="H19" s="272">
        <v>0</v>
      </c>
      <c r="I19" s="272">
        <v>0</v>
      </c>
      <c r="J19" s="272">
        <v>0</v>
      </c>
      <c r="K19" s="273">
        <v>0</v>
      </c>
      <c r="L19" s="274">
        <v>0</v>
      </c>
      <c r="M19" s="274">
        <v>0</v>
      </c>
      <c r="N19" s="274">
        <v>0</v>
      </c>
      <c r="O19" s="166"/>
      <c r="P19" s="42"/>
      <c r="Q19" s="73"/>
      <c r="R19" s="138">
        <f t="shared" si="3"/>
        <v>0</v>
      </c>
      <c r="S19" s="140" t="str">
        <f t="shared" si="1"/>
        <v>0</v>
      </c>
      <c r="T19" s="144" t="str">
        <f t="shared" si="2"/>
        <v>PDR+S40W CZ</v>
      </c>
      <c r="U19" s="42"/>
      <c r="V19" s="42"/>
      <c r="W19" s="42"/>
      <c r="X19" s="42"/>
    </row>
    <row r="20" spans="1:24">
      <c r="A20" t="str">
        <f t="shared" si="0"/>
        <v>PDU+A30AKZ</v>
      </c>
      <c r="B20" s="7" t="s">
        <v>171</v>
      </c>
      <c r="C20" s="8" t="s">
        <v>172</v>
      </c>
      <c r="D20" s="412"/>
      <c r="E20" s="72" t="str">
        <f>IFERROR(VLOOKUP($A20,コード!$A$2:$G$962,7,FALSE)&amp;"","")</f>
        <v>3TG148A30010</v>
      </c>
      <c r="F20" s="271">
        <v>0</v>
      </c>
      <c r="G20" s="272">
        <v>0</v>
      </c>
      <c r="H20" s="272">
        <v>0</v>
      </c>
      <c r="I20" s="272">
        <v>0</v>
      </c>
      <c r="J20" s="272">
        <v>0</v>
      </c>
      <c r="K20" s="273">
        <v>0</v>
      </c>
      <c r="L20" s="274">
        <v>0</v>
      </c>
      <c r="M20" s="274">
        <v>0</v>
      </c>
      <c r="N20" s="274">
        <v>0</v>
      </c>
      <c r="O20" s="166">
        <v>0</v>
      </c>
      <c r="P20" s="42"/>
      <c r="Q20" s="73"/>
      <c r="R20" s="138">
        <f t="shared" si="3"/>
        <v>0</v>
      </c>
      <c r="S20" s="140" t="str">
        <f t="shared" si="1"/>
        <v>0</v>
      </c>
      <c r="T20" s="144" t="str">
        <f t="shared" si="2"/>
        <v>PDU+A30A KZ</v>
      </c>
      <c r="U20" s="42"/>
      <c r="V20" s="42"/>
      <c r="W20" s="42"/>
      <c r="X20" s="42"/>
    </row>
    <row r="21" spans="1:24">
      <c r="A21" t="str">
        <f t="shared" si="0"/>
        <v>PDU+A30CKZ</v>
      </c>
      <c r="B21" s="3" t="s">
        <v>175</v>
      </c>
      <c r="C21" s="4" t="s">
        <v>172</v>
      </c>
      <c r="D21" s="413"/>
      <c r="E21" s="72" t="str">
        <f>IFERROR(VLOOKUP($A21,コード!$A$2:$G$962,7,FALSE)&amp;"","")</f>
        <v>3TG148A00230</v>
      </c>
      <c r="F21" s="271">
        <v>0</v>
      </c>
      <c r="G21" s="272">
        <v>0</v>
      </c>
      <c r="H21" s="272">
        <v>0</v>
      </c>
      <c r="I21" s="272">
        <v>0</v>
      </c>
      <c r="J21" s="272">
        <v>0</v>
      </c>
      <c r="K21" s="273">
        <v>0</v>
      </c>
      <c r="L21" s="274">
        <v>0</v>
      </c>
      <c r="M21" s="274">
        <v>0</v>
      </c>
      <c r="N21" s="274">
        <v>0</v>
      </c>
      <c r="O21" s="166">
        <v>0</v>
      </c>
      <c r="P21" s="42"/>
      <c r="Q21" s="73"/>
      <c r="R21" s="138">
        <f t="shared" si="3"/>
        <v>0</v>
      </c>
      <c r="S21" s="140" t="str">
        <f t="shared" si="1"/>
        <v>0</v>
      </c>
      <c r="T21" s="144" t="str">
        <f t="shared" si="2"/>
        <v>PDU+A30C KZ</v>
      </c>
      <c r="U21" s="42"/>
      <c r="V21" s="42"/>
      <c r="W21" s="42"/>
      <c r="X21" s="42"/>
    </row>
    <row r="22" spans="1:24">
      <c r="A22" t="str">
        <f t="shared" si="0"/>
        <v>PDU+A30RKX</v>
      </c>
      <c r="B22" s="5" t="s">
        <v>179</v>
      </c>
      <c r="C22" s="6" t="s">
        <v>180</v>
      </c>
      <c r="D22" s="414"/>
      <c r="E22" s="72" t="str">
        <f>IFERROR(VLOOKUP($A22,コード!$A$2:$G$962,7,FALSE)&amp;"","")</f>
        <v>3TG148A00200</v>
      </c>
      <c r="F22" s="271">
        <v>0</v>
      </c>
      <c r="G22" s="272">
        <v>0</v>
      </c>
      <c r="H22" s="272">
        <v>0</v>
      </c>
      <c r="I22" s="272">
        <v>0</v>
      </c>
      <c r="J22" s="272">
        <v>0</v>
      </c>
      <c r="K22" s="273">
        <v>0</v>
      </c>
      <c r="L22" s="274">
        <v>0</v>
      </c>
      <c r="M22" s="274">
        <v>0</v>
      </c>
      <c r="N22" s="274">
        <v>0</v>
      </c>
      <c r="O22" s="166"/>
      <c r="P22" s="42"/>
      <c r="Q22" s="73"/>
      <c r="R22" s="138">
        <f t="shared" si="3"/>
        <v>0</v>
      </c>
      <c r="S22" s="140" t="str">
        <f t="shared" si="1"/>
        <v>0</v>
      </c>
      <c r="T22" s="144" t="str">
        <f t="shared" si="2"/>
        <v>PDU+A30R KX</v>
      </c>
      <c r="U22" s="42"/>
      <c r="V22" s="42"/>
      <c r="W22" s="42"/>
      <c r="X22" s="42"/>
    </row>
    <row r="23" spans="1:24">
      <c r="A23" t="str">
        <f t="shared" si="0"/>
        <v>PDU+A30SKZ</v>
      </c>
      <c r="B23" s="7" t="s">
        <v>183</v>
      </c>
      <c r="C23" s="8" t="s">
        <v>172</v>
      </c>
      <c r="D23" s="415"/>
      <c r="E23" s="72" t="str">
        <f>IFERROR(VLOOKUP($A23,コード!$A$2:$G$962,7,FALSE)&amp;"","")</f>
        <v>3TG148A00240</v>
      </c>
      <c r="F23" s="271">
        <v>0</v>
      </c>
      <c r="G23" s="272">
        <v>0</v>
      </c>
      <c r="H23" s="272">
        <v>0</v>
      </c>
      <c r="I23" s="272">
        <v>0</v>
      </c>
      <c r="J23" s="272">
        <v>0</v>
      </c>
      <c r="K23" s="273">
        <v>0</v>
      </c>
      <c r="L23" s="274">
        <v>0</v>
      </c>
      <c r="M23" s="274">
        <v>0</v>
      </c>
      <c r="N23" s="274">
        <v>0</v>
      </c>
      <c r="O23" s="166"/>
      <c r="P23" s="42"/>
      <c r="Q23" s="73"/>
      <c r="R23" s="138">
        <f t="shared" si="3"/>
        <v>0</v>
      </c>
      <c r="S23" s="140" t="str">
        <f t="shared" si="1"/>
        <v>0</v>
      </c>
      <c r="T23" s="144" t="str">
        <f t="shared" si="2"/>
        <v>PDU+A30S KZ</v>
      </c>
      <c r="U23" s="42"/>
      <c r="V23" s="42"/>
      <c r="W23" s="42"/>
      <c r="X23" s="42"/>
    </row>
    <row r="24" spans="1:24">
      <c r="A24" t="str">
        <f t="shared" si="0"/>
        <v>PDU+A30UKY</v>
      </c>
      <c r="B24" s="5" t="s">
        <v>186</v>
      </c>
      <c r="C24" s="6" t="s">
        <v>187</v>
      </c>
      <c r="D24" s="414"/>
      <c r="E24" s="72" t="str">
        <f>IFERROR(VLOOKUP($A24,コード!$A$2:$G$962,7,FALSE)&amp;"","")</f>
        <v>3TG148A00210</v>
      </c>
      <c r="F24" s="271">
        <v>11</v>
      </c>
      <c r="G24" s="272">
        <v>11</v>
      </c>
      <c r="H24" s="272">
        <v>11</v>
      </c>
      <c r="I24" s="272">
        <v>11</v>
      </c>
      <c r="J24" s="272">
        <v>11</v>
      </c>
      <c r="K24" s="273">
        <v>11</v>
      </c>
      <c r="L24" s="274">
        <v>11</v>
      </c>
      <c r="M24" s="274">
        <v>11</v>
      </c>
      <c r="N24" s="274">
        <v>11</v>
      </c>
      <c r="O24" s="166"/>
      <c r="P24" s="42"/>
      <c r="Q24" s="73"/>
      <c r="R24" s="138">
        <f t="shared" si="3"/>
        <v>11</v>
      </c>
      <c r="S24" s="140" t="str">
        <f t="shared" si="1"/>
        <v>0</v>
      </c>
      <c r="T24" s="144" t="str">
        <f t="shared" si="2"/>
        <v>PDU+A30U KY</v>
      </c>
      <c r="U24" s="42"/>
      <c r="V24" s="42"/>
      <c r="W24" s="42"/>
      <c r="X24" s="42"/>
    </row>
    <row r="25" spans="1:24">
      <c r="A25" t="str">
        <f t="shared" si="0"/>
        <v>PDU+A40AKZ</v>
      </c>
      <c r="B25" s="7" t="s">
        <v>173</v>
      </c>
      <c r="C25" s="8" t="s">
        <v>172</v>
      </c>
      <c r="D25" s="432"/>
      <c r="E25" s="72" t="str">
        <f>IFERROR(VLOOKUP($A25,コード!$A$2:$G$962,7,FALSE)&amp;"","")</f>
        <v>3TG149A00250</v>
      </c>
      <c r="F25" s="271">
        <v>14</v>
      </c>
      <c r="G25" s="272">
        <v>14</v>
      </c>
      <c r="H25" s="272">
        <v>14</v>
      </c>
      <c r="I25" s="272">
        <v>14</v>
      </c>
      <c r="J25" s="272">
        <v>14</v>
      </c>
      <c r="K25" s="273">
        <v>24</v>
      </c>
      <c r="L25" s="274">
        <v>-726</v>
      </c>
      <c r="M25" s="274">
        <v>-1476</v>
      </c>
      <c r="N25" s="274">
        <v>-1476</v>
      </c>
      <c r="O25" s="166"/>
      <c r="P25" s="42"/>
      <c r="Q25" s="73"/>
      <c r="R25" s="138">
        <f t="shared" si="3"/>
        <v>24</v>
      </c>
      <c r="S25" s="140" t="str">
        <f t="shared" si="1"/>
        <v>0</v>
      </c>
      <c r="T25" s="144" t="str">
        <f t="shared" si="2"/>
        <v>PDU+A40A KZ</v>
      </c>
      <c r="U25" s="42">
        <v>300</v>
      </c>
      <c r="V25" s="42"/>
      <c r="W25" s="42">
        <v>610</v>
      </c>
      <c r="X25" s="42">
        <v>910</v>
      </c>
    </row>
    <row r="26" spans="1:24">
      <c r="A26" t="str">
        <f t="shared" si="0"/>
        <v>PDU+A40CKZ</v>
      </c>
      <c r="B26" s="3" t="s">
        <v>176</v>
      </c>
      <c r="C26" s="4" t="s">
        <v>172</v>
      </c>
      <c r="D26" s="416"/>
      <c r="E26" s="72" t="str">
        <f>IFERROR(VLOOKUP($A26,コード!$A$2:$G$962,7,FALSE)&amp;"","")</f>
        <v>3TG149A00230</v>
      </c>
      <c r="F26" s="271">
        <v>25</v>
      </c>
      <c r="G26" s="272">
        <v>25</v>
      </c>
      <c r="H26" s="272">
        <v>25</v>
      </c>
      <c r="I26" s="272">
        <v>25</v>
      </c>
      <c r="J26" s="272">
        <v>25</v>
      </c>
      <c r="K26" s="273">
        <v>25</v>
      </c>
      <c r="L26" s="274">
        <v>25</v>
      </c>
      <c r="M26" s="274">
        <v>-775</v>
      </c>
      <c r="N26" s="274">
        <v>-775</v>
      </c>
      <c r="O26" s="166">
        <f>27+12</f>
        <v>39</v>
      </c>
      <c r="P26" s="42"/>
      <c r="Q26" s="73"/>
      <c r="R26" s="138">
        <f t="shared" si="3"/>
        <v>25</v>
      </c>
      <c r="S26" s="140" t="str">
        <f t="shared" si="1"/>
        <v>0</v>
      </c>
      <c r="T26" s="144" t="str">
        <f t="shared" si="2"/>
        <v>PDU+A40C KZ</v>
      </c>
      <c r="U26" s="42">
        <v>380</v>
      </c>
      <c r="V26" s="42"/>
      <c r="W26" s="42"/>
      <c r="X26" s="42"/>
    </row>
    <row r="27" spans="1:24">
      <c r="A27" t="str">
        <f t="shared" si="0"/>
        <v>PDU+A40RKX</v>
      </c>
      <c r="B27" s="5" t="s">
        <v>181</v>
      </c>
      <c r="C27" s="6" t="s">
        <v>180</v>
      </c>
      <c r="D27" s="417"/>
      <c r="E27" s="72" t="str">
        <f>IFERROR(VLOOKUP($A27,コード!$A$2:$G$962,7,FALSE)&amp;"","")</f>
        <v>3TG149A00200</v>
      </c>
      <c r="F27" s="271">
        <v>16</v>
      </c>
      <c r="G27" s="272">
        <v>16</v>
      </c>
      <c r="H27" s="272">
        <v>16</v>
      </c>
      <c r="I27" s="272">
        <v>16</v>
      </c>
      <c r="J27" s="272">
        <v>16</v>
      </c>
      <c r="K27" s="273">
        <v>16</v>
      </c>
      <c r="L27" s="274">
        <v>16</v>
      </c>
      <c r="M27" s="274">
        <v>-284</v>
      </c>
      <c r="N27" s="274">
        <v>-284</v>
      </c>
      <c r="O27" s="166"/>
      <c r="P27" s="42"/>
      <c r="Q27" s="73"/>
      <c r="R27" s="138">
        <f t="shared" si="3"/>
        <v>16</v>
      </c>
      <c r="S27" s="140" t="str">
        <f t="shared" si="1"/>
        <v>0</v>
      </c>
      <c r="T27" s="144" t="str">
        <f t="shared" si="2"/>
        <v>PDU+A40R KX</v>
      </c>
      <c r="U27" s="42"/>
      <c r="V27" s="42"/>
      <c r="W27" s="42"/>
      <c r="X27" s="42"/>
    </row>
    <row r="28" spans="1:24">
      <c r="A28" t="str">
        <f t="shared" si="0"/>
        <v>PDU+A40SKZ</v>
      </c>
      <c r="B28" s="3" t="s">
        <v>184</v>
      </c>
      <c r="C28" s="4" t="s">
        <v>172</v>
      </c>
      <c r="D28" s="418"/>
      <c r="E28" s="72" t="str">
        <f>IFERROR(VLOOKUP($A28,コード!$A$2:$G$962,7,FALSE)&amp;"","")</f>
        <v>3TG149A00240</v>
      </c>
      <c r="F28" s="271">
        <v>0</v>
      </c>
      <c r="G28" s="272">
        <v>0</v>
      </c>
      <c r="H28" s="272">
        <v>0</v>
      </c>
      <c r="I28" s="272">
        <v>0</v>
      </c>
      <c r="J28" s="272">
        <v>0</v>
      </c>
      <c r="K28" s="273">
        <v>0</v>
      </c>
      <c r="L28" s="274">
        <v>0</v>
      </c>
      <c r="M28" s="274">
        <v>0</v>
      </c>
      <c r="N28" s="274">
        <v>0</v>
      </c>
      <c r="O28" s="166"/>
      <c r="P28" s="42"/>
      <c r="Q28" s="73"/>
      <c r="R28" s="138">
        <f t="shared" si="3"/>
        <v>0</v>
      </c>
      <c r="S28" s="140" t="str">
        <f t="shared" si="1"/>
        <v>0</v>
      </c>
      <c r="T28" s="144" t="str">
        <f t="shared" si="2"/>
        <v>PDU+A40S KZ</v>
      </c>
      <c r="U28" s="42"/>
      <c r="V28" s="42"/>
      <c r="W28" s="42"/>
      <c r="X28" s="42"/>
    </row>
    <row r="29" spans="1:24">
      <c r="A29" t="str">
        <f t="shared" si="0"/>
        <v>PDU+A40UKY</v>
      </c>
      <c r="B29" s="5" t="s">
        <v>188</v>
      </c>
      <c r="C29" s="6" t="s">
        <v>187</v>
      </c>
      <c r="D29" s="414"/>
      <c r="E29" s="72" t="str">
        <f>IFERROR(VLOOKUP($A29,コード!$A$2:$G$962,7,FALSE)&amp;"","")</f>
        <v>3TG149A00210</v>
      </c>
      <c r="F29" s="271">
        <v>6</v>
      </c>
      <c r="G29" s="272">
        <v>6</v>
      </c>
      <c r="H29" s="272">
        <v>6</v>
      </c>
      <c r="I29" s="272">
        <v>6</v>
      </c>
      <c r="J29" s="272">
        <v>6</v>
      </c>
      <c r="K29" s="273">
        <v>6</v>
      </c>
      <c r="L29" s="274">
        <v>6</v>
      </c>
      <c r="M29" s="274">
        <v>6</v>
      </c>
      <c r="N29" s="274">
        <v>6</v>
      </c>
      <c r="O29" s="166"/>
      <c r="P29" s="42"/>
      <c r="Q29" s="73"/>
      <c r="R29" s="138">
        <f t="shared" si="3"/>
        <v>6</v>
      </c>
      <c r="S29" s="140" t="str">
        <f t="shared" si="1"/>
        <v>0</v>
      </c>
      <c r="T29" s="144" t="str">
        <f t="shared" si="2"/>
        <v>PDU+A40U KY</v>
      </c>
      <c r="U29" s="42"/>
      <c r="V29" s="42"/>
      <c r="W29" s="42"/>
      <c r="X29" s="42"/>
    </row>
    <row r="30" spans="1:24">
      <c r="A30" t="str">
        <f t="shared" si="0"/>
        <v>PDU+A40WKZ</v>
      </c>
      <c r="B30" s="3" t="s">
        <v>190</v>
      </c>
      <c r="C30" s="4" t="s">
        <v>172</v>
      </c>
      <c r="D30" s="410"/>
      <c r="E30" s="72" t="str">
        <f>IFERROR(VLOOKUP($A30,コード!$A$2:$G$962,7,FALSE)&amp;"","")</f>
        <v>3TG149A00220</v>
      </c>
      <c r="F30" s="271">
        <v>19</v>
      </c>
      <c r="G30" s="272">
        <v>219</v>
      </c>
      <c r="H30" s="272">
        <v>219</v>
      </c>
      <c r="I30" s="272">
        <v>19</v>
      </c>
      <c r="J30" s="272">
        <v>19</v>
      </c>
      <c r="K30" s="273">
        <v>219</v>
      </c>
      <c r="L30" s="274">
        <v>19</v>
      </c>
      <c r="M30" s="274">
        <v>19</v>
      </c>
      <c r="N30" s="274">
        <v>19</v>
      </c>
      <c r="O30" s="166"/>
      <c r="P30" s="42"/>
      <c r="Q30" s="73"/>
      <c r="R30" s="138">
        <f t="shared" si="3"/>
        <v>219</v>
      </c>
      <c r="S30" s="140" t="str">
        <f t="shared" si="1"/>
        <v>0</v>
      </c>
      <c r="T30" s="144" t="str">
        <f t="shared" si="2"/>
        <v>PDU+A40W KZ</v>
      </c>
      <c r="U30" s="42"/>
      <c r="V30" s="42"/>
      <c r="W30" s="42">
        <v>100</v>
      </c>
      <c r="X30" s="42">
        <v>200</v>
      </c>
    </row>
    <row r="31" spans="1:24">
      <c r="A31" t="str">
        <f t="shared" si="0"/>
        <v>PDU+A50AKZ</v>
      </c>
      <c r="B31" s="3" t="s">
        <v>174</v>
      </c>
      <c r="C31" s="4" t="s">
        <v>172</v>
      </c>
      <c r="D31" s="419"/>
      <c r="E31" s="72" t="str">
        <f>IFERROR(VLOOKUP($A31,コード!$A$2:$G$962,7,FALSE)&amp;"","")</f>
        <v>3TG150A00250</v>
      </c>
      <c r="F31" s="271">
        <v>0</v>
      </c>
      <c r="G31" s="272">
        <v>0</v>
      </c>
      <c r="H31" s="272">
        <v>0</v>
      </c>
      <c r="I31" s="272">
        <v>0</v>
      </c>
      <c r="J31" s="272">
        <v>0</v>
      </c>
      <c r="K31" s="273">
        <v>0</v>
      </c>
      <c r="L31" s="274">
        <v>0</v>
      </c>
      <c r="M31" s="274">
        <v>0</v>
      </c>
      <c r="N31" s="274">
        <v>0</v>
      </c>
      <c r="O31" s="166"/>
      <c r="P31" s="42"/>
      <c r="Q31" s="73"/>
      <c r="R31" s="138">
        <f t="shared" si="3"/>
        <v>0</v>
      </c>
      <c r="S31" s="140" t="str">
        <f t="shared" si="1"/>
        <v>0</v>
      </c>
      <c r="T31" s="144" t="str">
        <f t="shared" si="2"/>
        <v>PDU+A50A KZ</v>
      </c>
      <c r="U31" s="42"/>
      <c r="V31" s="42"/>
      <c r="W31" s="42"/>
      <c r="X31" s="42"/>
    </row>
    <row r="32" spans="1:24">
      <c r="A32" t="str">
        <f t="shared" si="0"/>
        <v>PDU+A50CKZ</v>
      </c>
      <c r="B32" s="3" t="s">
        <v>177</v>
      </c>
      <c r="C32" s="4" t="s">
        <v>172</v>
      </c>
      <c r="D32" s="416"/>
      <c r="E32" s="72" t="str">
        <f>IFERROR(VLOOKUP($A32,コード!$A$2:$G$962,7,FALSE)&amp;"","")</f>
        <v>3TG150A00230</v>
      </c>
      <c r="F32" s="271">
        <v>7</v>
      </c>
      <c r="G32" s="272">
        <v>7</v>
      </c>
      <c r="H32" s="272">
        <v>7</v>
      </c>
      <c r="I32" s="272">
        <v>7</v>
      </c>
      <c r="J32" s="272">
        <v>7</v>
      </c>
      <c r="K32" s="273">
        <v>7</v>
      </c>
      <c r="L32" s="274">
        <v>7</v>
      </c>
      <c r="M32" s="274">
        <v>-493</v>
      </c>
      <c r="N32" s="274">
        <v>-493</v>
      </c>
      <c r="O32" s="166"/>
      <c r="P32" s="42"/>
      <c r="Q32" s="73"/>
      <c r="R32" s="138">
        <f t="shared" si="3"/>
        <v>7</v>
      </c>
      <c r="S32" s="140" t="str">
        <f t="shared" si="1"/>
        <v>0</v>
      </c>
      <c r="T32" s="144" t="str">
        <f t="shared" si="2"/>
        <v>PDU+A50C KZ</v>
      </c>
      <c r="U32" s="42">
        <v>460</v>
      </c>
      <c r="V32" s="42"/>
      <c r="W32" s="42"/>
      <c r="X32" s="42"/>
    </row>
    <row r="33" spans="1:24">
      <c r="A33" t="str">
        <f t="shared" si="0"/>
        <v>PDU+A50RKX</v>
      </c>
      <c r="B33" s="5" t="s">
        <v>182</v>
      </c>
      <c r="C33" s="6" t="s">
        <v>180</v>
      </c>
      <c r="D33" s="420"/>
      <c r="E33" s="72" t="str">
        <f>IFERROR(VLOOKUP($A33,コード!$A$2:$G$962,7,FALSE)&amp;"","")</f>
        <v>3TG150A00200</v>
      </c>
      <c r="F33" s="271">
        <v>30</v>
      </c>
      <c r="G33" s="272">
        <v>30</v>
      </c>
      <c r="H33" s="272">
        <v>30</v>
      </c>
      <c r="I33" s="272">
        <v>30</v>
      </c>
      <c r="J33" s="272">
        <v>30</v>
      </c>
      <c r="K33" s="273">
        <v>30</v>
      </c>
      <c r="L33" s="274">
        <v>30</v>
      </c>
      <c r="M33" s="274">
        <v>-270</v>
      </c>
      <c r="N33" s="274">
        <v>-270</v>
      </c>
      <c r="O33" s="166"/>
      <c r="P33" s="42"/>
      <c r="Q33" s="73"/>
      <c r="R33" s="138">
        <f t="shared" si="3"/>
        <v>30</v>
      </c>
      <c r="S33" s="140" t="str">
        <f t="shared" si="1"/>
        <v>0</v>
      </c>
      <c r="T33" s="144" t="str">
        <f t="shared" si="2"/>
        <v>PDU+A50R KX</v>
      </c>
      <c r="U33" s="42"/>
      <c r="V33" s="42"/>
      <c r="W33" s="42"/>
      <c r="X33" s="42"/>
    </row>
    <row r="34" spans="1:24">
      <c r="A34" t="str">
        <f t="shared" si="0"/>
        <v>PDU+A50SKZ</v>
      </c>
      <c r="B34" s="3" t="s">
        <v>185</v>
      </c>
      <c r="C34" s="4" t="s">
        <v>172</v>
      </c>
      <c r="D34" s="421"/>
      <c r="E34" s="72" t="str">
        <f>IFERROR(VLOOKUP($A34,コード!$A$2:$G$962,7,FALSE)&amp;"","")</f>
        <v>3TG150A00240</v>
      </c>
      <c r="F34" s="271">
        <v>9</v>
      </c>
      <c r="G34" s="272">
        <v>9</v>
      </c>
      <c r="H34" s="272">
        <v>9</v>
      </c>
      <c r="I34" s="272">
        <v>9</v>
      </c>
      <c r="J34" s="272">
        <v>9</v>
      </c>
      <c r="K34" s="273">
        <v>9</v>
      </c>
      <c r="L34" s="274">
        <v>9</v>
      </c>
      <c r="M34" s="274">
        <v>9</v>
      </c>
      <c r="N34" s="274">
        <v>9</v>
      </c>
      <c r="O34" s="166"/>
      <c r="P34" s="42"/>
      <c r="Q34" s="73"/>
      <c r="R34" s="138">
        <f t="shared" si="3"/>
        <v>9</v>
      </c>
      <c r="S34" s="140" t="str">
        <f t="shared" si="1"/>
        <v>0</v>
      </c>
      <c r="T34" s="144" t="str">
        <f t="shared" si="2"/>
        <v>PDU+A50S KZ</v>
      </c>
      <c r="U34" s="42"/>
      <c r="V34" s="42"/>
      <c r="W34" s="42">
        <v>200</v>
      </c>
      <c r="X34" s="42"/>
    </row>
    <row r="35" spans="1:24">
      <c r="A35" t="str">
        <f t="shared" si="0"/>
        <v>PDU+A50UKY</v>
      </c>
      <c r="B35" s="5" t="s">
        <v>189</v>
      </c>
      <c r="C35" s="6" t="s">
        <v>187</v>
      </c>
      <c r="D35" s="420"/>
      <c r="E35" s="72" t="str">
        <f>IFERROR(VLOOKUP($A35,コード!$A$2:$G$962,7,FALSE)&amp;"","")</f>
        <v>3TG150A00210</v>
      </c>
      <c r="F35" s="271">
        <v>20</v>
      </c>
      <c r="G35" s="272">
        <v>20</v>
      </c>
      <c r="H35" s="272">
        <v>20</v>
      </c>
      <c r="I35" s="272">
        <v>20</v>
      </c>
      <c r="J35" s="272">
        <v>20</v>
      </c>
      <c r="K35" s="273">
        <v>20</v>
      </c>
      <c r="L35" s="274">
        <v>20</v>
      </c>
      <c r="M35" s="274">
        <v>-80</v>
      </c>
      <c r="N35" s="274">
        <v>-80</v>
      </c>
      <c r="O35" s="166"/>
      <c r="P35" s="42"/>
      <c r="Q35" s="73"/>
      <c r="R35" s="138">
        <f t="shared" si="3"/>
        <v>20</v>
      </c>
      <c r="S35" s="140" t="str">
        <f t="shared" si="1"/>
        <v>0</v>
      </c>
      <c r="T35" s="144" t="str">
        <f t="shared" si="2"/>
        <v>PDU+A50U KY</v>
      </c>
      <c r="U35" s="42"/>
      <c r="V35" s="42"/>
      <c r="W35" s="42"/>
      <c r="X35" s="42"/>
    </row>
    <row r="36" spans="1:24">
      <c r="A36" t="str">
        <f t="shared" si="0"/>
        <v>PDU+A50WKZ</v>
      </c>
      <c r="B36" s="36" t="s">
        <v>191</v>
      </c>
      <c r="C36" s="37" t="s">
        <v>172</v>
      </c>
      <c r="D36" s="422"/>
      <c r="E36" s="72" t="str">
        <f>IFERROR(VLOOKUP($A36,コード!$A$2:$G$962,7,FALSE)&amp;"","")</f>
        <v>3TG150A00220</v>
      </c>
      <c r="F36" s="271">
        <v>13</v>
      </c>
      <c r="G36" s="272">
        <v>213</v>
      </c>
      <c r="H36" s="272">
        <v>213</v>
      </c>
      <c r="I36" s="272">
        <v>13</v>
      </c>
      <c r="J36" s="272">
        <v>13</v>
      </c>
      <c r="K36" s="273">
        <v>223</v>
      </c>
      <c r="L36" s="274">
        <v>23</v>
      </c>
      <c r="M36" s="274">
        <v>-77</v>
      </c>
      <c r="N36" s="274">
        <v>-77</v>
      </c>
      <c r="O36" s="166"/>
      <c r="P36" s="42"/>
      <c r="Q36" s="73"/>
      <c r="R36" s="138">
        <f t="shared" si="3"/>
        <v>223</v>
      </c>
      <c r="S36" s="140" t="str">
        <f t="shared" si="1"/>
        <v>0</v>
      </c>
      <c r="T36" s="144" t="str">
        <f t="shared" si="2"/>
        <v>PDU+A50W KZ</v>
      </c>
      <c r="U36" s="42"/>
      <c r="V36" s="42"/>
      <c r="W36" s="42"/>
      <c r="X36" s="42">
        <v>210</v>
      </c>
    </row>
    <row r="37" spans="1:24" s="305" customFormat="1">
      <c r="A37" s="305" t="str">
        <f t="shared" si="0"/>
        <v>PDZ+A30UKY</v>
      </c>
      <c r="B37" s="306" t="s">
        <v>192</v>
      </c>
      <c r="C37" s="307" t="s">
        <v>187</v>
      </c>
      <c r="D37" s="423"/>
      <c r="E37" s="308" t="str">
        <f>IFERROR(VLOOKUP($A37,コード!$A$2:$G$962,7,FALSE)&amp;"","")</f>
        <v>3TG148A00260</v>
      </c>
      <c r="F37" s="309">
        <v>20</v>
      </c>
      <c r="G37" s="310">
        <v>160</v>
      </c>
      <c r="H37" s="310">
        <v>160</v>
      </c>
      <c r="I37" s="310">
        <v>20</v>
      </c>
      <c r="J37" s="310">
        <v>20</v>
      </c>
      <c r="K37" s="311">
        <v>220</v>
      </c>
      <c r="L37" s="312">
        <v>20</v>
      </c>
      <c r="M37" s="312">
        <v>20</v>
      </c>
      <c r="N37" s="312">
        <v>20</v>
      </c>
      <c r="O37" s="313"/>
      <c r="P37" s="314"/>
      <c r="Q37" s="314"/>
      <c r="R37" s="138">
        <f t="shared" si="3"/>
        <v>220</v>
      </c>
      <c r="S37" s="315" t="str">
        <f t="shared" si="1"/>
        <v>0</v>
      </c>
      <c r="T37" s="316" t="str">
        <f t="shared" si="2"/>
        <v>PDZ+A30U KY</v>
      </c>
      <c r="U37" s="314"/>
      <c r="V37" s="314"/>
      <c r="W37" s="314"/>
      <c r="X37" s="314">
        <v>200</v>
      </c>
    </row>
    <row r="38" spans="1:24" s="305" customFormat="1">
      <c r="A38" s="305" t="str">
        <f t="shared" si="0"/>
        <v>PDZ+A40CKZ</v>
      </c>
      <c r="B38" s="306" t="s">
        <v>193</v>
      </c>
      <c r="C38" s="307" t="s">
        <v>172</v>
      </c>
      <c r="D38" s="422"/>
      <c r="E38" s="308" t="str">
        <f>IFERROR(VLOOKUP($A38,コード!$A$2:$G$962,7,FALSE)&amp;"","")</f>
        <v>3TG149A00270</v>
      </c>
      <c r="F38" s="309">
        <v>0</v>
      </c>
      <c r="G38" s="310">
        <v>0</v>
      </c>
      <c r="H38" s="310">
        <v>0</v>
      </c>
      <c r="I38" s="310">
        <v>0</v>
      </c>
      <c r="J38" s="310">
        <v>0</v>
      </c>
      <c r="K38" s="311">
        <v>0</v>
      </c>
      <c r="L38" s="312">
        <v>0</v>
      </c>
      <c r="M38" s="312">
        <v>0</v>
      </c>
      <c r="N38" s="312">
        <v>0</v>
      </c>
      <c r="O38" s="313"/>
      <c r="P38" s="314"/>
      <c r="Q38" s="314"/>
      <c r="R38" s="138">
        <f t="shared" si="3"/>
        <v>0</v>
      </c>
      <c r="S38" s="315" t="str">
        <f t="shared" si="1"/>
        <v>0</v>
      </c>
      <c r="T38" s="316" t="str">
        <f t="shared" si="2"/>
        <v>PDZ+A40C KZ</v>
      </c>
      <c r="U38" s="314"/>
      <c r="V38" s="314"/>
      <c r="W38" s="314"/>
      <c r="X38" s="314"/>
    </row>
    <row r="39" spans="1:24" s="305" customFormat="1">
      <c r="A39" s="305" t="str">
        <f t="shared" si="0"/>
        <v>PDZ+A40UKY</v>
      </c>
      <c r="B39" s="306" t="s">
        <v>194</v>
      </c>
      <c r="C39" s="307" t="s">
        <v>187</v>
      </c>
      <c r="D39" s="424"/>
      <c r="E39" s="308" t="str">
        <f>IFERROR(VLOOKUP($A39,コード!$A$2:$G$962,7,FALSE)&amp;"","")</f>
        <v>3TG149A00260</v>
      </c>
      <c r="F39" s="309">
        <v>18</v>
      </c>
      <c r="G39" s="310">
        <v>158</v>
      </c>
      <c r="H39" s="310">
        <v>158</v>
      </c>
      <c r="I39" s="310">
        <v>18</v>
      </c>
      <c r="J39" s="310">
        <v>18</v>
      </c>
      <c r="K39" s="311">
        <v>118</v>
      </c>
      <c r="L39" s="312">
        <v>18</v>
      </c>
      <c r="M39" s="312">
        <v>18</v>
      </c>
      <c r="N39" s="312">
        <v>18</v>
      </c>
      <c r="O39" s="313"/>
      <c r="P39" s="314"/>
      <c r="Q39" s="314"/>
      <c r="R39" s="138">
        <f t="shared" si="3"/>
        <v>118</v>
      </c>
      <c r="S39" s="315" t="str">
        <f t="shared" si="1"/>
        <v>0</v>
      </c>
      <c r="T39" s="316" t="str">
        <f t="shared" si="2"/>
        <v>PDZ+A40U KY</v>
      </c>
      <c r="U39" s="314"/>
      <c r="V39" s="314"/>
      <c r="W39" s="314">
        <v>100</v>
      </c>
      <c r="X39" s="314">
        <v>100</v>
      </c>
    </row>
    <row r="40" spans="1:24" s="305" customFormat="1">
      <c r="A40" s="305" t="str">
        <f t="shared" si="0"/>
        <v>PDZ+A50CKZ</v>
      </c>
      <c r="B40" s="317" t="s">
        <v>195</v>
      </c>
      <c r="C40" s="318" t="s">
        <v>172</v>
      </c>
      <c r="D40" s="422"/>
      <c r="E40" s="308" t="str">
        <f>IFERROR(VLOOKUP($A40,コード!$A$2:$G$962,7,FALSE)&amp;"","")</f>
        <v>3TG150A00270</v>
      </c>
      <c r="F40" s="309">
        <v>0</v>
      </c>
      <c r="G40" s="310">
        <v>0</v>
      </c>
      <c r="H40" s="310">
        <v>0</v>
      </c>
      <c r="I40" s="310">
        <v>0</v>
      </c>
      <c r="J40" s="310">
        <v>0</v>
      </c>
      <c r="K40" s="311">
        <v>0</v>
      </c>
      <c r="L40" s="312">
        <v>0</v>
      </c>
      <c r="M40" s="312">
        <v>0</v>
      </c>
      <c r="N40" s="312">
        <v>0</v>
      </c>
      <c r="O40" s="313"/>
      <c r="P40" s="314"/>
      <c r="Q40" s="314"/>
      <c r="R40" s="138">
        <f t="shared" si="3"/>
        <v>0</v>
      </c>
      <c r="S40" s="315" t="str">
        <f t="shared" si="1"/>
        <v>0</v>
      </c>
      <c r="T40" s="316" t="str">
        <f t="shared" si="2"/>
        <v>PDZ+A50C KZ</v>
      </c>
      <c r="U40" s="314"/>
      <c r="V40" s="314"/>
      <c r="W40" s="314"/>
      <c r="X40" s="314"/>
    </row>
    <row r="41" spans="1:24" s="305" customFormat="1" ht="19.5" customHeight="1" thickBot="1">
      <c r="A41" s="305" t="str">
        <f t="shared" si="0"/>
        <v>PDZ+A50UKY</v>
      </c>
      <c r="B41" s="319" t="s">
        <v>196</v>
      </c>
      <c r="C41" s="320" t="s">
        <v>187</v>
      </c>
      <c r="D41" s="425"/>
      <c r="E41" s="321" t="str">
        <f>IFERROR(VLOOKUP($A41,コード!$A$2:$G$962,7,FALSE)&amp;"","")</f>
        <v>3TG150A00260</v>
      </c>
      <c r="F41" s="322">
        <v>19</v>
      </c>
      <c r="G41" s="323">
        <v>219</v>
      </c>
      <c r="H41" s="323">
        <v>219</v>
      </c>
      <c r="I41" s="323">
        <v>19</v>
      </c>
      <c r="J41" s="323">
        <v>19</v>
      </c>
      <c r="K41" s="324">
        <v>119</v>
      </c>
      <c r="L41" s="325">
        <v>19</v>
      </c>
      <c r="M41" s="325">
        <v>-81</v>
      </c>
      <c r="N41" s="325">
        <v>-81</v>
      </c>
      <c r="O41" s="326"/>
      <c r="P41" s="327"/>
      <c r="Q41" s="327"/>
      <c r="R41" s="138">
        <f t="shared" si="3"/>
        <v>119</v>
      </c>
      <c r="S41" s="328" t="str">
        <f t="shared" si="1"/>
        <v>0</v>
      </c>
      <c r="T41" s="316" t="str">
        <f t="shared" si="2"/>
        <v>PDZ+A50U KY</v>
      </c>
      <c r="U41" s="327"/>
      <c r="V41" s="327"/>
      <c r="W41" s="327"/>
      <c r="X41" s="327">
        <v>100</v>
      </c>
    </row>
    <row r="42" spans="1:24" s="305" customFormat="1">
      <c r="A42" s="305" t="str">
        <f t="shared" si="0"/>
        <v>PIE+A40RKX</v>
      </c>
      <c r="B42" s="329" t="s">
        <v>146</v>
      </c>
      <c r="C42" s="330" t="s">
        <v>180</v>
      </c>
      <c r="D42" s="426"/>
      <c r="E42" s="331" t="str">
        <f>IFERROR(VLOOKUP($A42,コード!$A$2:$G$962,7,FALSE)&amp;"","")</f>
        <v>3TG152A30000</v>
      </c>
      <c r="F42" s="332">
        <v>0</v>
      </c>
      <c r="G42" s="333">
        <v>0</v>
      </c>
      <c r="H42" s="333">
        <v>0</v>
      </c>
      <c r="I42" s="333">
        <v>0</v>
      </c>
      <c r="J42" s="333">
        <v>0</v>
      </c>
      <c r="K42" s="334">
        <v>0</v>
      </c>
      <c r="L42" s="335">
        <v>0</v>
      </c>
      <c r="M42" s="335">
        <v>0</v>
      </c>
      <c r="N42" s="335">
        <v>0</v>
      </c>
      <c r="O42" s="336"/>
      <c r="P42" s="337"/>
      <c r="Q42" s="337"/>
      <c r="R42" s="138">
        <f t="shared" si="3"/>
        <v>0</v>
      </c>
      <c r="S42" s="338" t="str">
        <f t="shared" si="1"/>
        <v>0</v>
      </c>
      <c r="T42" s="316" t="str">
        <f t="shared" si="2"/>
        <v>PIE+A40R KX</v>
      </c>
      <c r="U42" s="337"/>
      <c r="V42" s="337"/>
      <c r="W42" s="337"/>
      <c r="X42" s="337"/>
    </row>
    <row r="43" spans="1:24" s="305" customFormat="1">
      <c r="A43" s="305" t="str">
        <f t="shared" si="0"/>
        <v>PIE+A50CKZ</v>
      </c>
      <c r="B43" s="317" t="s">
        <v>148</v>
      </c>
      <c r="C43" s="318" t="s">
        <v>172</v>
      </c>
      <c r="D43" s="427"/>
      <c r="E43" s="308" t="str">
        <f>IFERROR(VLOOKUP($A43,コード!$A$2:$G$962,7,FALSE)&amp;"","")</f>
        <v>3TG145A30020</v>
      </c>
      <c r="F43" s="309">
        <v>0</v>
      </c>
      <c r="G43" s="310">
        <v>0</v>
      </c>
      <c r="H43" s="310">
        <v>0</v>
      </c>
      <c r="I43" s="310">
        <v>0</v>
      </c>
      <c r="J43" s="310">
        <v>0</v>
      </c>
      <c r="K43" s="311">
        <v>0</v>
      </c>
      <c r="L43" s="312">
        <v>0</v>
      </c>
      <c r="M43" s="312">
        <v>0</v>
      </c>
      <c r="N43" s="312">
        <v>0</v>
      </c>
      <c r="O43" s="313"/>
      <c r="P43" s="314"/>
      <c r="Q43" s="314"/>
      <c r="R43" s="138">
        <f t="shared" si="3"/>
        <v>0</v>
      </c>
      <c r="S43" s="315" t="str">
        <f t="shared" si="1"/>
        <v>0</v>
      </c>
      <c r="T43" s="316" t="str">
        <f t="shared" si="2"/>
        <v>PIE+A50C KZ</v>
      </c>
      <c r="U43" s="314"/>
      <c r="V43" s="314"/>
      <c r="W43" s="314"/>
      <c r="X43" s="314"/>
    </row>
    <row r="44" spans="1:24">
      <c r="A44" t="str">
        <f t="shared" si="0"/>
        <v>PIE+A50RKX</v>
      </c>
      <c r="B44" s="265" t="s">
        <v>150</v>
      </c>
      <c r="C44" s="9" t="s">
        <v>180</v>
      </c>
      <c r="D44" s="428"/>
      <c r="E44" s="72" t="str">
        <f>IFERROR(VLOOKUP($A44,コード!$A$2:$G$962,7,FALSE)&amp;"","")</f>
        <v>3TG145A30010</v>
      </c>
      <c r="F44" s="271">
        <v>0</v>
      </c>
      <c r="G44" s="272">
        <v>0</v>
      </c>
      <c r="H44" s="272">
        <v>0</v>
      </c>
      <c r="I44" s="272">
        <v>0</v>
      </c>
      <c r="J44" s="272">
        <v>0</v>
      </c>
      <c r="K44" s="273">
        <v>0</v>
      </c>
      <c r="L44" s="274">
        <v>0</v>
      </c>
      <c r="M44" s="274">
        <v>0</v>
      </c>
      <c r="N44" s="274">
        <v>0</v>
      </c>
      <c r="O44" s="166">
        <v>0</v>
      </c>
      <c r="P44" s="42"/>
      <c r="Q44" s="73"/>
      <c r="R44" s="138">
        <f t="shared" si="3"/>
        <v>0</v>
      </c>
      <c r="S44" s="140" t="str">
        <f t="shared" si="1"/>
        <v>0</v>
      </c>
      <c r="T44" s="144" t="str">
        <f t="shared" si="2"/>
        <v>PIE+A50R KX</v>
      </c>
      <c r="U44" s="42"/>
      <c r="V44" s="42"/>
      <c r="W44" s="42"/>
      <c r="X44" s="42"/>
    </row>
    <row r="45" spans="1:24">
      <c r="A45" t="str">
        <f t="shared" si="0"/>
        <v>PIG+A30CKZ</v>
      </c>
      <c r="B45" s="264" t="s">
        <v>152</v>
      </c>
      <c r="C45" s="10" t="s">
        <v>172</v>
      </c>
      <c r="D45" s="427"/>
      <c r="E45" s="72" t="str">
        <f>IFERROR(VLOOKUP($A45,コード!$A$2:$G$962,7,FALSE)&amp;"","")</f>
        <v>3TG144A30010</v>
      </c>
      <c r="F45" s="271">
        <v>0</v>
      </c>
      <c r="G45" s="272">
        <v>0</v>
      </c>
      <c r="H45" s="272">
        <v>0</v>
      </c>
      <c r="I45" s="272">
        <v>0</v>
      </c>
      <c r="J45" s="272">
        <v>0</v>
      </c>
      <c r="K45" s="273">
        <v>0</v>
      </c>
      <c r="L45" s="274">
        <v>0</v>
      </c>
      <c r="M45" s="274">
        <v>0</v>
      </c>
      <c r="N45" s="274">
        <v>0</v>
      </c>
      <c r="O45" s="166"/>
      <c r="P45" s="42"/>
      <c r="Q45" s="73"/>
      <c r="R45" s="138">
        <f t="shared" si="3"/>
        <v>0</v>
      </c>
      <c r="S45" s="140" t="str">
        <f t="shared" si="1"/>
        <v>0</v>
      </c>
      <c r="T45" s="144" t="str">
        <f t="shared" si="2"/>
        <v>PIG+A30C KZ</v>
      </c>
      <c r="U45" s="42"/>
      <c r="V45" s="42"/>
      <c r="W45" s="42"/>
      <c r="X45" s="42"/>
    </row>
    <row r="46" spans="1:24">
      <c r="A46" t="str">
        <f t="shared" si="0"/>
        <v>PIG+A30RKX</v>
      </c>
      <c r="B46" s="266" t="s">
        <v>154</v>
      </c>
      <c r="C46" s="11" t="s">
        <v>180</v>
      </c>
      <c r="D46" s="413"/>
      <c r="E46" s="72" t="str">
        <f>IFERROR(VLOOKUP($A46,コード!$A$2:$G$962,7,FALSE)&amp;"","")</f>
        <v>3TG144A30020</v>
      </c>
      <c r="F46" s="271">
        <v>0</v>
      </c>
      <c r="G46" s="272">
        <v>0</v>
      </c>
      <c r="H46" s="272">
        <v>0</v>
      </c>
      <c r="I46" s="272">
        <v>0</v>
      </c>
      <c r="J46" s="272">
        <v>0</v>
      </c>
      <c r="K46" s="273">
        <v>0</v>
      </c>
      <c r="L46" s="274">
        <v>0</v>
      </c>
      <c r="M46" s="274">
        <v>0</v>
      </c>
      <c r="N46" s="274">
        <v>0</v>
      </c>
      <c r="O46" s="166">
        <v>0</v>
      </c>
      <c r="P46" s="42"/>
      <c r="Q46" s="73"/>
      <c r="R46" s="138">
        <f t="shared" si="3"/>
        <v>0</v>
      </c>
      <c r="S46" s="140" t="str">
        <f t="shared" si="1"/>
        <v>0</v>
      </c>
      <c r="T46" s="144" t="str">
        <f t="shared" si="2"/>
        <v>PIG+A30R KX</v>
      </c>
      <c r="U46" s="42"/>
      <c r="V46" s="42"/>
      <c r="W46" s="42"/>
      <c r="X46" s="42"/>
    </row>
    <row r="47" spans="1:24">
      <c r="A47" t="str">
        <f t="shared" si="0"/>
        <v>PIG+A40CKZ</v>
      </c>
      <c r="B47" s="267" t="s">
        <v>157</v>
      </c>
      <c r="C47" s="12" t="s">
        <v>172</v>
      </c>
      <c r="D47" s="427"/>
      <c r="E47" s="72" t="str">
        <f>IFERROR(VLOOKUP($A47,コード!$A$2:$G$962,7,FALSE)&amp;"","")</f>
        <v>3TG151A30010</v>
      </c>
      <c r="F47" s="271">
        <v>0</v>
      </c>
      <c r="G47" s="272">
        <v>0</v>
      </c>
      <c r="H47" s="272">
        <v>0</v>
      </c>
      <c r="I47" s="272">
        <v>0</v>
      </c>
      <c r="J47" s="272">
        <v>0</v>
      </c>
      <c r="K47" s="273">
        <v>0</v>
      </c>
      <c r="L47" s="274">
        <v>0</v>
      </c>
      <c r="M47" s="274">
        <v>0</v>
      </c>
      <c r="N47" s="274">
        <v>0</v>
      </c>
      <c r="O47" s="166"/>
      <c r="P47" s="42"/>
      <c r="Q47" s="73"/>
      <c r="R47" s="138">
        <f t="shared" si="3"/>
        <v>0</v>
      </c>
      <c r="S47" s="140" t="str">
        <f t="shared" si="1"/>
        <v>0</v>
      </c>
      <c r="T47" s="144" t="str">
        <f t="shared" si="2"/>
        <v>PIG+A40C KZ</v>
      </c>
      <c r="U47" s="42"/>
      <c r="V47" s="42"/>
      <c r="W47" s="42"/>
      <c r="X47" s="42"/>
    </row>
    <row r="48" spans="1:24" ht="19.5" customHeight="1" thickBot="1">
      <c r="A48" t="str">
        <f t="shared" si="0"/>
        <v>PIG+A40RKX</v>
      </c>
      <c r="B48" s="282" t="s">
        <v>159</v>
      </c>
      <c r="C48" s="283" t="s">
        <v>180</v>
      </c>
      <c r="D48" s="344"/>
      <c r="E48" s="284" t="str">
        <f>IFERROR(VLOOKUP($A48,コード!$A$2:$G$962,7,FALSE)&amp;"","")</f>
        <v>3TG151A30000</v>
      </c>
      <c r="F48" s="285">
        <v>0</v>
      </c>
      <c r="G48" s="286">
        <v>0</v>
      </c>
      <c r="H48" s="286">
        <v>0</v>
      </c>
      <c r="I48" s="286">
        <v>0</v>
      </c>
      <c r="J48" s="286">
        <v>0</v>
      </c>
      <c r="K48" s="287">
        <v>0</v>
      </c>
      <c r="L48" s="288">
        <v>0</v>
      </c>
      <c r="M48" s="288">
        <v>0</v>
      </c>
      <c r="N48" s="288">
        <v>0</v>
      </c>
      <c r="O48" s="289"/>
      <c r="P48" s="290"/>
      <c r="Q48" s="291"/>
      <c r="R48" s="138">
        <f t="shared" si="3"/>
        <v>0</v>
      </c>
      <c r="S48" s="292" t="str">
        <f t="shared" si="1"/>
        <v>0</v>
      </c>
      <c r="U48" s="290"/>
      <c r="V48" s="290"/>
      <c r="W48" s="290"/>
      <c r="X48" s="290"/>
    </row>
    <row r="49" spans="1:24">
      <c r="A49" t="str">
        <f t="shared" si="0"/>
        <v>PVW+B30CCUZ</v>
      </c>
      <c r="B49" s="268" t="s">
        <v>197</v>
      </c>
      <c r="C49" s="13" t="s">
        <v>198</v>
      </c>
      <c r="D49" s="76"/>
      <c r="E49" s="71" t="str">
        <f>IFERROR(VLOOKUP($A49,コード!$A$2:$G$962,7,FALSE)&amp;"","")</f>
        <v>3TG140A00310</v>
      </c>
      <c r="F49" s="162">
        <v>4</v>
      </c>
      <c r="G49" s="163">
        <v>4</v>
      </c>
      <c r="H49" s="163">
        <v>4</v>
      </c>
      <c r="I49" s="163">
        <v>4</v>
      </c>
      <c r="J49" s="163">
        <v>4</v>
      </c>
      <c r="K49" s="164">
        <v>4</v>
      </c>
      <c r="L49" s="165">
        <v>4</v>
      </c>
      <c r="M49" s="165">
        <v>-196</v>
      </c>
      <c r="N49" s="165">
        <v>-196</v>
      </c>
      <c r="O49" s="279"/>
      <c r="P49" s="67"/>
      <c r="Q49" s="280"/>
      <c r="R49" s="138">
        <f t="shared" si="3"/>
        <v>4</v>
      </c>
      <c r="S49" s="281" t="str">
        <f t="shared" si="1"/>
        <v>0</v>
      </c>
      <c r="T49" s="396" t="s">
        <v>238</v>
      </c>
      <c r="U49" s="67"/>
      <c r="V49" s="67"/>
      <c r="W49" s="67"/>
      <c r="X49" s="67"/>
    </row>
    <row r="50" spans="1:24">
      <c r="A50" t="str">
        <f t="shared" si="0"/>
        <v>PVW+B30RCUX</v>
      </c>
      <c r="B50" s="14" t="s">
        <v>199</v>
      </c>
      <c r="C50" s="15" t="s">
        <v>200</v>
      </c>
      <c r="D50" s="393"/>
      <c r="E50" s="72" t="str">
        <f>IFERROR(VLOOKUP($A50,コード!$A$2:$G$962,7,FALSE)&amp;"","")</f>
        <v>3TG140A00300</v>
      </c>
      <c r="F50" s="271">
        <v>0</v>
      </c>
      <c r="G50" s="272">
        <v>0</v>
      </c>
      <c r="H50" s="272">
        <v>0</v>
      </c>
      <c r="I50" s="272">
        <v>0</v>
      </c>
      <c r="J50" s="272">
        <v>0</v>
      </c>
      <c r="K50" s="273">
        <v>0</v>
      </c>
      <c r="L50" s="274">
        <v>0</v>
      </c>
      <c r="M50" s="274">
        <v>0</v>
      </c>
      <c r="N50" s="274">
        <v>0</v>
      </c>
      <c r="O50" s="166"/>
      <c r="P50" s="42"/>
      <c r="Q50" s="73"/>
      <c r="R50" s="138">
        <f t="shared" si="3"/>
        <v>0</v>
      </c>
      <c r="S50" s="140" t="str">
        <f t="shared" si="1"/>
        <v>0</v>
      </c>
      <c r="U50" s="42"/>
      <c r="V50" s="42"/>
      <c r="W50" s="42"/>
      <c r="X50" s="42"/>
    </row>
    <row r="51" spans="1:24">
      <c r="A51" t="str">
        <f t="shared" si="0"/>
        <v>PVW+B30SCUZ</v>
      </c>
      <c r="B51" s="267" t="s">
        <v>201</v>
      </c>
      <c r="C51" s="12" t="s">
        <v>198</v>
      </c>
      <c r="D51" s="16"/>
      <c r="E51" s="72" t="str">
        <f>IFERROR(VLOOKUP($A51,コード!$A$2:$G$962,7,FALSE)&amp;"","")</f>
        <v>3TG140A30050</v>
      </c>
      <c r="F51" s="271">
        <v>0</v>
      </c>
      <c r="G51" s="272">
        <v>0</v>
      </c>
      <c r="H51" s="272">
        <v>0</v>
      </c>
      <c r="I51" s="272">
        <v>0</v>
      </c>
      <c r="J51" s="272">
        <v>0</v>
      </c>
      <c r="K51" s="273">
        <v>0</v>
      </c>
      <c r="L51" s="274">
        <v>0</v>
      </c>
      <c r="M51" s="274">
        <v>0</v>
      </c>
      <c r="N51" s="274">
        <v>0</v>
      </c>
      <c r="O51" s="166"/>
      <c r="P51" s="42"/>
      <c r="Q51" s="73"/>
      <c r="R51" s="138">
        <f t="shared" si="3"/>
        <v>0</v>
      </c>
      <c r="S51" s="140" t="str">
        <f t="shared" si="1"/>
        <v>0</v>
      </c>
      <c r="U51" s="42"/>
      <c r="V51" s="42"/>
      <c r="W51" s="42"/>
      <c r="X51" s="42"/>
    </row>
    <row r="52" spans="1:24" ht="19.5" customHeight="1" thickBot="1">
      <c r="A52" t="str">
        <f t="shared" si="0"/>
        <v>PVW+B30WCUZ</v>
      </c>
      <c r="B52" s="38" t="s">
        <v>202</v>
      </c>
      <c r="C52" s="39" t="s">
        <v>198</v>
      </c>
      <c r="D52" s="429"/>
      <c r="E52" s="74" t="str">
        <f>IFERROR(VLOOKUP($A52,コード!$A$2:$G$962,7,FALSE)&amp;"","")</f>
        <v>3TG140A00320</v>
      </c>
      <c r="F52" s="275">
        <v>6</v>
      </c>
      <c r="G52" s="276">
        <v>6</v>
      </c>
      <c r="H52" s="276">
        <v>6</v>
      </c>
      <c r="I52" s="276">
        <v>6</v>
      </c>
      <c r="J52" s="276">
        <v>6</v>
      </c>
      <c r="K52" s="277">
        <v>116</v>
      </c>
      <c r="L52" s="278">
        <v>16</v>
      </c>
      <c r="M52" s="278">
        <v>16</v>
      </c>
      <c r="N52" s="278">
        <v>16</v>
      </c>
      <c r="O52" s="167"/>
      <c r="P52" s="260"/>
      <c r="Q52" s="261"/>
      <c r="R52" s="138">
        <f t="shared" si="3"/>
        <v>116</v>
      </c>
      <c r="S52" s="141" t="str">
        <f t="shared" si="1"/>
        <v>0</v>
      </c>
      <c r="U52" s="260"/>
      <c r="V52" s="260"/>
      <c r="W52" s="260"/>
      <c r="X52" s="260">
        <v>110</v>
      </c>
    </row>
    <row r="53" spans="1:24">
      <c r="D53" s="16"/>
    </row>
    <row r="54" spans="1:24" ht="19.5" thickBot="1">
      <c r="D54" s="429"/>
    </row>
  </sheetData>
  <autoFilter ref="A12:S52" xr:uid="{00000000-0009-0000-0000-000003000000}"/>
  <mergeCells count="11">
    <mergeCell ref="B1:C2"/>
    <mergeCell ref="D5:E5"/>
    <mergeCell ref="F10:O10"/>
    <mergeCell ref="D4:E4"/>
    <mergeCell ref="D3:E3"/>
    <mergeCell ref="B4:C4"/>
    <mergeCell ref="D6:E6"/>
    <mergeCell ref="B6:C6"/>
    <mergeCell ref="B7:C8"/>
    <mergeCell ref="B3:C3"/>
    <mergeCell ref="B5:C5"/>
  </mergeCells>
  <phoneticPr fontId="3"/>
  <conditionalFormatting sqref="A13:Q47 A48:A52 E48:Q52">
    <cfRule type="expression" dxfId="25" priority="72">
      <formula>$D13=0</formula>
    </cfRule>
    <cfRule type="expression" dxfId="24" priority="73">
      <formula>$D13=""</formula>
    </cfRule>
  </conditionalFormatting>
  <conditionalFormatting sqref="A13:R13 A14:Q47 R14:R52 A48:A52 E48:Q52">
    <cfRule type="expression" dxfId="23" priority="61">
      <formula>$R13&lt;-1</formula>
    </cfRule>
  </conditionalFormatting>
  <conditionalFormatting sqref="U13:V52">
    <cfRule type="expression" dxfId="22" priority="7">
      <formula>$R13&lt;-1</formula>
    </cfRule>
    <cfRule type="expression" dxfId="21" priority="8">
      <formula>$D13=0</formula>
    </cfRule>
    <cfRule type="expression" dxfId="20" priority="9">
      <formula>$D13=""</formula>
    </cfRule>
  </conditionalFormatting>
  <conditionalFormatting sqref="W13:W52">
    <cfRule type="expression" dxfId="19" priority="5">
      <formula>$D13=0</formula>
    </cfRule>
    <cfRule type="expression" dxfId="18" priority="6">
      <formula>$D13=""</formula>
    </cfRule>
  </conditionalFormatting>
  <conditionalFormatting sqref="W13:W52">
    <cfRule type="expression" dxfId="17" priority="4">
      <formula>$R13&lt;-1</formula>
    </cfRule>
  </conditionalFormatting>
  <conditionalFormatting sqref="X13:X52">
    <cfRule type="expression" dxfId="16" priority="2">
      <formula>$D13=0</formula>
    </cfRule>
    <cfRule type="expression" dxfId="15" priority="3">
      <formula>$D13=""</formula>
    </cfRule>
  </conditionalFormatting>
  <conditionalFormatting sqref="X13:X52">
    <cfRule type="expression" dxfId="14" priority="1">
      <formula>$R13&lt;-1</formula>
    </cfRule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AD88"/>
  <sheetViews>
    <sheetView zoomScaleNormal="100" workbookViewId="0">
      <pane xSplit="4" ySplit="11" topLeftCell="Q32" activePane="bottomRight" state="frozen"/>
      <selection pane="topRight" activeCell="E1" sqref="E1"/>
      <selection pane="bottomLeft" activeCell="A12" sqref="A12"/>
      <selection pane="bottomRight" activeCell="AB34" sqref="AB34"/>
    </sheetView>
  </sheetViews>
  <sheetFormatPr defaultRowHeight="18.75"/>
  <cols>
    <col min="1" max="1" width="3.875" style="129" customWidth="1"/>
    <col min="2" max="2" width="32.625" style="129" customWidth="1"/>
    <col min="3" max="3" width="19.125" style="129" bestFit="1" customWidth="1"/>
    <col min="4" max="4" width="10.375" style="129" customWidth="1"/>
    <col min="5" max="5" width="11" style="129" bestFit="1" customWidth="1"/>
    <col min="6" max="6" width="11" style="129" customWidth="1"/>
    <col min="7" max="7" width="9.25" style="129" bestFit="1" customWidth="1"/>
    <col min="8" max="8" width="10.25" style="129" bestFit="1" customWidth="1"/>
    <col min="9" max="9" width="9.25" style="129" bestFit="1" customWidth="1"/>
    <col min="10" max="10" width="10.25" style="129" bestFit="1" customWidth="1"/>
    <col min="11" max="11" width="9.25" style="129" bestFit="1" customWidth="1"/>
    <col min="12" max="13" width="10.25" style="129" bestFit="1" customWidth="1"/>
    <col min="14" max="14" width="12.125" style="129" bestFit="1" customWidth="1"/>
    <col min="15" max="16" width="11.25" style="129" bestFit="1" customWidth="1"/>
    <col min="17" max="17" width="11.5" style="129" customWidth="1"/>
    <col min="18" max="18" width="11" style="129" bestFit="1" customWidth="1"/>
    <col min="19" max="19" width="12.75" style="129" bestFit="1" customWidth="1"/>
    <col min="22" max="22" width="11.375" style="129" bestFit="1" customWidth="1"/>
    <col min="23" max="23" width="12.75" style="129" customWidth="1"/>
    <col min="24" max="24" width="11.875" customWidth="1"/>
    <col min="25" max="26" width="11.375" bestFit="1" customWidth="1"/>
  </cols>
  <sheetData>
    <row r="2" spans="2:26">
      <c r="B2" s="188" t="s">
        <v>205</v>
      </c>
      <c r="C2" s="448">
        <v>60010</v>
      </c>
      <c r="D2" s="443"/>
      <c r="E2" s="63"/>
      <c r="O2" s="187"/>
      <c r="P2" s="187" t="s">
        <v>208</v>
      </c>
      <c r="Q2" s="187" t="s">
        <v>209</v>
      </c>
      <c r="R2" s="224" t="s">
        <v>210</v>
      </c>
      <c r="S2" s="449" t="s">
        <v>211</v>
      </c>
      <c r="T2" s="443"/>
    </row>
    <row r="3" spans="2:26">
      <c r="B3" s="188" t="s">
        <v>212</v>
      </c>
      <c r="C3" s="447">
        <f ca="1">EDATE(DATE(IF(ハンカン確定注文!P11&lt;MONTH(TODAY()),YEAR(TODAY())+1,YEAR(TODAY())),ハンカン確定注文!P11,15),-1)</f>
        <v>46188</v>
      </c>
      <c r="D3" s="443"/>
      <c r="E3" s="95"/>
      <c r="O3" s="65"/>
      <c r="P3" s="69"/>
      <c r="Q3" s="68"/>
      <c r="R3" s="70"/>
      <c r="S3" s="448"/>
      <c r="T3" s="443"/>
    </row>
    <row r="4" spans="2:26">
      <c r="B4" s="188" t="s">
        <v>239</v>
      </c>
      <c r="C4" s="448" t="str">
        <f>"気高電機ジャーポット部品"&amp;ハンカン確定注文!P11&amp;"月度"</f>
        <v>気高電機ジャーポット部品7月度</v>
      </c>
      <c r="D4" s="443"/>
      <c r="E4" s="63"/>
      <c r="O4" s="65"/>
      <c r="P4" s="69"/>
      <c r="Q4" s="68"/>
      <c r="R4" s="70"/>
      <c r="S4" s="448"/>
      <c r="T4" s="443"/>
    </row>
    <row r="5" spans="2:26">
      <c r="B5" s="188" t="s">
        <v>216</v>
      </c>
      <c r="C5" s="448" t="s">
        <v>217</v>
      </c>
      <c r="D5" s="443"/>
      <c r="E5" s="63"/>
      <c r="O5" s="65"/>
      <c r="P5" s="69"/>
      <c r="Q5" s="68"/>
      <c r="R5" s="70"/>
      <c r="S5" s="448"/>
      <c r="T5" s="443"/>
    </row>
    <row r="6" spans="2:26">
      <c r="B6" s="188" t="s">
        <v>218</v>
      </c>
      <c r="C6" s="448">
        <v>8033</v>
      </c>
      <c r="D6" s="443"/>
      <c r="E6" s="63"/>
    </row>
    <row r="8" spans="2:26">
      <c r="U8" s="188" t="s">
        <v>209</v>
      </c>
      <c r="V8" s="190" t="s">
        <v>240</v>
      </c>
      <c r="W8" s="190" t="s">
        <v>241</v>
      </c>
      <c r="X8" s="190" t="s">
        <v>647</v>
      </c>
      <c r="Y8" s="395" t="s">
        <v>652</v>
      </c>
      <c r="Z8" s="190" t="s">
        <v>654</v>
      </c>
    </row>
    <row r="9" spans="2:26" ht="19.5" customHeight="1" thickBot="1">
      <c r="D9" s="45" t="s">
        <v>242</v>
      </c>
      <c r="U9" s="188" t="s">
        <v>213</v>
      </c>
      <c r="V9" s="192">
        <v>45667</v>
      </c>
      <c r="W9" s="192">
        <v>45999</v>
      </c>
      <c r="X9" s="192">
        <v>46030</v>
      </c>
      <c r="Y9" s="394">
        <v>46091</v>
      </c>
      <c r="Z9" s="192">
        <v>46119</v>
      </c>
    </row>
    <row r="10" spans="2:26" ht="19.5" customHeight="1" thickBot="1">
      <c r="B10" s="196"/>
      <c r="C10" s="103"/>
      <c r="D10" s="103"/>
      <c r="E10" s="178" t="s">
        <v>226</v>
      </c>
      <c r="F10" s="179"/>
      <c r="G10" s="179" t="s">
        <v>227</v>
      </c>
      <c r="H10" s="179"/>
      <c r="I10" s="179" t="s">
        <v>228</v>
      </c>
      <c r="J10" s="179"/>
      <c r="K10" s="179" t="s">
        <v>229</v>
      </c>
      <c r="L10" s="179"/>
      <c r="M10" s="180" t="s">
        <v>230</v>
      </c>
      <c r="N10" s="183" t="s">
        <v>231</v>
      </c>
      <c r="O10" s="172"/>
      <c r="P10" s="103"/>
      <c r="Q10" s="225" t="s">
        <v>243</v>
      </c>
      <c r="R10" s="225" t="s">
        <v>244</v>
      </c>
      <c r="S10" s="103"/>
      <c r="U10" s="188" t="s">
        <v>235</v>
      </c>
      <c r="V10" s="190">
        <v>4</v>
      </c>
      <c r="W10" s="190">
        <v>3</v>
      </c>
      <c r="X10" s="190" t="s">
        <v>646</v>
      </c>
      <c r="Y10" s="395">
        <v>6</v>
      </c>
      <c r="Z10" s="190">
        <v>7</v>
      </c>
    </row>
    <row r="11" spans="2:26" ht="20.25" customHeight="1" thickTop="1" thickBot="1">
      <c r="B11" s="168" t="s">
        <v>222</v>
      </c>
      <c r="C11" s="347" t="s">
        <v>41</v>
      </c>
      <c r="D11" s="44" t="s">
        <v>245</v>
      </c>
      <c r="E11" s="351">
        <v>46120</v>
      </c>
      <c r="F11" s="198">
        <f>$E$11+15</f>
        <v>46135</v>
      </c>
      <c r="G11" s="198">
        <f>$E$11+30</f>
        <v>46150</v>
      </c>
      <c r="H11" s="198">
        <f>$E$11+45</f>
        <v>46165</v>
      </c>
      <c r="I11" s="198">
        <f>$E$11+60</f>
        <v>46180</v>
      </c>
      <c r="J11" s="198">
        <f>$E$11+75</f>
        <v>46195</v>
      </c>
      <c r="K11" s="198">
        <f>$E$11+90</f>
        <v>46210</v>
      </c>
      <c r="L11" s="198">
        <f>$E$11+105</f>
        <v>46225</v>
      </c>
      <c r="M11" s="198">
        <f>$E$11+130</f>
        <v>46250</v>
      </c>
      <c r="N11" s="184">
        <v>45693</v>
      </c>
      <c r="O11" s="174" t="s">
        <v>246</v>
      </c>
      <c r="P11" s="175" t="s">
        <v>247</v>
      </c>
      <c r="Q11" s="175" t="s">
        <v>248</v>
      </c>
      <c r="R11" s="175" t="s">
        <v>233</v>
      </c>
      <c r="S11" s="177" t="s">
        <v>249</v>
      </c>
      <c r="W11" s="44" t="s">
        <v>245</v>
      </c>
      <c r="X11" s="44" t="s">
        <v>245</v>
      </c>
      <c r="Y11" t="s">
        <v>245</v>
      </c>
      <c r="Z11" s="44" t="s">
        <v>245</v>
      </c>
    </row>
    <row r="12" spans="2:26" s="236" customFormat="1">
      <c r="B12" s="226" t="s">
        <v>250</v>
      </c>
      <c r="C12" s="348" t="str">
        <f>IFERROR(VLOOKUP($B12,コード!$C$2:$G$962,5,FALSE)&amp;"","")</f>
        <v>3TG137K00803</v>
      </c>
      <c r="D12" s="227"/>
      <c r="E12" s="346">
        <v>0</v>
      </c>
      <c r="F12" s="229">
        <v>0</v>
      </c>
      <c r="G12" s="229">
        <v>0</v>
      </c>
      <c r="H12" s="229">
        <v>0</v>
      </c>
      <c r="I12" s="229">
        <v>0</v>
      </c>
      <c r="J12" s="229">
        <v>0</v>
      </c>
      <c r="K12" s="230">
        <v>0</v>
      </c>
      <c r="L12" s="229">
        <v>0</v>
      </c>
      <c r="M12" s="231">
        <v>0</v>
      </c>
      <c r="N12" s="232"/>
      <c r="O12" s="233" t="s">
        <v>162</v>
      </c>
      <c r="P12" s="234">
        <f>VLOOKUP($O12,ハンカン確定注文!$B$9:$P$1022,3,0)</f>
        <v>0</v>
      </c>
      <c r="Q12" s="234">
        <f>N12-P12</f>
        <v>0</v>
      </c>
      <c r="R12" s="235">
        <f t="shared" ref="R12:R35" si="0">K12+D12+S12-P12</f>
        <v>0</v>
      </c>
      <c r="S12" s="352"/>
      <c r="U12" s="237"/>
      <c r="V12" s="238"/>
      <c r="W12" s="227"/>
      <c r="X12" s="227"/>
      <c r="Z12" s="227"/>
    </row>
    <row r="13" spans="2:26">
      <c r="B13" s="142" t="s">
        <v>251</v>
      </c>
      <c r="C13" s="75" t="str">
        <f>IFERROR(VLOOKUP($B13,コード!$C$2:$G$962,5,FALSE)&amp;"","")</f>
        <v>3TG137K00821</v>
      </c>
      <c r="D13" s="42"/>
      <c r="E13" s="353">
        <v>0</v>
      </c>
      <c r="F13" s="354">
        <v>0</v>
      </c>
      <c r="G13" s="354">
        <v>0</v>
      </c>
      <c r="H13" s="354">
        <v>0</v>
      </c>
      <c r="I13" s="354">
        <v>0</v>
      </c>
      <c r="J13" s="354">
        <v>0</v>
      </c>
      <c r="K13" s="355">
        <v>0</v>
      </c>
      <c r="L13" s="354">
        <v>0</v>
      </c>
      <c r="M13" s="356">
        <v>0</v>
      </c>
      <c r="N13" s="145"/>
      <c r="O13" s="83" t="s">
        <v>166</v>
      </c>
      <c r="P13" s="64">
        <f>VLOOKUP($O13,ハンカン確定注文!$B$9:$P$1022,3,0)</f>
        <v>0</v>
      </c>
      <c r="Q13" s="35">
        <f>K13-P13</f>
        <v>0</v>
      </c>
      <c r="R13" s="359">
        <f t="shared" si="0"/>
        <v>0</v>
      </c>
      <c r="S13" s="73"/>
      <c r="U13" s="93"/>
      <c r="V13" s="95"/>
      <c r="W13" s="42"/>
      <c r="X13" s="42"/>
      <c r="Z13" s="42"/>
    </row>
    <row r="14" spans="2:26">
      <c r="B14" s="142" t="s">
        <v>252</v>
      </c>
      <c r="C14" s="75" t="str">
        <f>IFERROR(VLOOKUP($B14,コード!$C$2:$G$962,5,FALSE)&amp;"","")</f>
        <v>3TG137K00831</v>
      </c>
      <c r="D14" s="42"/>
      <c r="E14" s="353">
        <v>0</v>
      </c>
      <c r="F14" s="354">
        <v>0</v>
      </c>
      <c r="G14" s="354">
        <v>0</v>
      </c>
      <c r="H14" s="354">
        <v>0</v>
      </c>
      <c r="I14" s="354">
        <v>0</v>
      </c>
      <c r="J14" s="354">
        <v>0</v>
      </c>
      <c r="K14" s="355">
        <v>0</v>
      </c>
      <c r="L14" s="354">
        <v>0</v>
      </c>
      <c r="M14" s="356">
        <v>0</v>
      </c>
      <c r="N14" s="145"/>
      <c r="O14" s="83" t="s">
        <v>169</v>
      </c>
      <c r="P14" s="64">
        <f>VLOOKUP($O14,ハンカン確定注文!$B$9:$P$1022,3,0)</f>
        <v>0</v>
      </c>
      <c r="Q14" s="35">
        <f>J14-P14</f>
        <v>0</v>
      </c>
      <c r="R14" s="359">
        <f t="shared" si="0"/>
        <v>0</v>
      </c>
      <c r="S14" s="73"/>
      <c r="U14" s="93"/>
      <c r="V14" s="63"/>
      <c r="W14" s="42"/>
      <c r="X14" s="42"/>
      <c r="Z14" s="42"/>
    </row>
    <row r="15" spans="2:26">
      <c r="B15" s="181" t="s">
        <v>253</v>
      </c>
      <c r="C15" s="349" t="str">
        <f>IFERROR(VLOOKUP($B15,コード!$C$2:$G$962,5,FALSE)&amp;"","")</f>
        <v>3TG138K00803</v>
      </c>
      <c r="D15" s="42"/>
      <c r="E15" s="353">
        <v>0</v>
      </c>
      <c r="F15" s="354">
        <v>0</v>
      </c>
      <c r="G15" s="354">
        <v>0</v>
      </c>
      <c r="H15" s="354">
        <v>0</v>
      </c>
      <c r="I15" s="354">
        <v>0</v>
      </c>
      <c r="J15" s="354">
        <v>0</v>
      </c>
      <c r="K15" s="355">
        <v>0</v>
      </c>
      <c r="L15" s="354">
        <v>0</v>
      </c>
      <c r="M15" s="356">
        <v>0</v>
      </c>
      <c r="N15" s="145"/>
      <c r="O15" s="83" t="s">
        <v>165</v>
      </c>
      <c r="P15" s="64">
        <f>VLOOKUP($O15,ハンカン確定注文!$B$9:$P$1022,3,0)</f>
        <v>0</v>
      </c>
      <c r="Q15" s="35">
        <f>J15-P15</f>
        <v>0</v>
      </c>
      <c r="R15" s="359">
        <f t="shared" si="0"/>
        <v>0</v>
      </c>
      <c r="S15" s="73"/>
      <c r="U15" s="93"/>
      <c r="V15" s="63"/>
      <c r="W15" s="42"/>
      <c r="X15" s="42"/>
      <c r="Z15" s="42"/>
    </row>
    <row r="16" spans="2:26">
      <c r="B16" s="142" t="s">
        <v>254</v>
      </c>
      <c r="C16" s="350" t="str">
        <f>IFERROR(VLOOKUP($B16,コード!$C$2:$G$962,5,FALSE)&amp;"","")</f>
        <v>3TG138K00821</v>
      </c>
      <c r="D16" s="42"/>
      <c r="E16" s="353">
        <v>0</v>
      </c>
      <c r="F16" s="354">
        <v>0</v>
      </c>
      <c r="G16" s="354">
        <v>0</v>
      </c>
      <c r="H16" s="354">
        <v>0</v>
      </c>
      <c r="I16" s="354">
        <v>0</v>
      </c>
      <c r="J16" s="354">
        <v>0</v>
      </c>
      <c r="K16" s="355">
        <v>0</v>
      </c>
      <c r="L16" s="354">
        <v>0</v>
      </c>
      <c r="M16" s="356">
        <v>0</v>
      </c>
      <c r="N16" s="185"/>
      <c r="O16" s="83" t="s">
        <v>168</v>
      </c>
      <c r="P16" s="64">
        <f>VLOOKUP($O16,ハンカン確定注文!$B$9:$P$1022,3,0)</f>
        <v>0</v>
      </c>
      <c r="Q16" s="186">
        <f>J16-P16</f>
        <v>0</v>
      </c>
      <c r="R16" s="359">
        <f t="shared" si="0"/>
        <v>0</v>
      </c>
      <c r="S16" s="73"/>
      <c r="U16" s="93"/>
      <c r="V16" s="63"/>
      <c r="W16" s="42"/>
      <c r="X16" s="42"/>
      <c r="Z16" s="42"/>
    </row>
    <row r="17" spans="2:26">
      <c r="B17" s="142" t="s">
        <v>255</v>
      </c>
      <c r="C17" s="75" t="str">
        <f>IFERROR(VLOOKUP($B17,コード!$C$2:$G$962,5,FALSE)&amp;"","")</f>
        <v>3TG138K00831</v>
      </c>
      <c r="D17" s="42"/>
      <c r="E17" s="353">
        <v>0</v>
      </c>
      <c r="F17" s="354">
        <v>0</v>
      </c>
      <c r="G17" s="354">
        <v>0</v>
      </c>
      <c r="H17" s="354">
        <v>0</v>
      </c>
      <c r="I17" s="354">
        <v>0</v>
      </c>
      <c r="J17" s="354">
        <v>0</v>
      </c>
      <c r="K17" s="355">
        <v>0</v>
      </c>
      <c r="L17" s="354">
        <v>0</v>
      </c>
      <c r="M17" s="356">
        <v>0</v>
      </c>
      <c r="N17" s="145"/>
      <c r="O17" s="83" t="s">
        <v>170</v>
      </c>
      <c r="P17" s="64">
        <f>VLOOKUP($O17,ハンカン確定注文!$B$9:$P$1022,3,0)</f>
        <v>0</v>
      </c>
      <c r="Q17" s="35">
        <f>K17-P17</f>
        <v>0</v>
      </c>
      <c r="R17" s="359">
        <f t="shared" si="0"/>
        <v>0</v>
      </c>
      <c r="S17" s="357"/>
      <c r="T17" s="193"/>
      <c r="W17" s="42"/>
      <c r="X17" s="42"/>
      <c r="Z17" s="42"/>
    </row>
    <row r="18" spans="2:26">
      <c r="B18" s="181" t="s">
        <v>256</v>
      </c>
      <c r="C18" s="349" t="str">
        <f>IFERROR(VLOOKUP($B18,コード!$C$2:$G$962,5,FALSE)&amp;"","")</f>
        <v>3TG148K00302</v>
      </c>
      <c r="D18" s="42"/>
      <c r="E18" s="353">
        <v>0</v>
      </c>
      <c r="F18" s="354">
        <v>0</v>
      </c>
      <c r="G18" s="354">
        <v>0</v>
      </c>
      <c r="H18" s="354">
        <v>0</v>
      </c>
      <c r="I18" s="354">
        <v>0</v>
      </c>
      <c r="J18" s="354">
        <v>0</v>
      </c>
      <c r="K18" s="355">
        <v>0</v>
      </c>
      <c r="L18" s="354">
        <v>0</v>
      </c>
      <c r="M18" s="356">
        <v>0</v>
      </c>
      <c r="N18" s="145"/>
      <c r="O18" s="83" t="s">
        <v>179</v>
      </c>
      <c r="P18" s="64">
        <f>VLOOKUP($O18,ハンカン確定注文!$B$9:$P$1022,3,0)</f>
        <v>0</v>
      </c>
      <c r="Q18" s="35">
        <f>K18-P18</f>
        <v>0</v>
      </c>
      <c r="R18" s="359">
        <f t="shared" si="0"/>
        <v>0</v>
      </c>
      <c r="S18" s="73"/>
      <c r="U18" s="93"/>
      <c r="V18" s="48"/>
      <c r="W18" s="42"/>
      <c r="X18" s="42"/>
      <c r="Z18" s="42"/>
    </row>
    <row r="19" spans="2:26">
      <c r="B19" s="142" t="s">
        <v>257</v>
      </c>
      <c r="C19" s="75" t="str">
        <f>IFERROR(VLOOKUP($B19,コード!$C$2:$G$962,5,FALSE)&amp;"","")</f>
        <v>3TG148K00331</v>
      </c>
      <c r="D19" s="42"/>
      <c r="E19" s="353">
        <v>0</v>
      </c>
      <c r="F19" s="354">
        <v>0</v>
      </c>
      <c r="G19" s="354">
        <v>0</v>
      </c>
      <c r="H19" s="354">
        <v>0</v>
      </c>
      <c r="I19" s="354">
        <v>0</v>
      </c>
      <c r="J19" s="354">
        <v>0</v>
      </c>
      <c r="K19" s="355">
        <v>0</v>
      </c>
      <c r="L19" s="354">
        <v>0</v>
      </c>
      <c r="M19" s="356">
        <v>0</v>
      </c>
      <c r="N19" s="145"/>
      <c r="O19" s="83" t="s">
        <v>183</v>
      </c>
      <c r="P19" s="64">
        <f>VLOOKUP($O19,ハンカン確定注文!$B$9:$P$1022,3,0)</f>
        <v>0</v>
      </c>
      <c r="Q19" s="35">
        <f>K19-P19</f>
        <v>0</v>
      </c>
      <c r="R19" s="359">
        <f t="shared" si="0"/>
        <v>0</v>
      </c>
      <c r="S19" s="73"/>
      <c r="U19" s="93"/>
      <c r="V19" s="94"/>
      <c r="W19" s="42"/>
      <c r="X19" s="42"/>
      <c r="Z19" s="42"/>
    </row>
    <row r="20" spans="2:26">
      <c r="B20" s="142" t="s">
        <v>258</v>
      </c>
      <c r="C20" s="75" t="str">
        <f>IFERROR(VLOOKUP($B20,コード!$C$2:$G$962,5,FALSE)&amp;"","")</f>
        <v>3TG148K00312</v>
      </c>
      <c r="D20" s="42"/>
      <c r="E20" s="353">
        <v>1007</v>
      </c>
      <c r="F20" s="354">
        <v>1007</v>
      </c>
      <c r="G20" s="354">
        <v>1007</v>
      </c>
      <c r="H20" s="354">
        <v>1007</v>
      </c>
      <c r="I20" s="354">
        <v>1007</v>
      </c>
      <c r="J20" s="354">
        <v>1007</v>
      </c>
      <c r="K20" s="355">
        <v>1007</v>
      </c>
      <c r="L20" s="354">
        <v>1007</v>
      </c>
      <c r="M20" s="356">
        <v>1007</v>
      </c>
      <c r="N20" s="145"/>
      <c r="O20" s="83" t="s">
        <v>186</v>
      </c>
      <c r="P20" s="64">
        <f>VLOOKUP($O20,ハンカン確定注文!$B$9:$P$1022,3,0)</f>
        <v>0</v>
      </c>
      <c r="Q20" s="35">
        <f>K20-P20</f>
        <v>1007</v>
      </c>
      <c r="R20" s="359">
        <f t="shared" si="0"/>
        <v>1007</v>
      </c>
      <c r="S20" s="73"/>
      <c r="U20" s="93"/>
      <c r="V20" s="94"/>
      <c r="W20" s="42"/>
      <c r="X20" s="42"/>
      <c r="Z20" s="42"/>
    </row>
    <row r="21" spans="2:26">
      <c r="B21" s="142" t="s">
        <v>658</v>
      </c>
      <c r="C21" s="75" t="str">
        <f>IFERROR(VLOOKUP($B21,コード!$C$2:$G$962,5,FALSE)&amp;"","")</f>
        <v>3TG149K00141</v>
      </c>
      <c r="D21" s="42"/>
      <c r="E21" s="353">
        <v>193</v>
      </c>
      <c r="F21" s="354">
        <v>193</v>
      </c>
      <c r="G21" s="354">
        <v>193</v>
      </c>
      <c r="H21" s="354">
        <v>1193</v>
      </c>
      <c r="I21" s="354">
        <v>1193</v>
      </c>
      <c r="J21" s="354">
        <v>293</v>
      </c>
      <c r="K21" s="355">
        <v>-457</v>
      </c>
      <c r="L21" s="354">
        <v>-1207</v>
      </c>
      <c r="M21" s="356">
        <v>-1207</v>
      </c>
      <c r="N21" s="145"/>
      <c r="O21" s="83" t="s">
        <v>173</v>
      </c>
      <c r="P21" s="64">
        <f>VLOOKUP($O21,ハンカン確定注文!$B$9:$P$1022,3,0)</f>
        <v>0</v>
      </c>
      <c r="Q21" s="35">
        <f>N21-P21</f>
        <v>0</v>
      </c>
      <c r="R21" s="359">
        <f t="shared" si="0"/>
        <v>-457</v>
      </c>
      <c r="S21" s="73"/>
      <c r="U21" s="93"/>
      <c r="V21" s="94"/>
      <c r="W21" s="42"/>
      <c r="X21" s="42"/>
      <c r="Y21">
        <v>1000</v>
      </c>
      <c r="Z21" s="42">
        <v>1480</v>
      </c>
    </row>
    <row r="22" spans="2:26">
      <c r="B22" s="181" t="s">
        <v>260</v>
      </c>
      <c r="C22" s="349" t="str">
        <f>IFERROR(VLOOKUP($B22,コード!$C$2:$G$962,5,FALSE)&amp;"","")</f>
        <v>3TG149K00102</v>
      </c>
      <c r="D22" s="42"/>
      <c r="E22" s="353">
        <v>820</v>
      </c>
      <c r="F22" s="354">
        <v>820</v>
      </c>
      <c r="G22" s="354">
        <v>820</v>
      </c>
      <c r="H22" s="354">
        <v>820</v>
      </c>
      <c r="I22" s="354">
        <v>820</v>
      </c>
      <c r="J22" s="354">
        <v>820</v>
      </c>
      <c r="K22" s="355">
        <v>820</v>
      </c>
      <c r="L22" s="354">
        <v>520</v>
      </c>
      <c r="M22" s="356">
        <v>520</v>
      </c>
      <c r="N22" s="145"/>
      <c r="O22" s="83" t="s">
        <v>181</v>
      </c>
      <c r="P22" s="64">
        <f>VLOOKUP($O22,ハンカン確定注文!$B$9:$P$1022,3,0)</f>
        <v>0</v>
      </c>
      <c r="Q22" s="145"/>
      <c r="R22" s="359">
        <f t="shared" si="0"/>
        <v>820</v>
      </c>
      <c r="S22" s="73"/>
      <c r="W22" s="42"/>
      <c r="X22" s="42"/>
      <c r="Z22" s="42"/>
    </row>
    <row r="23" spans="2:26">
      <c r="B23" s="181" t="s">
        <v>261</v>
      </c>
      <c r="C23" s="349" t="str">
        <f>IFERROR(VLOOKUP($B23,コード!$C$2:$G$962,5,FALSE)&amp;"","")</f>
        <v>3TG149K00131</v>
      </c>
      <c r="D23" s="42"/>
      <c r="E23" s="353">
        <v>0</v>
      </c>
      <c r="F23" s="354">
        <v>0</v>
      </c>
      <c r="G23" s="354">
        <v>0</v>
      </c>
      <c r="H23" s="354">
        <v>0</v>
      </c>
      <c r="I23" s="354">
        <v>0</v>
      </c>
      <c r="J23" s="354">
        <v>0</v>
      </c>
      <c r="K23" s="355">
        <v>0</v>
      </c>
      <c r="L23" s="354">
        <v>0</v>
      </c>
      <c r="M23" s="356">
        <v>0</v>
      </c>
      <c r="N23" s="145"/>
      <c r="O23" s="83" t="s">
        <v>184</v>
      </c>
      <c r="P23" s="64">
        <f>VLOOKUP($O23,ハンカン確定注文!$B$9:$P$1022,3,0)</f>
        <v>0</v>
      </c>
      <c r="Q23" s="35">
        <f t="shared" ref="Q23:Q35" si="1">K23-P23</f>
        <v>0</v>
      </c>
      <c r="R23" s="359">
        <f t="shared" si="0"/>
        <v>0</v>
      </c>
      <c r="S23" s="73"/>
      <c r="W23" s="42"/>
      <c r="X23" s="42"/>
      <c r="Z23" s="42"/>
    </row>
    <row r="24" spans="2:26">
      <c r="B24" s="142" t="s">
        <v>262</v>
      </c>
      <c r="C24" s="75" t="str">
        <f>IFERROR(VLOOKUP($B24,コード!$C$2:$G$962,5,FALSE)&amp;"","")</f>
        <v>3TG149K00112</v>
      </c>
      <c r="D24" s="42"/>
      <c r="E24" s="353">
        <v>473</v>
      </c>
      <c r="F24" s="354">
        <v>473</v>
      </c>
      <c r="G24" s="354">
        <v>473</v>
      </c>
      <c r="H24" s="354">
        <v>473</v>
      </c>
      <c r="I24" s="354">
        <v>473</v>
      </c>
      <c r="J24" s="354">
        <v>473</v>
      </c>
      <c r="K24" s="355">
        <v>473</v>
      </c>
      <c r="L24" s="354">
        <v>473</v>
      </c>
      <c r="M24" s="356">
        <v>473</v>
      </c>
      <c r="N24" s="145"/>
      <c r="O24" s="83" t="s">
        <v>188</v>
      </c>
      <c r="P24" s="64">
        <f>VLOOKUP($O24,ハンカン確定注文!$B$9:$P$1022,3,0)</f>
        <v>0</v>
      </c>
      <c r="Q24" s="35">
        <f t="shared" si="1"/>
        <v>473</v>
      </c>
      <c r="R24" s="359">
        <f t="shared" si="0"/>
        <v>473</v>
      </c>
      <c r="S24" s="73"/>
      <c r="W24" s="42"/>
      <c r="X24" s="42"/>
      <c r="Z24" s="42"/>
    </row>
    <row r="25" spans="2:26">
      <c r="B25" s="142" t="s">
        <v>263</v>
      </c>
      <c r="C25" s="75" t="str">
        <f>IFERROR(VLOOKUP($B25,コード!$C$2:$G$962,5,FALSE)&amp;"","")</f>
        <v>3TG149K00121</v>
      </c>
      <c r="D25" s="42"/>
      <c r="E25" s="353">
        <v>992</v>
      </c>
      <c r="F25" s="354">
        <v>992</v>
      </c>
      <c r="G25" s="354">
        <v>992</v>
      </c>
      <c r="H25" s="354">
        <v>692</v>
      </c>
      <c r="I25" s="354">
        <v>692</v>
      </c>
      <c r="J25" s="354">
        <v>692</v>
      </c>
      <c r="K25" s="355">
        <v>492</v>
      </c>
      <c r="L25" s="354">
        <v>492</v>
      </c>
      <c r="M25" s="356">
        <v>492</v>
      </c>
      <c r="N25" s="145"/>
      <c r="O25" s="83" t="s">
        <v>190</v>
      </c>
      <c r="P25" s="64">
        <f>VLOOKUP($O25,ハンカン確定注文!$B$9:$P$1022,3,0)</f>
        <v>0</v>
      </c>
      <c r="Q25" s="35">
        <f t="shared" si="1"/>
        <v>492</v>
      </c>
      <c r="R25" s="359">
        <f t="shared" si="0"/>
        <v>492</v>
      </c>
      <c r="S25" s="73"/>
      <c r="W25" s="42">
        <v>1000</v>
      </c>
      <c r="X25" s="42"/>
      <c r="Z25" s="42"/>
    </row>
    <row r="26" spans="2:26">
      <c r="B26" s="142" t="s">
        <v>264</v>
      </c>
      <c r="C26" s="75" t="str">
        <f>IFERROR(VLOOKUP($B26,コード!$C$2:$G$962,5,FALSE)&amp;"","")</f>
        <v>3TG150K00141</v>
      </c>
      <c r="D26" s="42"/>
      <c r="E26" s="353">
        <v>0</v>
      </c>
      <c r="F26" s="354">
        <v>0</v>
      </c>
      <c r="G26" s="354">
        <v>0</v>
      </c>
      <c r="H26" s="354">
        <v>0</v>
      </c>
      <c r="I26" s="354">
        <v>0</v>
      </c>
      <c r="J26" s="354">
        <v>0</v>
      </c>
      <c r="K26" s="355">
        <v>0</v>
      </c>
      <c r="L26" s="354">
        <v>0</v>
      </c>
      <c r="M26" s="356">
        <v>0</v>
      </c>
      <c r="N26" s="145"/>
      <c r="O26" s="83" t="s">
        <v>174</v>
      </c>
      <c r="P26" s="64">
        <f>VLOOKUP($O26,ハンカン確定注文!$B$9:$P$1022,3,0)</f>
        <v>0</v>
      </c>
      <c r="Q26" s="35">
        <f t="shared" si="1"/>
        <v>0</v>
      </c>
      <c r="R26" s="359">
        <f t="shared" si="0"/>
        <v>0</v>
      </c>
      <c r="S26" s="73"/>
      <c r="W26" s="42"/>
      <c r="X26" s="42"/>
      <c r="Z26" s="42"/>
    </row>
    <row r="27" spans="2:26">
      <c r="B27" s="181" t="s">
        <v>265</v>
      </c>
      <c r="C27" s="349" t="str">
        <f>IFERROR(VLOOKUP($B27,コード!$C$2:$G$962,5,FALSE)&amp;"","")</f>
        <v>3TG150K00103</v>
      </c>
      <c r="D27" s="42"/>
      <c r="E27" s="353">
        <v>733</v>
      </c>
      <c r="F27" s="354">
        <v>733</v>
      </c>
      <c r="G27" s="354">
        <v>733</v>
      </c>
      <c r="H27" s="354">
        <v>733</v>
      </c>
      <c r="I27" s="354">
        <v>733</v>
      </c>
      <c r="J27" s="354">
        <v>733</v>
      </c>
      <c r="K27" s="355">
        <v>733</v>
      </c>
      <c r="L27" s="354">
        <v>433</v>
      </c>
      <c r="M27" s="356">
        <v>433</v>
      </c>
      <c r="N27" s="145"/>
      <c r="O27" s="83" t="s">
        <v>182</v>
      </c>
      <c r="P27" s="64">
        <f>VLOOKUP($O27,ハンカン確定注文!$B$9:$P$1022,3,0)</f>
        <v>0</v>
      </c>
      <c r="Q27" s="35">
        <f t="shared" si="1"/>
        <v>733</v>
      </c>
      <c r="R27" s="359">
        <f t="shared" si="0"/>
        <v>733</v>
      </c>
      <c r="S27" s="73"/>
      <c r="W27" s="42"/>
      <c r="X27" s="42"/>
      <c r="Z27" s="42"/>
    </row>
    <row r="28" spans="2:26">
      <c r="B28" s="142" t="s">
        <v>266</v>
      </c>
      <c r="C28" s="75" t="str">
        <f>IFERROR(VLOOKUP($B28,コード!$C$2:$G$962,5,FALSE)&amp;"","")</f>
        <v>3TG150K00131</v>
      </c>
      <c r="D28" s="42"/>
      <c r="E28" s="353">
        <v>895</v>
      </c>
      <c r="F28" s="354">
        <v>895</v>
      </c>
      <c r="G28" s="354">
        <v>895</v>
      </c>
      <c r="H28" s="354">
        <v>695</v>
      </c>
      <c r="I28" s="354">
        <v>695</v>
      </c>
      <c r="J28" s="354">
        <v>695</v>
      </c>
      <c r="K28" s="355">
        <v>695</v>
      </c>
      <c r="L28" s="354">
        <v>695</v>
      </c>
      <c r="M28" s="356">
        <v>695</v>
      </c>
      <c r="N28" s="145"/>
      <c r="O28" s="83" t="s">
        <v>185</v>
      </c>
      <c r="P28" s="64">
        <f>VLOOKUP($O28,ハンカン確定注文!$B$9:$P$1022,3,0)</f>
        <v>0</v>
      </c>
      <c r="Q28" s="35">
        <f t="shared" si="1"/>
        <v>695</v>
      </c>
      <c r="R28" s="359">
        <f t="shared" si="0"/>
        <v>695</v>
      </c>
      <c r="S28" s="73"/>
      <c r="W28" s="42"/>
      <c r="X28" s="42"/>
      <c r="Z28" s="42"/>
    </row>
    <row r="29" spans="2:26">
      <c r="B29" s="142" t="s">
        <v>267</v>
      </c>
      <c r="C29" s="75" t="str">
        <f>IFERROR(VLOOKUP($B29,コード!$C$2:$G$962,5,FALSE)&amp;"","")</f>
        <v>3TG150K00112</v>
      </c>
      <c r="D29" s="42"/>
      <c r="E29" s="353">
        <v>890</v>
      </c>
      <c r="F29" s="354">
        <v>890</v>
      </c>
      <c r="G29" s="354">
        <v>890</v>
      </c>
      <c r="H29" s="354">
        <v>890</v>
      </c>
      <c r="I29" s="354">
        <v>890</v>
      </c>
      <c r="J29" s="354">
        <v>890</v>
      </c>
      <c r="K29" s="355">
        <v>890</v>
      </c>
      <c r="L29" s="354">
        <v>790</v>
      </c>
      <c r="M29" s="356">
        <v>790</v>
      </c>
      <c r="N29" s="145"/>
      <c r="O29" s="83" t="s">
        <v>189</v>
      </c>
      <c r="P29" s="64">
        <f>VLOOKUP($O29,ハンカン確定注文!$B$9:$P$1022,3,0)</f>
        <v>0</v>
      </c>
      <c r="Q29" s="35">
        <f t="shared" si="1"/>
        <v>890</v>
      </c>
      <c r="R29" s="359">
        <f t="shared" si="0"/>
        <v>890</v>
      </c>
      <c r="S29" s="73"/>
      <c r="W29" s="42"/>
      <c r="X29" s="42"/>
      <c r="Z29" s="42"/>
    </row>
    <row r="30" spans="2:26" ht="19.5" customHeight="1">
      <c r="B30" s="142" t="s">
        <v>268</v>
      </c>
      <c r="C30" s="75" t="str">
        <f>IFERROR(VLOOKUP($B30,コード!$C$2:$G$962,5,FALSE)&amp;"","")</f>
        <v>3TG150K00121</v>
      </c>
      <c r="D30" s="42"/>
      <c r="E30" s="353">
        <v>753</v>
      </c>
      <c r="F30" s="354">
        <v>753</v>
      </c>
      <c r="G30" s="354">
        <v>753</v>
      </c>
      <c r="H30" s="354">
        <v>553</v>
      </c>
      <c r="I30" s="354">
        <v>553</v>
      </c>
      <c r="J30" s="354">
        <v>553</v>
      </c>
      <c r="K30" s="355">
        <v>353</v>
      </c>
      <c r="L30" s="354">
        <v>253</v>
      </c>
      <c r="M30" s="356">
        <v>253</v>
      </c>
      <c r="N30" s="145"/>
      <c r="O30" s="83" t="s">
        <v>191</v>
      </c>
      <c r="P30" s="64">
        <f>VLOOKUP($O30,ハンカン確定注文!$B$9:$P$1022,3,0)</f>
        <v>0</v>
      </c>
      <c r="Q30" s="35">
        <f t="shared" si="1"/>
        <v>353</v>
      </c>
      <c r="R30" s="359">
        <f t="shared" si="0"/>
        <v>353</v>
      </c>
      <c r="S30" s="73"/>
      <c r="W30" s="42">
        <v>1000</v>
      </c>
      <c r="X30" s="42"/>
      <c r="Z30" s="42"/>
    </row>
    <row r="31" spans="2:26" ht="19.5" customHeight="1">
      <c r="B31" s="142" t="s">
        <v>656</v>
      </c>
      <c r="C31" s="75" t="str">
        <f>IFERROR(VLOOKUP($B31,コード!$C$2:$G$962,5,FALSE)&amp;"","")</f>
        <v>3TG148K00360</v>
      </c>
      <c r="D31" s="42"/>
      <c r="E31" s="353">
        <v>0</v>
      </c>
      <c r="F31" s="354">
        <v>0</v>
      </c>
      <c r="G31" s="354">
        <v>0</v>
      </c>
      <c r="H31" s="354">
        <v>0</v>
      </c>
      <c r="I31" s="354">
        <v>0</v>
      </c>
      <c r="J31" s="354">
        <v>0</v>
      </c>
      <c r="K31" s="355">
        <v>0</v>
      </c>
      <c r="L31" s="354">
        <v>0</v>
      </c>
      <c r="M31" s="356">
        <v>0</v>
      </c>
      <c r="N31" s="145"/>
      <c r="O31" s="83" t="s">
        <v>192</v>
      </c>
      <c r="P31" s="64">
        <f>VLOOKUP($O31,ハンカン確定注文!$B$9:$P$1022,3,0)</f>
        <v>0</v>
      </c>
      <c r="Q31" s="35">
        <f t="shared" si="1"/>
        <v>0</v>
      </c>
      <c r="R31" s="359">
        <f t="shared" si="0"/>
        <v>0</v>
      </c>
      <c r="S31" s="73"/>
      <c r="W31" s="42"/>
      <c r="X31" s="42"/>
      <c r="Z31" s="42"/>
    </row>
    <row r="32" spans="2:26">
      <c r="B32" s="142" t="s">
        <v>270</v>
      </c>
      <c r="C32" s="75" t="str">
        <f>IFERROR(VLOOKUP($B32,コード!$C$2:$G$962,5,FALSE)&amp;"","")</f>
        <v>3TG149K00150</v>
      </c>
      <c r="D32" s="42"/>
      <c r="E32" s="353">
        <v>0</v>
      </c>
      <c r="F32" s="354">
        <v>0</v>
      </c>
      <c r="G32" s="354">
        <v>0</v>
      </c>
      <c r="H32" s="354">
        <v>0</v>
      </c>
      <c r="I32" s="354">
        <v>0</v>
      </c>
      <c r="J32" s="354">
        <v>0</v>
      </c>
      <c r="K32" s="355">
        <v>0</v>
      </c>
      <c r="L32" s="354">
        <v>0</v>
      </c>
      <c r="M32" s="356">
        <v>0</v>
      </c>
      <c r="N32" s="145"/>
      <c r="O32" s="83" t="s">
        <v>193</v>
      </c>
      <c r="P32" s="64">
        <f>VLOOKUP($O32,ハンカン確定注文!$B$9:$P$1022,3,0)</f>
        <v>0</v>
      </c>
      <c r="Q32" s="35">
        <f t="shared" si="1"/>
        <v>0</v>
      </c>
      <c r="R32" s="359">
        <f t="shared" si="0"/>
        <v>0</v>
      </c>
      <c r="S32" s="73"/>
      <c r="W32" s="42"/>
      <c r="X32" s="42"/>
      <c r="Z32" s="42"/>
    </row>
    <row r="33" spans="2:26">
      <c r="B33" s="142" t="s">
        <v>271</v>
      </c>
      <c r="C33" s="75" t="str">
        <f>IFERROR(VLOOKUP($B33,コード!$C$2:$G$962,5,FALSE)&amp;"","")</f>
        <v>3TG150K00150</v>
      </c>
      <c r="D33" s="42"/>
      <c r="E33" s="353">
        <v>0</v>
      </c>
      <c r="F33" s="354">
        <v>0</v>
      </c>
      <c r="G33" s="354">
        <v>0</v>
      </c>
      <c r="H33" s="354">
        <v>0</v>
      </c>
      <c r="I33" s="354">
        <v>0</v>
      </c>
      <c r="J33" s="354">
        <v>0</v>
      </c>
      <c r="K33" s="355">
        <v>0</v>
      </c>
      <c r="L33" s="354">
        <v>0</v>
      </c>
      <c r="M33" s="356">
        <v>0</v>
      </c>
      <c r="N33" s="145"/>
      <c r="O33" s="83" t="s">
        <v>648</v>
      </c>
      <c r="P33" s="64">
        <f>VLOOKUP($O33,ハンカン確定注文!$B$9:$P$1022,3,0)</f>
        <v>0</v>
      </c>
      <c r="Q33" s="35">
        <f t="shared" si="1"/>
        <v>0</v>
      </c>
      <c r="R33" s="359">
        <f t="shared" si="0"/>
        <v>0</v>
      </c>
      <c r="S33" s="73"/>
      <c r="W33" s="42"/>
      <c r="X33" s="42"/>
      <c r="Z33" s="42"/>
    </row>
    <row r="34" spans="2:26">
      <c r="B34" s="142" t="s">
        <v>657</v>
      </c>
      <c r="C34" s="75" t="str">
        <f>IFERROR(VLOOKUP($B34,コード!$C$2:$G$962,5,FALSE)&amp;"","")</f>
        <v>3TG149K00360</v>
      </c>
      <c r="D34" s="42"/>
      <c r="E34" s="353">
        <v>0</v>
      </c>
      <c r="F34" s="354">
        <v>0</v>
      </c>
      <c r="G34" s="354">
        <v>0</v>
      </c>
      <c r="H34" s="354">
        <v>0</v>
      </c>
      <c r="I34" s="354">
        <v>0</v>
      </c>
      <c r="J34" s="354">
        <v>0</v>
      </c>
      <c r="K34" s="355">
        <v>0</v>
      </c>
      <c r="L34" s="354">
        <v>0</v>
      </c>
      <c r="M34" s="356">
        <v>0</v>
      </c>
      <c r="N34" s="145"/>
      <c r="O34" s="83" t="s">
        <v>195</v>
      </c>
      <c r="P34" s="64">
        <f>VLOOKUP($O34,ハンカン確定注文!$B$9:$P$1022,3,0)</f>
        <v>0</v>
      </c>
      <c r="Q34" s="35">
        <f t="shared" si="1"/>
        <v>0</v>
      </c>
      <c r="R34" s="359">
        <f t="shared" si="0"/>
        <v>0</v>
      </c>
      <c r="S34" s="73"/>
      <c r="W34" s="42"/>
      <c r="X34" s="42"/>
      <c r="Z34" s="42"/>
    </row>
    <row r="35" spans="2:26" ht="19.5" customHeight="1" thickBot="1">
      <c r="B35" s="143" t="s">
        <v>273</v>
      </c>
      <c r="C35" s="345" t="str">
        <f>IFERROR(VLOOKUP($B35,コード!$C$2:$G$962,5,FALSE)&amp;"","")</f>
        <v>3TG150K00360</v>
      </c>
      <c r="D35" s="43"/>
      <c r="E35" s="353">
        <v>0</v>
      </c>
      <c r="F35" s="354">
        <v>0</v>
      </c>
      <c r="G35" s="354">
        <v>0</v>
      </c>
      <c r="H35" s="354">
        <v>0</v>
      </c>
      <c r="I35" s="354">
        <v>0</v>
      </c>
      <c r="J35" s="354">
        <v>0</v>
      </c>
      <c r="K35" s="355">
        <v>0</v>
      </c>
      <c r="L35" s="354">
        <v>0</v>
      </c>
      <c r="M35" s="356">
        <v>0</v>
      </c>
      <c r="N35" s="182"/>
      <c r="O35" s="84" t="s">
        <v>196</v>
      </c>
      <c r="P35" s="64">
        <f>VLOOKUP($O35,ハンカン確定注文!$B$9:$P$1022,3,0)</f>
        <v>0</v>
      </c>
      <c r="Q35" s="35">
        <f t="shared" si="1"/>
        <v>0</v>
      </c>
      <c r="R35" s="359">
        <f t="shared" si="0"/>
        <v>0</v>
      </c>
      <c r="S35" s="358"/>
      <c r="W35" s="43"/>
      <c r="X35" s="43"/>
      <c r="Z35" s="43"/>
    </row>
    <row r="36" spans="2:26" ht="20.25" customHeight="1" thickTop="1" thickBot="1">
      <c r="B36" s="103"/>
      <c r="C36" s="103"/>
      <c r="D36" s="103"/>
      <c r="E36" s="170" t="s">
        <v>226</v>
      </c>
      <c r="F36" s="171"/>
      <c r="G36" s="171" t="s">
        <v>227</v>
      </c>
      <c r="H36" s="171"/>
      <c r="I36" s="171" t="s">
        <v>228</v>
      </c>
      <c r="J36" s="171"/>
      <c r="K36" s="171" t="s">
        <v>229</v>
      </c>
      <c r="L36" s="171"/>
      <c r="M36" s="171" t="s">
        <v>230</v>
      </c>
      <c r="N36" s="103"/>
      <c r="O36" s="103"/>
      <c r="P36" s="103"/>
      <c r="Q36" s="103"/>
      <c r="R36" s="103"/>
      <c r="S36" s="103"/>
      <c r="W36" s="103"/>
      <c r="X36" s="103"/>
      <c r="Z36" s="103"/>
    </row>
    <row r="37" spans="2:26" ht="20.25" customHeight="1" thickTop="1" thickBot="1">
      <c r="B37" s="204" t="s">
        <v>274</v>
      </c>
      <c r="C37" s="169" t="s">
        <v>41</v>
      </c>
      <c r="D37" s="44" t="s">
        <v>245</v>
      </c>
      <c r="E37" s="173">
        <v>0</v>
      </c>
      <c r="F37" s="173">
        <v>0</v>
      </c>
      <c r="G37" s="173">
        <v>0</v>
      </c>
      <c r="H37" s="173">
        <v>0</v>
      </c>
      <c r="I37" s="173">
        <v>0</v>
      </c>
      <c r="J37" s="173">
        <v>0</v>
      </c>
      <c r="K37" s="173">
        <v>0</v>
      </c>
      <c r="L37" s="173">
        <v>0</v>
      </c>
      <c r="M37" s="173">
        <v>0</v>
      </c>
      <c r="N37" s="194" t="s">
        <v>275</v>
      </c>
      <c r="O37" s="176"/>
      <c r="P37" s="195" t="s">
        <v>276</v>
      </c>
      <c r="Q37" s="176" t="s">
        <v>248</v>
      </c>
      <c r="R37" s="175" t="s">
        <v>233</v>
      </c>
      <c r="S37" s="177" t="s">
        <v>249</v>
      </c>
      <c r="T37" s="262" t="s">
        <v>277</v>
      </c>
      <c r="U37" s="343" t="s">
        <v>278</v>
      </c>
      <c r="V37" s="343" t="s">
        <v>279</v>
      </c>
      <c r="W37" s="44" t="s">
        <v>245</v>
      </c>
      <c r="X37" s="44" t="s">
        <v>245</v>
      </c>
      <c r="Y37" t="s">
        <v>245</v>
      </c>
      <c r="Z37" s="44" t="s">
        <v>245</v>
      </c>
    </row>
    <row r="38" spans="2:26" ht="19.5" customHeight="1" thickBot="1">
      <c r="B38" s="217" t="s">
        <v>280</v>
      </c>
      <c r="C38" s="30" t="s">
        <v>281</v>
      </c>
      <c r="D38" s="41">
        <f>ROUNDUP(SUM($E56:$E77)/126,0)*126</f>
        <v>0</v>
      </c>
      <c r="E38" s="228">
        <v>5344</v>
      </c>
      <c r="F38" s="229">
        <v>6226</v>
      </c>
      <c r="G38" s="229">
        <v>6226</v>
      </c>
      <c r="H38" s="229">
        <v>5450</v>
      </c>
      <c r="I38" s="229">
        <v>5450</v>
      </c>
      <c r="J38" s="229">
        <v>6314</v>
      </c>
      <c r="K38" s="230">
        <v>4764</v>
      </c>
      <c r="L38" s="229">
        <v>1814</v>
      </c>
      <c r="M38" s="231">
        <v>1814</v>
      </c>
      <c r="N38" s="82" t="s">
        <v>282</v>
      </c>
      <c r="O38" s="77"/>
      <c r="P38" s="87">
        <f>SUM($E56:$E77)</f>
        <v>0</v>
      </c>
      <c r="Q38" s="368">
        <f t="shared" ref="Q38:Q46" si="2">J38-P38</f>
        <v>6314</v>
      </c>
      <c r="R38" s="78">
        <f t="shared" ref="R38:R46" si="3">Q38+D38+S38</f>
        <v>6314</v>
      </c>
      <c r="S38" s="79"/>
      <c r="T38">
        <v>3470</v>
      </c>
      <c r="U38" s="339">
        <f t="shared" ref="U38:U46" si="4">Q38-T38</f>
        <v>2844</v>
      </c>
      <c r="V38" s="339">
        <f t="shared" ref="V38:V46" si="5">R38-T38</f>
        <v>2844</v>
      </c>
      <c r="W38" s="41">
        <v>1386</v>
      </c>
      <c r="X38" s="41">
        <v>1260</v>
      </c>
      <c r="Y38">
        <v>504</v>
      </c>
      <c r="Z38" s="41">
        <v>882</v>
      </c>
    </row>
    <row r="39" spans="2:26" ht="19.5" customHeight="1" thickBot="1">
      <c r="B39" s="218" t="s">
        <v>283</v>
      </c>
      <c r="C39" s="205" t="s">
        <v>284</v>
      </c>
      <c r="D39" s="42">
        <f>ROUNDUP(SUM($E85:$E88)/520,0)*520</f>
        <v>0</v>
      </c>
      <c r="E39" s="228">
        <v>5599</v>
      </c>
      <c r="F39" s="229">
        <v>5599</v>
      </c>
      <c r="G39" s="229">
        <v>5599</v>
      </c>
      <c r="H39" s="229">
        <v>5599</v>
      </c>
      <c r="I39" s="229">
        <v>5599</v>
      </c>
      <c r="J39" s="229">
        <v>6119</v>
      </c>
      <c r="K39" s="230">
        <v>6019</v>
      </c>
      <c r="L39" s="229">
        <v>5819</v>
      </c>
      <c r="M39" s="231">
        <v>5819</v>
      </c>
      <c r="N39" s="75" t="s">
        <v>285</v>
      </c>
      <c r="O39" s="35"/>
      <c r="P39" s="88">
        <f>SUM($E85:$E88)</f>
        <v>0</v>
      </c>
      <c r="Q39" s="369">
        <f t="shared" si="2"/>
        <v>6119</v>
      </c>
      <c r="R39" s="64">
        <f t="shared" si="3"/>
        <v>6119</v>
      </c>
      <c r="S39" s="73"/>
      <c r="T39">
        <v>8311</v>
      </c>
      <c r="U39" s="339">
        <f t="shared" si="4"/>
        <v>-2192</v>
      </c>
      <c r="V39" s="339">
        <f t="shared" si="5"/>
        <v>-2192</v>
      </c>
      <c r="W39" s="42">
        <v>520</v>
      </c>
      <c r="X39" s="42">
        <v>0</v>
      </c>
      <c r="Y39">
        <v>0</v>
      </c>
      <c r="Z39" s="42">
        <v>0</v>
      </c>
    </row>
    <row r="40" spans="2:26">
      <c r="B40" s="219" t="s">
        <v>286</v>
      </c>
      <c r="C40" s="205" t="s">
        <v>287</v>
      </c>
      <c r="D40" s="42">
        <f>ROUNDUP(($E60+$E65+$E71)/160,0)*160</f>
        <v>0</v>
      </c>
      <c r="E40" s="228">
        <v>2829</v>
      </c>
      <c r="F40" s="229">
        <v>2829</v>
      </c>
      <c r="G40" s="229">
        <v>2829</v>
      </c>
      <c r="H40" s="229">
        <v>2829</v>
      </c>
      <c r="I40" s="229">
        <v>2829</v>
      </c>
      <c r="J40" s="229">
        <v>2829</v>
      </c>
      <c r="K40" s="230">
        <v>2829</v>
      </c>
      <c r="L40" s="229">
        <v>2729</v>
      </c>
      <c r="M40" s="231">
        <v>2729</v>
      </c>
      <c r="N40" s="75" t="s">
        <v>288</v>
      </c>
      <c r="O40" s="46"/>
      <c r="P40" s="88">
        <f>$E60+$E65+$E71</f>
        <v>0</v>
      </c>
      <c r="Q40" s="369">
        <f t="shared" si="2"/>
        <v>2829</v>
      </c>
      <c r="R40" s="64">
        <f t="shared" si="3"/>
        <v>2829</v>
      </c>
      <c r="S40" s="80"/>
      <c r="T40">
        <v>3617</v>
      </c>
      <c r="U40" s="339">
        <f t="shared" si="4"/>
        <v>-788</v>
      </c>
      <c r="V40" s="339">
        <f t="shared" si="5"/>
        <v>-788</v>
      </c>
      <c r="W40" s="42">
        <v>0</v>
      </c>
      <c r="X40" s="42">
        <v>0</v>
      </c>
      <c r="Y40">
        <v>0</v>
      </c>
      <c r="Z40" s="42">
        <v>0</v>
      </c>
    </row>
    <row r="41" spans="2:26">
      <c r="B41" s="220" t="s">
        <v>289</v>
      </c>
      <c r="C41" s="85" t="s">
        <v>290</v>
      </c>
      <c r="D41" s="42">
        <f>ROUNDUP(($E56+$E57+$E58+$E59+$E61+$E62+$E63+$E64+$E66+$E67+$E68+$E69+$E70+$E72+$E74+$E76)/160,0)*160</f>
        <v>0</v>
      </c>
      <c r="E41" s="228">
        <v>7845</v>
      </c>
      <c r="F41" s="229">
        <v>8965</v>
      </c>
      <c r="G41" s="229">
        <v>8965</v>
      </c>
      <c r="H41" s="229">
        <v>8585</v>
      </c>
      <c r="I41" s="229">
        <v>8585</v>
      </c>
      <c r="J41" s="229">
        <v>9125</v>
      </c>
      <c r="K41" s="230">
        <v>7975</v>
      </c>
      <c r="L41" s="229">
        <v>5225</v>
      </c>
      <c r="M41" s="231">
        <v>5225</v>
      </c>
      <c r="N41" s="75" t="s">
        <v>291</v>
      </c>
      <c r="O41" s="35"/>
      <c r="P41" s="88">
        <f>$E56+$E57+$E58+$E59+$E61+$E62+$E63+$E64+$E66+$E67+$E68+$E69+$E70+$E72+$E74+$E76</f>
        <v>0</v>
      </c>
      <c r="Q41" s="369">
        <f t="shared" si="2"/>
        <v>9125</v>
      </c>
      <c r="R41" s="64">
        <f t="shared" si="3"/>
        <v>9125</v>
      </c>
      <c r="S41" s="80"/>
      <c r="T41">
        <v>5234</v>
      </c>
      <c r="U41" s="339">
        <f t="shared" si="4"/>
        <v>3891</v>
      </c>
      <c r="V41" s="339">
        <f t="shared" si="5"/>
        <v>3891</v>
      </c>
      <c r="W41" s="42">
        <v>1280</v>
      </c>
      <c r="X41" s="42">
        <v>1280</v>
      </c>
      <c r="Y41">
        <v>320</v>
      </c>
      <c r="Z41" s="42">
        <v>960</v>
      </c>
    </row>
    <row r="42" spans="2:26">
      <c r="B42" s="360" t="s">
        <v>292</v>
      </c>
      <c r="C42" s="85" t="s">
        <v>293</v>
      </c>
      <c r="D42" s="42">
        <f>ROUNDUP(($E73+$E75+$E77)/160,0)*160</f>
        <v>0</v>
      </c>
      <c r="E42" s="228">
        <v>985</v>
      </c>
      <c r="F42" s="229">
        <v>1465</v>
      </c>
      <c r="G42" s="229">
        <v>1465</v>
      </c>
      <c r="H42" s="229">
        <v>1045</v>
      </c>
      <c r="I42" s="229">
        <v>1045</v>
      </c>
      <c r="J42" s="229">
        <v>1525</v>
      </c>
      <c r="K42" s="230">
        <v>1125</v>
      </c>
      <c r="L42" s="229">
        <v>1025</v>
      </c>
      <c r="M42" s="231">
        <v>1025</v>
      </c>
      <c r="N42" s="75" t="s">
        <v>294</v>
      </c>
      <c r="O42" s="35"/>
      <c r="P42" s="88">
        <f>$E73+$E75+$E77</f>
        <v>0</v>
      </c>
      <c r="Q42" s="369">
        <f t="shared" si="2"/>
        <v>1525</v>
      </c>
      <c r="R42" s="64">
        <f t="shared" si="3"/>
        <v>1525</v>
      </c>
      <c r="S42" s="80"/>
      <c r="T42" s="193"/>
      <c r="U42" s="339">
        <f t="shared" si="4"/>
        <v>1525</v>
      </c>
      <c r="V42" s="339">
        <f t="shared" si="5"/>
        <v>1525</v>
      </c>
      <c r="W42" s="42">
        <v>160</v>
      </c>
      <c r="X42" s="42">
        <v>0</v>
      </c>
      <c r="Y42">
        <v>160</v>
      </c>
      <c r="Z42" s="42">
        <v>0</v>
      </c>
    </row>
    <row r="43" spans="2:26">
      <c r="B43" s="221" t="s">
        <v>295</v>
      </c>
      <c r="C43" s="85" t="s">
        <v>296</v>
      </c>
      <c r="D43" s="42">
        <f>ROUNDUP((SUM($E56:$E60)+E73)/504,0)*504</f>
        <v>0</v>
      </c>
      <c r="E43" s="228">
        <v>4686</v>
      </c>
      <c r="F43" s="229">
        <v>5190</v>
      </c>
      <c r="G43" s="229">
        <v>5190</v>
      </c>
      <c r="H43" s="229">
        <v>5050</v>
      </c>
      <c r="I43" s="229">
        <v>5050</v>
      </c>
      <c r="J43" s="229">
        <v>5554</v>
      </c>
      <c r="K43" s="230">
        <v>5354</v>
      </c>
      <c r="L43" s="229">
        <v>5354</v>
      </c>
      <c r="M43" s="231">
        <v>5354</v>
      </c>
      <c r="N43" s="90" t="s">
        <v>297</v>
      </c>
      <c r="O43" s="35"/>
      <c r="P43" s="88">
        <f>SUM($E56:$E60)+E73</f>
        <v>0</v>
      </c>
      <c r="Q43" s="369">
        <f t="shared" si="2"/>
        <v>5554</v>
      </c>
      <c r="R43" s="64">
        <f t="shared" si="3"/>
        <v>5554</v>
      </c>
      <c r="S43" s="80"/>
      <c r="T43">
        <v>3314</v>
      </c>
      <c r="U43" s="339">
        <f t="shared" si="4"/>
        <v>2240</v>
      </c>
      <c r="V43" s="339">
        <f t="shared" si="5"/>
        <v>2240</v>
      </c>
      <c r="W43" s="42">
        <v>0</v>
      </c>
      <c r="X43" s="42">
        <v>0</v>
      </c>
      <c r="Y43">
        <v>0</v>
      </c>
      <c r="Z43" s="42">
        <v>504</v>
      </c>
    </row>
    <row r="44" spans="2:26">
      <c r="B44" s="222" t="s">
        <v>298</v>
      </c>
      <c r="C44" s="85" t="s">
        <v>299</v>
      </c>
      <c r="D44" s="42">
        <f>ROUNDUP(SUM($E61:$E66,E74:E75)/384,0)*384</f>
        <v>0</v>
      </c>
      <c r="E44" s="228">
        <v>7670</v>
      </c>
      <c r="F44" s="229">
        <v>8054</v>
      </c>
      <c r="G44" s="229">
        <v>8054</v>
      </c>
      <c r="H44" s="229">
        <v>7898</v>
      </c>
      <c r="I44" s="229">
        <v>7898</v>
      </c>
      <c r="J44" s="229">
        <v>8534</v>
      </c>
      <c r="K44" s="230">
        <v>7484</v>
      </c>
      <c r="L44" s="229">
        <v>5634</v>
      </c>
      <c r="M44" s="231">
        <v>5634</v>
      </c>
      <c r="N44" s="91" t="s">
        <v>300</v>
      </c>
      <c r="O44" s="35"/>
      <c r="P44" s="88">
        <f>SUM($E61:$E66,E74:E75)</f>
        <v>0</v>
      </c>
      <c r="Q44" s="369">
        <f t="shared" si="2"/>
        <v>8534</v>
      </c>
      <c r="R44" s="64">
        <f t="shared" si="3"/>
        <v>8534</v>
      </c>
      <c r="S44" s="80"/>
      <c r="T44">
        <v>5879</v>
      </c>
      <c r="U44" s="339">
        <f t="shared" si="4"/>
        <v>2655</v>
      </c>
      <c r="V44" s="339">
        <f t="shared" si="5"/>
        <v>2655</v>
      </c>
      <c r="W44" s="42">
        <v>768</v>
      </c>
      <c r="X44" s="42">
        <v>768</v>
      </c>
      <c r="Y44">
        <v>384</v>
      </c>
      <c r="Z44" s="42">
        <v>768</v>
      </c>
    </row>
    <row r="45" spans="2:26">
      <c r="B45" s="181" t="s">
        <v>301</v>
      </c>
      <c r="C45" s="85" t="s">
        <v>302</v>
      </c>
      <c r="D45" s="42">
        <f>ROUNDUP(SUM($E67:$E72,E76:E77)/276,0)*276</f>
        <v>0</v>
      </c>
      <c r="E45" s="228">
        <v>4957</v>
      </c>
      <c r="F45" s="229">
        <v>5509</v>
      </c>
      <c r="G45" s="229">
        <v>5509</v>
      </c>
      <c r="H45" s="229">
        <v>5185</v>
      </c>
      <c r="I45" s="229">
        <v>5185</v>
      </c>
      <c r="J45" s="229">
        <v>5737</v>
      </c>
      <c r="K45" s="230">
        <v>5437</v>
      </c>
      <c r="L45" s="229">
        <v>4337</v>
      </c>
      <c r="M45" s="231">
        <v>4337</v>
      </c>
      <c r="N45" s="91" t="s">
        <v>303</v>
      </c>
      <c r="O45" s="35"/>
      <c r="P45" s="88">
        <f>SUM($E67:$E72,E76:E77)</f>
        <v>0</v>
      </c>
      <c r="Q45" s="369">
        <f t="shared" si="2"/>
        <v>5737</v>
      </c>
      <c r="R45" s="64">
        <f t="shared" si="3"/>
        <v>5737</v>
      </c>
      <c r="S45" s="80"/>
      <c r="T45">
        <v>3915</v>
      </c>
      <c r="U45" s="339">
        <f t="shared" si="4"/>
        <v>1822</v>
      </c>
      <c r="V45" s="339">
        <f t="shared" si="5"/>
        <v>1822</v>
      </c>
      <c r="W45" s="42">
        <v>828</v>
      </c>
      <c r="X45" s="42">
        <v>552</v>
      </c>
      <c r="Y45">
        <v>276</v>
      </c>
      <c r="Z45" s="42">
        <v>276</v>
      </c>
    </row>
    <row r="46" spans="2:26" ht="19.5" customHeight="1" thickBot="1">
      <c r="B46" s="223" t="s">
        <v>304</v>
      </c>
      <c r="C46" s="86" t="s">
        <v>305</v>
      </c>
      <c r="D46" s="43">
        <f>ROUNDUP((SUM($E67:$E72,E76:E77)*2)/1000,0)*1000</f>
        <v>0</v>
      </c>
      <c r="E46" s="228">
        <v>11079</v>
      </c>
      <c r="F46" s="229">
        <v>12079</v>
      </c>
      <c r="G46" s="229">
        <v>12079</v>
      </c>
      <c r="H46" s="229">
        <v>11879</v>
      </c>
      <c r="I46" s="229">
        <v>11879</v>
      </c>
      <c r="J46" s="229">
        <v>12879</v>
      </c>
      <c r="K46" s="230">
        <v>12279</v>
      </c>
      <c r="L46" s="229">
        <v>10079</v>
      </c>
      <c r="M46" s="231">
        <v>10079</v>
      </c>
      <c r="N46" s="92" t="s">
        <v>306</v>
      </c>
      <c r="O46" s="40"/>
      <c r="P46" s="89">
        <f>SUM($E67:$E72,E76:E77)*2</f>
        <v>0</v>
      </c>
      <c r="Q46" s="370">
        <f t="shared" si="2"/>
        <v>12879</v>
      </c>
      <c r="R46" s="64">
        <f t="shared" si="3"/>
        <v>12879</v>
      </c>
      <c r="S46" s="81"/>
      <c r="T46">
        <v>9985</v>
      </c>
      <c r="U46" s="339">
        <f t="shared" si="4"/>
        <v>2894</v>
      </c>
      <c r="V46" s="339">
        <f t="shared" si="5"/>
        <v>2894</v>
      </c>
      <c r="W46" s="43">
        <v>2000</v>
      </c>
      <c r="X46" s="43">
        <v>1000</v>
      </c>
      <c r="Y46">
        <v>1000</v>
      </c>
      <c r="Z46" s="43">
        <v>1000</v>
      </c>
    </row>
    <row r="47" spans="2:26" ht="19.5" customHeight="1" thickTop="1">
      <c r="B47" s="103"/>
      <c r="C47" s="103"/>
      <c r="D47" s="103"/>
      <c r="E47" s="199" t="s">
        <v>643</v>
      </c>
      <c r="F47" s="199" t="s">
        <v>643</v>
      </c>
      <c r="G47" s="200"/>
    </row>
    <row r="48" spans="2:26" ht="19.5" customHeight="1" thickBot="1">
      <c r="B48" s="202" t="s">
        <v>222</v>
      </c>
      <c r="C48" s="203" t="s">
        <v>37</v>
      </c>
      <c r="D48" s="196"/>
      <c r="E48" s="199" t="s">
        <v>644</v>
      </c>
      <c r="F48" s="199"/>
      <c r="G48" s="201" t="s">
        <v>645</v>
      </c>
    </row>
    <row r="49" spans="1:7" ht="19.5" customHeight="1" thickTop="1">
      <c r="A49" t="str">
        <f t="shared" ref="A49:A88" si="6">B49&amp;C49</f>
        <v>PDR+S30RCX</v>
      </c>
      <c r="B49" s="49" t="s">
        <v>162</v>
      </c>
      <c r="C49" s="371" t="s">
        <v>163</v>
      </c>
      <c r="D49" s="96"/>
      <c r="E49" s="206">
        <f>F49-G49</f>
        <v>0</v>
      </c>
      <c r="F49" s="98">
        <f>VLOOKUP($A49,ハンカン確定注文!$A$9:$P$1022,4,0)</f>
        <v>0</v>
      </c>
      <c r="G49" s="35"/>
    </row>
    <row r="50" spans="1:7">
      <c r="A50" t="str">
        <f t="shared" si="6"/>
        <v>PDR+S30RWUX</v>
      </c>
      <c r="B50" s="50" t="s">
        <v>162</v>
      </c>
      <c r="C50" s="372" t="s">
        <v>164</v>
      </c>
      <c r="D50" s="97"/>
      <c r="E50" s="206">
        <f>F50-G50</f>
        <v>0</v>
      </c>
      <c r="F50" s="98">
        <f>VLOOKUP($A50,ハンカン確定注文!$A$9:$P$1022,4,0)</f>
        <v>0</v>
      </c>
      <c r="G50" s="35"/>
    </row>
    <row r="51" spans="1:7">
      <c r="A51" t="str">
        <f t="shared" si="6"/>
        <v>PDR+S30SCZ</v>
      </c>
      <c r="B51" s="50" t="s">
        <v>166</v>
      </c>
      <c r="C51" s="372" t="s">
        <v>167</v>
      </c>
      <c r="D51" s="97"/>
      <c r="E51" s="206">
        <f>F51-+G51</f>
        <v>0</v>
      </c>
      <c r="F51" s="98">
        <f>VLOOKUP($A51,ハンカン確定注文!$A$9:$P$1022,4,0)</f>
        <v>0</v>
      </c>
      <c r="G51" s="35"/>
    </row>
    <row r="52" spans="1:7">
      <c r="A52" t="str">
        <f t="shared" si="6"/>
        <v>PDR+S30WCZ</v>
      </c>
      <c r="B52" s="50" t="s">
        <v>169</v>
      </c>
      <c r="C52" s="372" t="s">
        <v>167</v>
      </c>
      <c r="D52" s="97"/>
      <c r="E52" s="206">
        <f t="shared" ref="E52:E55" si="7">F52-+G52</f>
        <v>0</v>
      </c>
      <c r="F52" s="98">
        <f>VLOOKUP($A52,ハンカン確定注文!$A$9:$P$1022,4,0)</f>
        <v>0</v>
      </c>
      <c r="G52" s="35"/>
    </row>
    <row r="53" spans="1:7">
      <c r="A53" t="str">
        <f t="shared" si="6"/>
        <v>PDR+S40RCX</v>
      </c>
      <c r="B53" s="50" t="s">
        <v>165</v>
      </c>
      <c r="C53" s="372" t="s">
        <v>163</v>
      </c>
      <c r="D53" s="97"/>
      <c r="E53" s="206">
        <f t="shared" si="7"/>
        <v>0</v>
      </c>
      <c r="F53" s="98">
        <f>VLOOKUP($A53,ハンカン確定注文!$A$9:$P$1022,4,0)</f>
        <v>0</v>
      </c>
      <c r="G53" s="35"/>
    </row>
    <row r="54" spans="1:7">
      <c r="A54" t="str">
        <f t="shared" si="6"/>
        <v>PDR+S40SCZ</v>
      </c>
      <c r="B54" s="50" t="s">
        <v>168</v>
      </c>
      <c r="C54" s="372" t="s">
        <v>167</v>
      </c>
      <c r="D54" s="97"/>
      <c r="E54" s="206">
        <f t="shared" si="7"/>
        <v>0</v>
      </c>
      <c r="F54" s="98">
        <f>VLOOKUP($A54,ハンカン確定注文!$A$9:$P$1022,4,0)</f>
        <v>0</v>
      </c>
      <c r="G54" s="35"/>
    </row>
    <row r="55" spans="1:7" ht="19.5" customHeight="1" thickBot="1">
      <c r="A55" t="str">
        <f t="shared" si="6"/>
        <v>PDR+S40WCZ</v>
      </c>
      <c r="B55" s="51" t="s">
        <v>170</v>
      </c>
      <c r="C55" s="373" t="s">
        <v>167</v>
      </c>
      <c r="D55" s="97"/>
      <c r="E55" s="206">
        <f t="shared" si="7"/>
        <v>0</v>
      </c>
      <c r="F55" s="98">
        <f>VLOOKUP($A55,ハンカン確定注文!$A$9:$P$1022,4,0)</f>
        <v>0</v>
      </c>
      <c r="G55" s="35"/>
    </row>
    <row r="56" spans="1:7">
      <c r="A56" t="str">
        <f t="shared" si="6"/>
        <v>PDU+A30AKZ</v>
      </c>
      <c r="B56" s="52" t="s">
        <v>171</v>
      </c>
      <c r="C56" s="374" t="s">
        <v>172</v>
      </c>
      <c r="D56" s="97"/>
      <c r="E56" s="207">
        <f>F56-G56</f>
        <v>0</v>
      </c>
      <c r="F56" s="98">
        <f>VLOOKUP($A56,ハンカン確定注文!$A$9:$P$1022,4,0)</f>
        <v>0</v>
      </c>
      <c r="G56" s="35"/>
    </row>
    <row r="57" spans="1:7">
      <c r="A57" t="str">
        <f t="shared" si="6"/>
        <v>PDU+A30CKZ</v>
      </c>
      <c r="B57" s="53" t="s">
        <v>175</v>
      </c>
      <c r="C57" s="375" t="s">
        <v>172</v>
      </c>
      <c r="D57" s="97"/>
      <c r="E57" s="208">
        <f>F57-G57</f>
        <v>0</v>
      </c>
      <c r="F57" s="98">
        <f>VLOOKUP($A57,ハンカン確定注文!$A$9:$P$1022,4,0)</f>
        <v>0</v>
      </c>
      <c r="G57" s="35"/>
    </row>
    <row r="58" spans="1:7">
      <c r="A58" t="str">
        <f t="shared" si="6"/>
        <v>PDU+A30RKX</v>
      </c>
      <c r="B58" s="54" t="s">
        <v>179</v>
      </c>
      <c r="C58" s="376" t="s">
        <v>180</v>
      </c>
      <c r="D58" s="97"/>
      <c r="E58" s="208">
        <f t="shared" ref="E58:E59" si="8">F58-G58</f>
        <v>0</v>
      </c>
      <c r="F58" s="98">
        <f>VLOOKUP($A58,ハンカン確定注文!$A$9:$P$1022,4,0)</f>
        <v>0</v>
      </c>
      <c r="G58" s="35"/>
    </row>
    <row r="59" spans="1:7">
      <c r="A59" t="str">
        <f t="shared" si="6"/>
        <v>PDU+A30SKZ</v>
      </c>
      <c r="B59" s="55" t="s">
        <v>183</v>
      </c>
      <c r="C59" s="377" t="s">
        <v>172</v>
      </c>
      <c r="D59" s="97"/>
      <c r="E59" s="208">
        <f t="shared" si="8"/>
        <v>0</v>
      </c>
      <c r="F59" s="98">
        <f>VLOOKUP($A59,ハンカン確定注文!$A$9:$P$1022,4,0)</f>
        <v>0</v>
      </c>
      <c r="G59" s="35"/>
    </row>
    <row r="60" spans="1:7">
      <c r="A60" t="str">
        <f t="shared" si="6"/>
        <v>PDU+A30UKY</v>
      </c>
      <c r="B60" s="54" t="s">
        <v>186</v>
      </c>
      <c r="C60" s="376" t="s">
        <v>187</v>
      </c>
      <c r="D60" s="97"/>
      <c r="E60" s="214">
        <f>F60-G60</f>
        <v>0</v>
      </c>
      <c r="F60" s="98">
        <f>VLOOKUP($A60,ハンカン確定注文!$A$9:$P$1022,4,0)</f>
        <v>0</v>
      </c>
      <c r="G60" s="35"/>
    </row>
    <row r="61" spans="1:7">
      <c r="A61" t="str">
        <f t="shared" si="6"/>
        <v>PDU+A40AKZ</v>
      </c>
      <c r="B61" s="55" t="s">
        <v>173</v>
      </c>
      <c r="C61" s="377" t="s">
        <v>172</v>
      </c>
      <c r="D61" s="97"/>
      <c r="E61" s="209">
        <f>F61-G61</f>
        <v>0</v>
      </c>
      <c r="F61" s="98">
        <f>VLOOKUP($A61,ハンカン確定注文!$A$9:$P$1022,4,0)</f>
        <v>0</v>
      </c>
      <c r="G61" s="35"/>
    </row>
    <row r="62" spans="1:7">
      <c r="A62" t="str">
        <f t="shared" si="6"/>
        <v>PDU+A40CKZ</v>
      </c>
      <c r="B62" s="53" t="s">
        <v>176</v>
      </c>
      <c r="C62" s="375" t="s">
        <v>172</v>
      </c>
      <c r="D62" s="97"/>
      <c r="E62" s="210">
        <f>F62-G62</f>
        <v>0</v>
      </c>
      <c r="F62" s="98">
        <f>VLOOKUP($A62,ハンカン確定注文!$A$9:$P$1022,4,0)</f>
        <v>0</v>
      </c>
      <c r="G62" s="35"/>
    </row>
    <row r="63" spans="1:7">
      <c r="A63" t="str">
        <f t="shared" si="6"/>
        <v>PDU+A40RKX</v>
      </c>
      <c r="B63" s="54" t="s">
        <v>181</v>
      </c>
      <c r="C63" s="376" t="s">
        <v>180</v>
      </c>
      <c r="D63" s="97"/>
      <c r="E63" s="210">
        <f t="shared" ref="E63:E64" si="9">F63-G63</f>
        <v>0</v>
      </c>
      <c r="F63" s="98">
        <f>VLOOKUP($A63,ハンカン確定注文!$A$9:$P$1022,4,0)</f>
        <v>0</v>
      </c>
      <c r="G63" s="35"/>
    </row>
    <row r="64" spans="1:7">
      <c r="A64" t="str">
        <f t="shared" si="6"/>
        <v>PDU+A40SKZ</v>
      </c>
      <c r="B64" s="53" t="s">
        <v>184</v>
      </c>
      <c r="C64" s="375" t="s">
        <v>172</v>
      </c>
      <c r="D64" s="97"/>
      <c r="E64" s="210">
        <f t="shared" si="9"/>
        <v>0</v>
      </c>
      <c r="F64" s="98">
        <f>VLOOKUP($A64,ハンカン確定注文!$A$9:$P$1022,4,0)</f>
        <v>0</v>
      </c>
      <c r="G64" s="35"/>
    </row>
    <row r="65" spans="1:7">
      <c r="A65" t="str">
        <f t="shared" si="6"/>
        <v>PDU+A40UKY</v>
      </c>
      <c r="B65" s="54" t="s">
        <v>188</v>
      </c>
      <c r="C65" s="376" t="s">
        <v>187</v>
      </c>
      <c r="D65" s="97"/>
      <c r="E65" s="215">
        <f>F65-G65</f>
        <v>0</v>
      </c>
      <c r="F65" s="98">
        <f>VLOOKUP($A65,ハンカン確定注文!$A$9:$P$1022,4,0)</f>
        <v>0</v>
      </c>
      <c r="G65" s="35"/>
    </row>
    <row r="66" spans="1:7">
      <c r="A66" t="str">
        <f t="shared" si="6"/>
        <v>PDU+A40WKZ</v>
      </c>
      <c r="B66" s="53" t="s">
        <v>190</v>
      </c>
      <c r="C66" s="375" t="s">
        <v>172</v>
      </c>
      <c r="D66" s="97"/>
      <c r="E66" s="209">
        <f>F66-G66</f>
        <v>0</v>
      </c>
      <c r="F66" s="98">
        <f>VLOOKUP($A66,ハンカン確定注文!$A$9:$P$1022,4,0)</f>
        <v>0</v>
      </c>
      <c r="G66" s="35"/>
    </row>
    <row r="67" spans="1:7">
      <c r="A67" t="str">
        <f t="shared" si="6"/>
        <v>PDU+A50AKZ</v>
      </c>
      <c r="B67" s="53" t="s">
        <v>174</v>
      </c>
      <c r="C67" s="375" t="s">
        <v>172</v>
      </c>
      <c r="D67" s="97"/>
      <c r="E67" s="213">
        <f>F67-G67</f>
        <v>0</v>
      </c>
      <c r="F67" s="98">
        <f>VLOOKUP($A67,ハンカン確定注文!$A$9:$P$1022,4,0)</f>
        <v>0</v>
      </c>
      <c r="G67" s="35"/>
    </row>
    <row r="68" spans="1:7">
      <c r="A68" t="str">
        <f t="shared" si="6"/>
        <v>PDU+A50CKZ</v>
      </c>
      <c r="B68" s="53" t="s">
        <v>177</v>
      </c>
      <c r="C68" s="375" t="s">
        <v>172</v>
      </c>
      <c r="D68" s="97"/>
      <c r="E68" s="213">
        <f t="shared" ref="E68:E70" si="10">F68-G68</f>
        <v>0</v>
      </c>
      <c r="F68" s="98">
        <f>VLOOKUP($A68,ハンカン確定注文!$A$9:$P$1022,4,0)</f>
        <v>0</v>
      </c>
      <c r="G68" s="35"/>
    </row>
    <row r="69" spans="1:7">
      <c r="A69" t="str">
        <f t="shared" si="6"/>
        <v>PDU+A50RKX</v>
      </c>
      <c r="B69" s="54" t="s">
        <v>182</v>
      </c>
      <c r="C69" s="376" t="s">
        <v>180</v>
      </c>
      <c r="D69" s="97"/>
      <c r="E69" s="213">
        <f t="shared" si="10"/>
        <v>0</v>
      </c>
      <c r="F69" s="98">
        <f>VLOOKUP($A69,ハンカン確定注文!$A$9:$P$1022,4,0)</f>
        <v>0</v>
      </c>
      <c r="G69" s="35"/>
    </row>
    <row r="70" spans="1:7">
      <c r="A70" t="str">
        <f t="shared" si="6"/>
        <v>PDU+A50SKZ</v>
      </c>
      <c r="B70" s="53" t="s">
        <v>185</v>
      </c>
      <c r="C70" s="375" t="s">
        <v>172</v>
      </c>
      <c r="D70" s="97"/>
      <c r="E70" s="213">
        <f t="shared" si="10"/>
        <v>0</v>
      </c>
      <c r="F70" s="98">
        <f>VLOOKUP($A70,ハンカン確定注文!$A$9:$P$1022,4,0)</f>
        <v>0</v>
      </c>
      <c r="G70" s="35"/>
    </row>
    <row r="71" spans="1:7">
      <c r="A71" t="str">
        <f t="shared" si="6"/>
        <v>PDU+A50UKY</v>
      </c>
      <c r="B71" s="54" t="s">
        <v>189</v>
      </c>
      <c r="C71" s="376" t="s">
        <v>187</v>
      </c>
      <c r="D71" s="97"/>
      <c r="E71" s="216">
        <f t="shared" ref="E71:E78" si="11">F71-G71</f>
        <v>0</v>
      </c>
      <c r="F71" s="98">
        <f>VLOOKUP($A71,ハンカン確定注文!$A$9:$P$1022,4,0)</f>
        <v>0</v>
      </c>
      <c r="G71" s="35"/>
    </row>
    <row r="72" spans="1:7">
      <c r="A72" t="str">
        <f t="shared" si="6"/>
        <v>PDU+A50WKZ</v>
      </c>
      <c r="B72" s="296" t="s">
        <v>191</v>
      </c>
      <c r="C72" s="378" t="s">
        <v>172</v>
      </c>
      <c r="D72" s="99"/>
      <c r="E72" s="294">
        <f t="shared" si="11"/>
        <v>0</v>
      </c>
      <c r="F72" s="98">
        <f>VLOOKUP($A72,ハンカン確定注文!$A$9:$P$1022,4,0)</f>
        <v>0</v>
      </c>
      <c r="G72" s="35"/>
    </row>
    <row r="73" spans="1:7">
      <c r="A73" t="str">
        <f t="shared" si="6"/>
        <v>PDZ+A30UKY</v>
      </c>
      <c r="B73" s="295" t="s">
        <v>192</v>
      </c>
      <c r="C73" s="379" t="s">
        <v>187</v>
      </c>
      <c r="D73" s="99"/>
      <c r="E73" s="364">
        <f t="shared" si="11"/>
        <v>0</v>
      </c>
      <c r="F73" s="98">
        <f>VLOOKUP($A73,ハンカン確定注文!$A$9:$P$1022,4,0)</f>
        <v>0</v>
      </c>
      <c r="G73" s="35"/>
    </row>
    <row r="74" spans="1:7">
      <c r="A74" t="str">
        <f t="shared" si="6"/>
        <v>PDZ+A40CKZ</v>
      </c>
      <c r="B74" s="293" t="s">
        <v>193</v>
      </c>
      <c r="C74" s="380" t="s">
        <v>172</v>
      </c>
      <c r="D74" s="99"/>
      <c r="E74" s="365">
        <f t="shared" si="11"/>
        <v>0</v>
      </c>
      <c r="F74" s="98">
        <f>VLOOKUP($A74,ハンカン確定注文!$A$9:$P$1022,4,0)</f>
        <v>0</v>
      </c>
      <c r="G74" s="35"/>
    </row>
    <row r="75" spans="1:7">
      <c r="A75" t="str">
        <f t="shared" si="6"/>
        <v>PDZ+A40UKY</v>
      </c>
      <c r="B75" s="293" t="s">
        <v>194</v>
      </c>
      <c r="C75" s="380" t="s">
        <v>187</v>
      </c>
      <c r="D75" s="99"/>
      <c r="E75" s="366">
        <f t="shared" si="11"/>
        <v>0</v>
      </c>
      <c r="F75" s="98">
        <f>VLOOKUP($A75,ハンカン確定注文!$A$9:$P$1022,4,0)</f>
        <v>0</v>
      </c>
      <c r="G75" s="35"/>
    </row>
    <row r="76" spans="1:7">
      <c r="A76" t="str">
        <f t="shared" si="6"/>
        <v>PDZ+A50CKZ</v>
      </c>
      <c r="B76" s="293" t="s">
        <v>195</v>
      </c>
      <c r="C76" s="380" t="s">
        <v>172</v>
      </c>
      <c r="D76" s="99"/>
      <c r="E76" s="361">
        <f t="shared" si="11"/>
        <v>0</v>
      </c>
      <c r="F76" s="98">
        <f>VLOOKUP($A76,ハンカン確定注文!$A$9:$P$1022,4,0)</f>
        <v>0</v>
      </c>
      <c r="G76" s="35"/>
    </row>
    <row r="77" spans="1:7" ht="19.5" customHeight="1" thickBot="1">
      <c r="A77" t="str">
        <f t="shared" si="6"/>
        <v>PDZ+A50UKY</v>
      </c>
      <c r="B77" s="293" t="s">
        <v>196</v>
      </c>
      <c r="C77" s="380" t="s">
        <v>187</v>
      </c>
      <c r="D77" s="301"/>
      <c r="E77" s="363">
        <f t="shared" si="11"/>
        <v>0</v>
      </c>
      <c r="F77" s="98">
        <f>VLOOKUP($A77,ハンカン確定注文!$A$9:$P$1022,4,0)</f>
        <v>0</v>
      </c>
      <c r="G77" s="40"/>
    </row>
    <row r="78" spans="1:7">
      <c r="A78" t="str">
        <f t="shared" si="6"/>
        <v>PIE+A40RKX</v>
      </c>
      <c r="B78" s="302" t="s">
        <v>146</v>
      </c>
      <c r="C78" s="381" t="s">
        <v>180</v>
      </c>
      <c r="D78" s="303"/>
      <c r="E78" s="362">
        <f t="shared" si="11"/>
        <v>0</v>
      </c>
      <c r="F78" s="98">
        <f>VLOOKUP($A78,ハンカン確定注文!$A$9:$P$1022,4,0)</f>
        <v>0</v>
      </c>
      <c r="G78" s="304"/>
    </row>
    <row r="79" spans="1:7">
      <c r="A79" t="str">
        <f t="shared" si="6"/>
        <v>PIE+A50CKZ</v>
      </c>
      <c r="B79" s="57" t="s">
        <v>148</v>
      </c>
      <c r="C79" s="382" t="s">
        <v>172</v>
      </c>
      <c r="D79" s="99"/>
      <c r="E79" s="362">
        <f t="shared" ref="E79:E84" si="12">F79-G79</f>
        <v>0</v>
      </c>
      <c r="F79" s="98">
        <f>VLOOKUP($A79,ハンカン確定注文!$A$9:$P$1022,4,0)</f>
        <v>0</v>
      </c>
      <c r="G79" s="35"/>
    </row>
    <row r="80" spans="1:7">
      <c r="A80" t="str">
        <f t="shared" si="6"/>
        <v>PIE+A50RKX</v>
      </c>
      <c r="B80" s="56" t="s">
        <v>150</v>
      </c>
      <c r="C80" s="383" t="s">
        <v>180</v>
      </c>
      <c r="D80" s="99"/>
      <c r="E80" s="362">
        <f t="shared" si="12"/>
        <v>0</v>
      </c>
      <c r="F80" s="98">
        <f>VLOOKUP($A80,ハンカン確定注文!$A$9:$P$1022,4,0)</f>
        <v>0</v>
      </c>
      <c r="G80" s="35"/>
    </row>
    <row r="81" spans="1:7">
      <c r="A81" t="str">
        <f t="shared" si="6"/>
        <v>PIG+A30CKZ</v>
      </c>
      <c r="B81" s="57" t="s">
        <v>152</v>
      </c>
      <c r="C81" s="382" t="s">
        <v>172</v>
      </c>
      <c r="D81" s="99"/>
      <c r="E81" s="362">
        <f t="shared" si="12"/>
        <v>0</v>
      </c>
      <c r="F81" s="98">
        <f>VLOOKUP($A81,ハンカン確定注文!$A$9:$P$1022,4,0)</f>
        <v>0</v>
      </c>
      <c r="G81" s="35"/>
    </row>
    <row r="82" spans="1:7">
      <c r="A82" t="str">
        <f t="shared" si="6"/>
        <v>PIG+A30RKX</v>
      </c>
      <c r="B82" s="58" t="s">
        <v>154</v>
      </c>
      <c r="C82" s="384" t="s">
        <v>180</v>
      </c>
      <c r="D82" s="100"/>
      <c r="E82" s="362">
        <f t="shared" si="12"/>
        <v>0</v>
      </c>
      <c r="F82" s="98">
        <f>VLOOKUP($A82,ハンカン確定注文!$A$9:$P$1022,4,0)</f>
        <v>0</v>
      </c>
      <c r="G82" s="35"/>
    </row>
    <row r="83" spans="1:7">
      <c r="A83" t="str">
        <f t="shared" si="6"/>
        <v>PIG+A40CKZ</v>
      </c>
      <c r="B83" s="59" t="s">
        <v>157</v>
      </c>
      <c r="C83" s="385" t="s">
        <v>172</v>
      </c>
      <c r="D83" s="100"/>
      <c r="E83" s="362">
        <f t="shared" si="12"/>
        <v>0</v>
      </c>
      <c r="F83" s="98">
        <f>VLOOKUP($A83,ハンカン確定注文!$A$9:$P$1022,4,0)</f>
        <v>0</v>
      </c>
      <c r="G83" s="35"/>
    </row>
    <row r="84" spans="1:7" ht="19.5" customHeight="1" thickBot="1">
      <c r="A84" t="str">
        <f t="shared" si="6"/>
        <v>PIG+A40RKX</v>
      </c>
      <c r="B84" s="298" t="s">
        <v>159</v>
      </c>
      <c r="C84" s="386" t="s">
        <v>180</v>
      </c>
      <c r="D84" s="299"/>
      <c r="E84" s="362">
        <f t="shared" si="12"/>
        <v>0</v>
      </c>
      <c r="F84" s="98">
        <f>VLOOKUP($A84,ハンカン確定注文!$A$9:$P$1022,4,0)</f>
        <v>0</v>
      </c>
      <c r="G84" s="300"/>
    </row>
    <row r="85" spans="1:7">
      <c r="A85" t="str">
        <f t="shared" si="6"/>
        <v>PVW+B30CCUZ</v>
      </c>
      <c r="B85" s="60" t="s">
        <v>197</v>
      </c>
      <c r="C85" s="387" t="s">
        <v>198</v>
      </c>
      <c r="D85" s="297"/>
      <c r="E85" s="367">
        <f>F85-G85</f>
        <v>0</v>
      </c>
      <c r="F85" s="98">
        <f>VLOOKUP($A85,ハンカン確定注文!$A$9:$P$1022,4,0)</f>
        <v>0</v>
      </c>
      <c r="G85" s="46"/>
    </row>
    <row r="86" spans="1:7">
      <c r="A86" t="str">
        <f t="shared" si="6"/>
        <v>PVW+B30RCUX</v>
      </c>
      <c r="B86" s="61" t="s">
        <v>199</v>
      </c>
      <c r="C86" s="388" t="s">
        <v>200</v>
      </c>
      <c r="D86" s="101"/>
      <c r="E86" s="211">
        <f>F86-G86</f>
        <v>0</v>
      </c>
      <c r="F86" s="98">
        <f>VLOOKUP($A86,ハンカン確定注文!$A$9:$P$1022,4,0)</f>
        <v>0</v>
      </c>
      <c r="G86" s="35"/>
    </row>
    <row r="87" spans="1:7">
      <c r="A87" t="str">
        <f t="shared" si="6"/>
        <v>PVW+B30SCUZ</v>
      </c>
      <c r="B87" s="59" t="s">
        <v>201</v>
      </c>
      <c r="C87" s="385" t="s">
        <v>198</v>
      </c>
      <c r="D87" s="100"/>
      <c r="E87" s="211">
        <f>F87-G87</f>
        <v>0</v>
      </c>
      <c r="F87" s="98">
        <f>VLOOKUP($A87,ハンカン確定注文!$A$9:$P$1022,4,0)</f>
        <v>0</v>
      </c>
      <c r="G87" s="35"/>
    </row>
    <row r="88" spans="1:7" ht="19.5" customHeight="1" thickBot="1">
      <c r="A88" t="str">
        <f t="shared" si="6"/>
        <v>PVW+B30WCUZ</v>
      </c>
      <c r="B88" s="62" t="s">
        <v>202</v>
      </c>
      <c r="C88" s="389" t="s">
        <v>198</v>
      </c>
      <c r="D88" s="102"/>
      <c r="E88" s="212">
        <f>F88-G88</f>
        <v>0</v>
      </c>
      <c r="F88" s="98">
        <f>VLOOKUP($A88,ハンカン確定注文!$A$9:$P$1022,4,0)</f>
        <v>0</v>
      </c>
      <c r="G88" s="40"/>
    </row>
  </sheetData>
  <autoFilter ref="A11:V88" xr:uid="{00000000-0009-0000-0000-000004000000}"/>
  <mergeCells count="9">
    <mergeCell ref="S2:T2"/>
    <mergeCell ref="C6:D6"/>
    <mergeCell ref="C2:D2"/>
    <mergeCell ref="S5:T5"/>
    <mergeCell ref="C5:D5"/>
    <mergeCell ref="C3:D3"/>
    <mergeCell ref="S3:T3"/>
    <mergeCell ref="S4:T4"/>
    <mergeCell ref="C4:D4"/>
  </mergeCells>
  <phoneticPr fontId="3"/>
  <conditionalFormatting sqref="B12:D35 N12:R35 W12:W35">
    <cfRule type="expression" dxfId="13" priority="48">
      <formula>$P12=0</formula>
    </cfRule>
  </conditionalFormatting>
  <conditionalFormatting sqref="E12:M35">
    <cfRule type="expression" dxfId="12" priority="36">
      <formula>$D12=0</formula>
    </cfRule>
    <cfRule type="expression" dxfId="11" priority="36">
      <formula>$D12=""</formula>
    </cfRule>
    <cfRule type="expression" dxfId="10" priority="37">
      <formula>$R12&lt;-1</formula>
    </cfRule>
  </conditionalFormatting>
  <conditionalFormatting sqref="E38:M46">
    <cfRule type="expression" dxfId="9" priority="21">
      <formula>$D38=0</formula>
    </cfRule>
    <cfRule type="expression" dxfId="8" priority="22">
      <formula>$R38&lt;-1</formula>
    </cfRule>
  </conditionalFormatting>
  <conditionalFormatting sqref="O11:S11 B11:D35 N12:R35 W11:W35">
    <cfRule type="expression" dxfId="7" priority="45">
      <formula>$R11&lt;-1</formula>
    </cfRule>
  </conditionalFormatting>
  <conditionalFormatting sqref="Q37:V37">
    <cfRule type="expression" dxfId="6" priority="38">
      <formula>$R37&lt;-1</formula>
    </cfRule>
  </conditionalFormatting>
  <conditionalFormatting sqref="T13">
    <cfRule type="expression" dxfId="5" priority="24">
      <formula>$R13&lt;-1</formula>
    </cfRule>
    <cfRule type="expression" dxfId="4" priority="25">
      <formula>$P13=0</formula>
    </cfRule>
  </conditionalFormatting>
  <conditionalFormatting sqref="X12:X35">
    <cfRule type="expression" dxfId="3" priority="4">
      <formula>$P12=0</formula>
    </cfRule>
  </conditionalFormatting>
  <conditionalFormatting sqref="X11:X35">
    <cfRule type="expression" dxfId="2" priority="3">
      <formula>$R11&lt;-1</formula>
    </cfRule>
  </conditionalFormatting>
  <conditionalFormatting sqref="Z12:Z35">
    <cfRule type="expression" dxfId="1" priority="2">
      <formula>$P12=0</formula>
    </cfRule>
  </conditionalFormatting>
  <conditionalFormatting sqref="Z11:Z35">
    <cfRule type="expression" dxfId="0" priority="1">
      <formula>$R11&lt;-1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163"/>
  <sheetViews>
    <sheetView workbookViewId="0">
      <pane ySplit="1" topLeftCell="A2" activePane="bottomLeft" state="frozen"/>
      <selection pane="bottomLeft" activeCell="J15" sqref="J15"/>
    </sheetView>
  </sheetViews>
  <sheetFormatPr defaultRowHeight="18.75"/>
  <cols>
    <col min="1" max="1" width="16.5" style="129" bestFit="1" customWidth="1"/>
    <col min="3" max="3" width="20.875" style="29" customWidth="1"/>
    <col min="4" max="4" width="5.25" style="17" customWidth="1"/>
    <col min="5" max="5" width="15.375" style="17" customWidth="1"/>
    <col min="6" max="6" width="13.25" style="129" customWidth="1"/>
    <col min="7" max="7" width="24.625" style="129" customWidth="1"/>
    <col min="8" max="8" width="15" style="129" bestFit="1" customWidth="1"/>
    <col min="9" max="9" width="19.125" style="129" bestFit="1" customWidth="1"/>
    <col min="10" max="10" width="19.125" style="129" customWidth="1"/>
    <col min="11" max="11" width="33.375" style="129" bestFit="1" customWidth="1"/>
  </cols>
  <sheetData>
    <row r="1" spans="1:11">
      <c r="B1" s="18" t="s">
        <v>307</v>
      </c>
      <c r="C1" s="23" t="s">
        <v>274</v>
      </c>
      <c r="D1" s="18" t="s">
        <v>37</v>
      </c>
      <c r="E1" s="18" t="s">
        <v>308</v>
      </c>
      <c r="F1" s="18" t="s">
        <v>309</v>
      </c>
      <c r="G1" s="18" t="s">
        <v>41</v>
      </c>
      <c r="H1" s="18" t="s">
        <v>310</v>
      </c>
      <c r="I1" s="18" t="s">
        <v>311</v>
      </c>
      <c r="J1" s="18" t="s">
        <v>312</v>
      </c>
      <c r="K1" s="18" t="s">
        <v>313</v>
      </c>
    </row>
    <row r="2" spans="1:11">
      <c r="A2" t="str">
        <f t="shared" ref="A2:A41" si="0">C2&amp;D2</f>
        <v>PDR+S30RCX</v>
      </c>
      <c r="B2" t="s">
        <v>314</v>
      </c>
      <c r="C2" s="24" t="s">
        <v>162</v>
      </c>
      <c r="D2" s="19" t="s">
        <v>163</v>
      </c>
      <c r="E2" s="19" t="s">
        <v>315</v>
      </c>
      <c r="F2" s="32" t="s">
        <v>316</v>
      </c>
      <c r="G2" s="30" t="s">
        <v>317</v>
      </c>
      <c r="H2" s="30"/>
      <c r="I2" s="30"/>
      <c r="J2" s="30"/>
    </row>
    <row r="3" spans="1:11">
      <c r="A3" t="str">
        <f t="shared" si="0"/>
        <v>PDR+S30RWUX</v>
      </c>
      <c r="B3" t="s">
        <v>314</v>
      </c>
      <c r="C3" s="24" t="s">
        <v>162</v>
      </c>
      <c r="D3" s="19" t="s">
        <v>164</v>
      </c>
      <c r="E3" s="19" t="s">
        <v>318</v>
      </c>
      <c r="F3" s="32"/>
      <c r="G3" s="30" t="s">
        <v>319</v>
      </c>
      <c r="H3" s="30"/>
      <c r="I3" s="30"/>
      <c r="J3" s="30"/>
    </row>
    <row r="4" spans="1:11">
      <c r="A4" t="str">
        <f t="shared" si="0"/>
        <v>PDR+S30SCZ</v>
      </c>
      <c r="B4" t="s">
        <v>314</v>
      </c>
      <c r="C4" s="24" t="s">
        <v>166</v>
      </c>
      <c r="D4" s="19" t="s">
        <v>167</v>
      </c>
      <c r="E4" s="19" t="s">
        <v>320</v>
      </c>
      <c r="F4" s="32" t="s">
        <v>321</v>
      </c>
      <c r="G4" s="30" t="s">
        <v>322</v>
      </c>
      <c r="H4" s="30"/>
      <c r="I4" s="30"/>
      <c r="J4" s="30"/>
    </row>
    <row r="5" spans="1:11">
      <c r="A5" t="str">
        <f t="shared" si="0"/>
        <v>PDR+S30WCZ</v>
      </c>
      <c r="B5" t="s">
        <v>314</v>
      </c>
      <c r="C5" s="24" t="s">
        <v>169</v>
      </c>
      <c r="D5" s="19" t="s">
        <v>167</v>
      </c>
      <c r="E5" s="19" t="s">
        <v>323</v>
      </c>
      <c r="F5" s="32" t="s">
        <v>324</v>
      </c>
      <c r="G5" s="30" t="s">
        <v>325</v>
      </c>
      <c r="H5" s="30"/>
      <c r="I5" s="30"/>
      <c r="J5" s="30"/>
    </row>
    <row r="6" spans="1:11">
      <c r="A6" t="str">
        <f t="shared" si="0"/>
        <v>PDR+S40RCX</v>
      </c>
      <c r="B6" t="s">
        <v>314</v>
      </c>
      <c r="C6" s="24" t="s">
        <v>165</v>
      </c>
      <c r="D6" s="19" t="s">
        <v>163</v>
      </c>
      <c r="E6" s="19" t="s">
        <v>326</v>
      </c>
      <c r="F6" s="32" t="s">
        <v>327</v>
      </c>
      <c r="G6" s="30" t="s">
        <v>328</v>
      </c>
      <c r="H6" s="30"/>
      <c r="I6" s="30"/>
      <c r="J6" s="30"/>
    </row>
    <row r="7" spans="1:11">
      <c r="A7" t="str">
        <f t="shared" si="0"/>
        <v>PDR+S40SCZ</v>
      </c>
      <c r="B7" t="s">
        <v>314</v>
      </c>
      <c r="C7" s="24" t="s">
        <v>168</v>
      </c>
      <c r="D7" s="19" t="s">
        <v>167</v>
      </c>
      <c r="E7" s="19" t="s">
        <v>329</v>
      </c>
      <c r="F7" s="32" t="s">
        <v>330</v>
      </c>
      <c r="G7" s="30" t="s">
        <v>331</v>
      </c>
      <c r="H7" s="30"/>
      <c r="I7" s="30"/>
      <c r="J7" s="30"/>
    </row>
    <row r="8" spans="1:11">
      <c r="A8" t="str">
        <f t="shared" si="0"/>
        <v>PDR+S40WCZ</v>
      </c>
      <c r="B8" t="s">
        <v>314</v>
      </c>
      <c r="C8" s="24" t="s">
        <v>170</v>
      </c>
      <c r="D8" s="19" t="s">
        <v>167</v>
      </c>
      <c r="E8" s="19" t="s">
        <v>332</v>
      </c>
      <c r="F8" s="32" t="s">
        <v>333</v>
      </c>
      <c r="G8" s="30" t="s">
        <v>334</v>
      </c>
      <c r="H8" s="30"/>
      <c r="I8" s="30"/>
      <c r="J8" s="30"/>
    </row>
    <row r="9" spans="1:11">
      <c r="A9" t="str">
        <f t="shared" si="0"/>
        <v>PDU+A30AKZ</v>
      </c>
      <c r="B9" t="s">
        <v>314</v>
      </c>
      <c r="C9" s="24" t="s">
        <v>171</v>
      </c>
      <c r="D9" s="19" t="s">
        <v>172</v>
      </c>
      <c r="E9" s="19" t="s">
        <v>335</v>
      </c>
      <c r="F9" s="32" t="s">
        <v>336</v>
      </c>
      <c r="G9" s="30" t="s">
        <v>337</v>
      </c>
      <c r="H9" s="30"/>
      <c r="I9" s="30"/>
      <c r="J9" s="30"/>
    </row>
    <row r="10" spans="1:11">
      <c r="A10" t="str">
        <f t="shared" si="0"/>
        <v>PDU+A30CKZ</v>
      </c>
      <c r="B10" t="s">
        <v>314</v>
      </c>
      <c r="C10" s="24" t="s">
        <v>175</v>
      </c>
      <c r="D10" s="19" t="s">
        <v>172</v>
      </c>
      <c r="E10" s="19" t="s">
        <v>338</v>
      </c>
      <c r="F10" s="32" t="s">
        <v>339</v>
      </c>
      <c r="G10" s="30" t="s">
        <v>340</v>
      </c>
      <c r="H10" s="30"/>
      <c r="I10" s="30"/>
      <c r="J10" s="30"/>
    </row>
    <row r="11" spans="1:11">
      <c r="A11" t="str">
        <f t="shared" si="0"/>
        <v>PDU+A30RKX</v>
      </c>
      <c r="B11" t="s">
        <v>314</v>
      </c>
      <c r="C11" s="24" t="s">
        <v>179</v>
      </c>
      <c r="D11" s="19" t="s">
        <v>180</v>
      </c>
      <c r="E11" s="19" t="s">
        <v>341</v>
      </c>
      <c r="F11" s="32" t="s">
        <v>342</v>
      </c>
      <c r="G11" s="30" t="s">
        <v>343</v>
      </c>
      <c r="H11" s="30"/>
      <c r="I11" s="30"/>
      <c r="J11" s="30"/>
    </row>
    <row r="12" spans="1:11">
      <c r="A12" t="str">
        <f t="shared" si="0"/>
        <v>PDU+A30SKZ</v>
      </c>
      <c r="B12" t="s">
        <v>314</v>
      </c>
      <c r="C12" s="24" t="s">
        <v>183</v>
      </c>
      <c r="D12" s="19" t="s">
        <v>172</v>
      </c>
      <c r="E12" s="19" t="s">
        <v>344</v>
      </c>
      <c r="F12" s="32" t="s">
        <v>345</v>
      </c>
      <c r="G12" s="30" t="s">
        <v>346</v>
      </c>
      <c r="H12" s="30"/>
      <c r="I12" s="30"/>
      <c r="J12" s="30"/>
    </row>
    <row r="13" spans="1:11">
      <c r="A13" t="str">
        <f t="shared" si="0"/>
        <v>PDU+A30UKY</v>
      </c>
      <c r="B13" t="s">
        <v>314</v>
      </c>
      <c r="C13" s="24" t="s">
        <v>186</v>
      </c>
      <c r="D13" s="19" t="s">
        <v>187</v>
      </c>
      <c r="E13" s="19" t="s">
        <v>335</v>
      </c>
      <c r="F13" s="32" t="s">
        <v>347</v>
      </c>
      <c r="G13" s="30" t="s">
        <v>348</v>
      </c>
      <c r="H13" s="30"/>
      <c r="I13" s="30"/>
      <c r="J13" s="30"/>
    </row>
    <row r="14" spans="1:11">
      <c r="A14" t="str">
        <f t="shared" si="0"/>
        <v>PDU+A40AKZ</v>
      </c>
      <c r="B14" t="s">
        <v>314</v>
      </c>
      <c r="C14" s="24" t="s">
        <v>173</v>
      </c>
      <c r="D14" s="19" t="s">
        <v>172</v>
      </c>
      <c r="E14" s="19" t="s">
        <v>349</v>
      </c>
      <c r="F14" s="32" t="s">
        <v>350</v>
      </c>
      <c r="G14" s="30" t="s">
        <v>351</v>
      </c>
      <c r="H14" s="30"/>
      <c r="I14" s="30"/>
      <c r="J14" s="30"/>
    </row>
    <row r="15" spans="1:11">
      <c r="A15" t="str">
        <f t="shared" si="0"/>
        <v>PDU+A40CKZ</v>
      </c>
      <c r="B15" t="s">
        <v>314</v>
      </c>
      <c r="C15" s="24" t="s">
        <v>176</v>
      </c>
      <c r="D15" s="19" t="s">
        <v>172</v>
      </c>
      <c r="E15" s="19" t="s">
        <v>352</v>
      </c>
      <c r="F15" s="32" t="s">
        <v>353</v>
      </c>
      <c r="G15" s="30" t="s">
        <v>354</v>
      </c>
      <c r="H15" s="30"/>
      <c r="I15" s="30"/>
      <c r="J15" s="30"/>
    </row>
    <row r="16" spans="1:11">
      <c r="A16" t="str">
        <f t="shared" si="0"/>
        <v>PDU+A40RKX</v>
      </c>
      <c r="B16" t="s">
        <v>314</v>
      </c>
      <c r="C16" s="24" t="s">
        <v>181</v>
      </c>
      <c r="D16" s="19" t="s">
        <v>180</v>
      </c>
      <c r="E16" s="19" t="s">
        <v>355</v>
      </c>
      <c r="F16" s="32" t="s">
        <v>356</v>
      </c>
      <c r="G16" s="30" t="s">
        <v>357</v>
      </c>
      <c r="H16" s="30"/>
      <c r="I16" s="30"/>
      <c r="J16" s="30"/>
    </row>
    <row r="17" spans="1:10">
      <c r="A17" t="str">
        <f t="shared" si="0"/>
        <v>PDU+A40SKZ</v>
      </c>
      <c r="B17" t="s">
        <v>314</v>
      </c>
      <c r="C17" s="24" t="s">
        <v>184</v>
      </c>
      <c r="D17" s="19" t="s">
        <v>172</v>
      </c>
      <c r="E17" s="19" t="s">
        <v>358</v>
      </c>
      <c r="F17" s="32" t="s">
        <v>359</v>
      </c>
      <c r="G17" s="30" t="s">
        <v>360</v>
      </c>
      <c r="H17" s="30"/>
      <c r="I17" s="30"/>
      <c r="J17" s="30"/>
    </row>
    <row r="18" spans="1:10">
      <c r="A18" t="str">
        <f t="shared" si="0"/>
        <v>PDU+A40UKY</v>
      </c>
      <c r="B18" t="s">
        <v>314</v>
      </c>
      <c r="C18" s="24" t="s">
        <v>188</v>
      </c>
      <c r="D18" s="19" t="s">
        <v>187</v>
      </c>
      <c r="E18" s="19" t="s">
        <v>361</v>
      </c>
      <c r="F18" s="32" t="s">
        <v>362</v>
      </c>
      <c r="G18" s="30" t="s">
        <v>363</v>
      </c>
      <c r="H18" s="30"/>
      <c r="I18" s="30"/>
      <c r="J18" s="30"/>
    </row>
    <row r="19" spans="1:10">
      <c r="A19" t="str">
        <f t="shared" si="0"/>
        <v>PDU+A40WKZ</v>
      </c>
      <c r="B19" t="s">
        <v>314</v>
      </c>
      <c r="C19" s="24" t="s">
        <v>190</v>
      </c>
      <c r="D19" s="19" t="s">
        <v>172</v>
      </c>
      <c r="E19" s="19" t="s">
        <v>364</v>
      </c>
      <c r="F19" s="32" t="s">
        <v>365</v>
      </c>
      <c r="G19" s="30" t="s">
        <v>366</v>
      </c>
      <c r="H19" s="30"/>
      <c r="I19" s="30"/>
      <c r="J19" s="30"/>
    </row>
    <row r="20" spans="1:10">
      <c r="A20" t="str">
        <f t="shared" si="0"/>
        <v>PDU+A50AKZ</v>
      </c>
      <c r="B20" t="s">
        <v>314</v>
      </c>
      <c r="C20" s="24" t="s">
        <v>174</v>
      </c>
      <c r="D20" s="19" t="s">
        <v>172</v>
      </c>
      <c r="E20" s="19" t="s">
        <v>367</v>
      </c>
      <c r="F20" s="32" t="s">
        <v>368</v>
      </c>
      <c r="G20" s="30" t="s">
        <v>369</v>
      </c>
      <c r="H20" s="30"/>
      <c r="I20" s="30"/>
      <c r="J20" s="30"/>
    </row>
    <row r="21" spans="1:10">
      <c r="A21" t="str">
        <f t="shared" si="0"/>
        <v>PDU+A50CKZ</v>
      </c>
      <c r="B21" t="s">
        <v>314</v>
      </c>
      <c r="C21" s="24" t="s">
        <v>177</v>
      </c>
      <c r="D21" s="19" t="s">
        <v>172</v>
      </c>
      <c r="E21" s="19" t="s">
        <v>370</v>
      </c>
      <c r="F21" s="32" t="s">
        <v>371</v>
      </c>
      <c r="G21" s="30" t="s">
        <v>372</v>
      </c>
      <c r="H21" s="30"/>
      <c r="I21" s="30"/>
      <c r="J21" s="30"/>
    </row>
    <row r="22" spans="1:10">
      <c r="A22" t="str">
        <f t="shared" si="0"/>
        <v>PDU+A50RKX</v>
      </c>
      <c r="B22" t="s">
        <v>314</v>
      </c>
      <c r="C22" s="24" t="s">
        <v>182</v>
      </c>
      <c r="D22" s="19" t="s">
        <v>180</v>
      </c>
      <c r="E22" s="19" t="s">
        <v>373</v>
      </c>
      <c r="F22" s="32" t="s">
        <v>374</v>
      </c>
      <c r="G22" s="30" t="s">
        <v>375</v>
      </c>
      <c r="H22" s="30"/>
      <c r="I22" s="30"/>
      <c r="J22" s="30"/>
    </row>
    <row r="23" spans="1:10">
      <c r="A23" t="str">
        <f t="shared" si="0"/>
        <v>PDU+A50SKZ</v>
      </c>
      <c r="B23" t="s">
        <v>314</v>
      </c>
      <c r="C23" s="24" t="s">
        <v>185</v>
      </c>
      <c r="D23" s="19" t="s">
        <v>172</v>
      </c>
      <c r="E23" s="19" t="s">
        <v>376</v>
      </c>
      <c r="F23" s="32" t="s">
        <v>377</v>
      </c>
      <c r="G23" s="30" t="s">
        <v>378</v>
      </c>
      <c r="H23" s="30"/>
      <c r="I23" s="30"/>
      <c r="J23" s="30"/>
    </row>
    <row r="24" spans="1:10">
      <c r="A24" t="str">
        <f t="shared" si="0"/>
        <v>PDU+A50UKY</v>
      </c>
      <c r="B24" t="s">
        <v>314</v>
      </c>
      <c r="C24" s="24" t="s">
        <v>189</v>
      </c>
      <c r="D24" s="19" t="s">
        <v>187</v>
      </c>
      <c r="E24" s="19" t="s">
        <v>379</v>
      </c>
      <c r="F24" s="32" t="s">
        <v>380</v>
      </c>
      <c r="G24" s="30" t="s">
        <v>381</v>
      </c>
      <c r="H24" s="30"/>
      <c r="I24" s="30"/>
      <c r="J24" s="30"/>
    </row>
    <row r="25" spans="1:10">
      <c r="A25" t="str">
        <f t="shared" si="0"/>
        <v>PDU+A50WKZ</v>
      </c>
      <c r="B25" t="s">
        <v>314</v>
      </c>
      <c r="C25" s="25" t="s">
        <v>191</v>
      </c>
      <c r="D25" s="20" t="s">
        <v>172</v>
      </c>
      <c r="E25" s="20" t="s">
        <v>382</v>
      </c>
      <c r="F25" s="32" t="s">
        <v>383</v>
      </c>
      <c r="G25" s="30" t="s">
        <v>384</v>
      </c>
      <c r="H25" s="30"/>
      <c r="I25" s="30"/>
      <c r="J25" s="30"/>
    </row>
    <row r="26" spans="1:10">
      <c r="A26" t="str">
        <f t="shared" si="0"/>
        <v>PIE+A40RKX</v>
      </c>
      <c r="B26" t="s">
        <v>314</v>
      </c>
      <c r="C26" s="25" t="s">
        <v>146</v>
      </c>
      <c r="D26" s="20" t="s">
        <v>180</v>
      </c>
      <c r="E26" s="20" t="s">
        <v>385</v>
      </c>
      <c r="F26" s="32" t="s">
        <v>386</v>
      </c>
      <c r="G26" t="s">
        <v>147</v>
      </c>
      <c r="H26" s="30"/>
      <c r="I26" s="30"/>
      <c r="J26" s="30"/>
    </row>
    <row r="27" spans="1:10">
      <c r="A27" t="str">
        <f t="shared" si="0"/>
        <v>PIE+A50CKZ</v>
      </c>
      <c r="B27" t="s">
        <v>314</v>
      </c>
      <c r="C27" s="25" t="s">
        <v>148</v>
      </c>
      <c r="D27" s="20" t="s">
        <v>172</v>
      </c>
      <c r="E27" s="20" t="s">
        <v>387</v>
      </c>
      <c r="F27" s="32" t="s">
        <v>388</v>
      </c>
      <c r="G27" t="s">
        <v>149</v>
      </c>
      <c r="H27" s="30"/>
      <c r="I27" s="30"/>
      <c r="J27" s="30"/>
    </row>
    <row r="28" spans="1:10">
      <c r="A28" t="str">
        <f t="shared" si="0"/>
        <v>PIE+A50RKX</v>
      </c>
      <c r="B28" t="s">
        <v>314</v>
      </c>
      <c r="C28" s="25" t="s">
        <v>150</v>
      </c>
      <c r="D28" s="20" t="s">
        <v>180</v>
      </c>
      <c r="E28" s="20" t="s">
        <v>389</v>
      </c>
      <c r="F28" s="32" t="s">
        <v>390</v>
      </c>
      <c r="G28" t="s">
        <v>151</v>
      </c>
      <c r="H28" s="30"/>
      <c r="I28" s="30"/>
      <c r="J28" s="30"/>
    </row>
    <row r="29" spans="1:10">
      <c r="A29" t="str">
        <f t="shared" si="0"/>
        <v>PIG+A30CKZ</v>
      </c>
      <c r="B29" t="s">
        <v>314</v>
      </c>
      <c r="C29" s="25" t="s">
        <v>152</v>
      </c>
      <c r="D29" s="20" t="s">
        <v>172</v>
      </c>
      <c r="E29" s="20" t="s">
        <v>391</v>
      </c>
      <c r="F29" s="32" t="s">
        <v>392</v>
      </c>
      <c r="G29" t="s">
        <v>153</v>
      </c>
      <c r="H29" s="30"/>
      <c r="I29" s="30"/>
      <c r="J29" s="30"/>
    </row>
    <row r="30" spans="1:10">
      <c r="A30" t="str">
        <f t="shared" si="0"/>
        <v>PIG+A30RKX</v>
      </c>
      <c r="B30" t="s">
        <v>314</v>
      </c>
      <c r="C30" s="26" t="s">
        <v>154</v>
      </c>
      <c r="D30" s="21" t="s">
        <v>180</v>
      </c>
      <c r="E30" s="21" t="s">
        <v>393</v>
      </c>
      <c r="F30" s="32" t="s">
        <v>386</v>
      </c>
      <c r="G30" t="s">
        <v>155</v>
      </c>
      <c r="H30" s="30"/>
      <c r="I30" s="30"/>
      <c r="J30" s="30"/>
    </row>
    <row r="31" spans="1:10">
      <c r="A31" t="str">
        <f t="shared" si="0"/>
        <v>PIG+A40CKZ</v>
      </c>
      <c r="B31" t="s">
        <v>314</v>
      </c>
      <c r="C31" s="26" t="s">
        <v>157</v>
      </c>
      <c r="D31" s="21" t="s">
        <v>172</v>
      </c>
      <c r="E31" s="21" t="s">
        <v>394</v>
      </c>
      <c r="F31" s="32" t="s">
        <v>395</v>
      </c>
      <c r="G31" t="s">
        <v>158</v>
      </c>
      <c r="H31" s="30"/>
      <c r="I31" s="30"/>
      <c r="J31" s="30"/>
    </row>
    <row r="32" spans="1:10">
      <c r="A32" t="str">
        <f t="shared" si="0"/>
        <v>PIG+A40RKX</v>
      </c>
      <c r="B32" t="s">
        <v>314</v>
      </c>
      <c r="C32" s="26" t="s">
        <v>159</v>
      </c>
      <c r="D32" s="21" t="s">
        <v>180</v>
      </c>
      <c r="E32" s="21" t="s">
        <v>396</v>
      </c>
      <c r="F32" s="32" t="s">
        <v>397</v>
      </c>
      <c r="G32" t="s">
        <v>160</v>
      </c>
      <c r="H32" s="30"/>
      <c r="I32" s="30"/>
      <c r="J32" s="30"/>
    </row>
    <row r="33" spans="1:10">
      <c r="A33" t="str">
        <f t="shared" si="0"/>
        <v>PVW+B30CCUZ</v>
      </c>
      <c r="B33" t="s">
        <v>314</v>
      </c>
      <c r="C33" s="27" t="s">
        <v>197</v>
      </c>
      <c r="D33" s="22" t="s">
        <v>198</v>
      </c>
      <c r="E33" s="22" t="s">
        <v>398</v>
      </c>
      <c r="F33" s="32" t="s">
        <v>399</v>
      </c>
      <c r="G33" t="s">
        <v>400</v>
      </c>
      <c r="H33" s="30"/>
      <c r="I33" s="30"/>
      <c r="J33" s="30"/>
    </row>
    <row r="34" spans="1:10">
      <c r="A34" t="str">
        <f t="shared" si="0"/>
        <v>PVW+B30RCUX</v>
      </c>
      <c r="B34" t="s">
        <v>314</v>
      </c>
      <c r="C34" s="27" t="s">
        <v>199</v>
      </c>
      <c r="D34" s="22" t="s">
        <v>200</v>
      </c>
      <c r="E34" s="22" t="s">
        <v>401</v>
      </c>
      <c r="F34" s="32" t="s">
        <v>402</v>
      </c>
      <c r="G34" s="30" t="s">
        <v>403</v>
      </c>
      <c r="H34" s="30"/>
      <c r="I34" s="30"/>
      <c r="J34" s="30"/>
    </row>
    <row r="35" spans="1:10">
      <c r="A35" t="str">
        <f t="shared" si="0"/>
        <v>PVW+B30SCUZ</v>
      </c>
      <c r="B35" t="s">
        <v>314</v>
      </c>
      <c r="C35" s="26" t="s">
        <v>201</v>
      </c>
      <c r="D35" s="21" t="s">
        <v>198</v>
      </c>
      <c r="E35" s="21"/>
      <c r="F35" s="32"/>
      <c r="G35" s="30" t="s">
        <v>404</v>
      </c>
      <c r="H35" s="30"/>
      <c r="I35" s="30"/>
      <c r="J35" s="30"/>
    </row>
    <row r="36" spans="1:10">
      <c r="A36" t="str">
        <f t="shared" si="0"/>
        <v>PVW+B30WCUZ</v>
      </c>
      <c r="B36" t="s">
        <v>314</v>
      </c>
      <c r="C36" s="26" t="s">
        <v>202</v>
      </c>
      <c r="D36" s="21" t="s">
        <v>198</v>
      </c>
      <c r="E36" s="21" t="s">
        <v>405</v>
      </c>
      <c r="F36" s="32" t="s">
        <v>406</v>
      </c>
      <c r="G36" s="30" t="s">
        <v>407</v>
      </c>
      <c r="H36" s="30"/>
      <c r="I36" s="30"/>
      <c r="J36" s="30"/>
    </row>
    <row r="37" spans="1:10">
      <c r="A37" t="str">
        <f t="shared" si="0"/>
        <v>PDZ+A30UKY</v>
      </c>
      <c r="B37" t="s">
        <v>314</v>
      </c>
      <c r="C37" s="26" t="s">
        <v>192</v>
      </c>
      <c r="D37" s="21" t="s">
        <v>187</v>
      </c>
      <c r="E37" s="21" t="s">
        <v>408</v>
      </c>
      <c r="F37" s="32"/>
      <c r="G37" s="30" t="s">
        <v>409</v>
      </c>
      <c r="H37" s="30"/>
      <c r="I37" s="30"/>
      <c r="J37" s="30"/>
    </row>
    <row r="38" spans="1:10">
      <c r="A38" t="str">
        <f t="shared" si="0"/>
        <v>PDZ+A40CKZ</v>
      </c>
      <c r="B38" t="s">
        <v>314</v>
      </c>
      <c r="C38" s="26" t="s">
        <v>193</v>
      </c>
      <c r="D38" s="21" t="s">
        <v>172</v>
      </c>
      <c r="E38" s="21" t="s">
        <v>410</v>
      </c>
      <c r="F38" s="32"/>
      <c r="G38" s="30" t="s">
        <v>411</v>
      </c>
      <c r="H38" s="30"/>
      <c r="I38" s="30"/>
      <c r="J38" s="30"/>
    </row>
    <row r="39" spans="1:10">
      <c r="A39" t="str">
        <f t="shared" si="0"/>
        <v>PDZ+A40UKY</v>
      </c>
      <c r="B39" t="s">
        <v>314</v>
      </c>
      <c r="C39" s="26" t="s">
        <v>194</v>
      </c>
      <c r="D39" s="21" t="s">
        <v>187</v>
      </c>
      <c r="E39" s="21" t="s">
        <v>412</v>
      </c>
      <c r="F39" s="32"/>
      <c r="G39" s="30" t="s">
        <v>413</v>
      </c>
      <c r="H39" s="30"/>
      <c r="I39" s="30"/>
      <c r="J39" s="30"/>
    </row>
    <row r="40" spans="1:10">
      <c r="A40" t="str">
        <f t="shared" si="0"/>
        <v>PDZ+A50CKZ</v>
      </c>
      <c r="B40" t="s">
        <v>314</v>
      </c>
      <c r="C40" s="26" t="s">
        <v>195</v>
      </c>
      <c r="D40" s="21" t="s">
        <v>172</v>
      </c>
      <c r="E40" s="21" t="s">
        <v>414</v>
      </c>
      <c r="F40" s="32"/>
      <c r="G40" s="30" t="s">
        <v>415</v>
      </c>
      <c r="H40" s="30"/>
      <c r="I40" s="30"/>
      <c r="J40" s="30"/>
    </row>
    <row r="41" spans="1:10">
      <c r="A41" t="str">
        <f t="shared" si="0"/>
        <v>PDZ+A50UKY</v>
      </c>
      <c r="B41" t="s">
        <v>314</v>
      </c>
      <c r="C41" s="26" t="s">
        <v>196</v>
      </c>
      <c r="D41" s="21" t="s">
        <v>187</v>
      </c>
      <c r="E41" s="21" t="s">
        <v>416</v>
      </c>
      <c r="F41" s="32"/>
      <c r="G41" s="30" t="s">
        <v>417</v>
      </c>
      <c r="H41" s="30"/>
      <c r="I41" s="30"/>
      <c r="J41" s="30"/>
    </row>
    <row r="42" spans="1:10">
      <c r="B42" t="s">
        <v>418</v>
      </c>
      <c r="C42" s="28" t="s">
        <v>419</v>
      </c>
      <c r="D42" s="31"/>
      <c r="E42" s="31" t="s">
        <v>420</v>
      </c>
      <c r="F42" s="30"/>
      <c r="G42" s="30" t="s">
        <v>421</v>
      </c>
      <c r="H42" s="30" t="s">
        <v>421</v>
      </c>
      <c r="I42" s="31" t="s">
        <v>422</v>
      </c>
      <c r="J42" s="28" t="s">
        <v>423</v>
      </c>
    </row>
    <row r="43" spans="1:10">
      <c r="B43" t="s">
        <v>418</v>
      </c>
      <c r="C43" s="28" t="s">
        <v>250</v>
      </c>
      <c r="D43" s="31"/>
      <c r="E43" s="31" t="s">
        <v>424</v>
      </c>
      <c r="F43" s="30"/>
      <c r="G43" s="30" t="s">
        <v>425</v>
      </c>
      <c r="H43" s="30"/>
      <c r="I43" s="31"/>
      <c r="J43" s="28"/>
    </row>
    <row r="44" spans="1:10">
      <c r="B44" t="s">
        <v>418</v>
      </c>
      <c r="C44" s="28" t="s">
        <v>251</v>
      </c>
      <c r="D44" s="31"/>
      <c r="E44" s="31" t="s">
        <v>426</v>
      </c>
      <c r="F44" s="30"/>
      <c r="G44" s="30" t="s">
        <v>427</v>
      </c>
      <c r="H44" s="30" t="s">
        <v>428</v>
      </c>
      <c r="I44" s="31" t="s">
        <v>429</v>
      </c>
      <c r="J44" s="28" t="s">
        <v>430</v>
      </c>
    </row>
    <row r="45" spans="1:10">
      <c r="B45" t="s">
        <v>418</v>
      </c>
      <c r="C45" s="28" t="s">
        <v>252</v>
      </c>
      <c r="D45" s="31"/>
      <c r="E45" s="31" t="s">
        <v>431</v>
      </c>
      <c r="F45" s="30"/>
      <c r="G45" s="30" t="s">
        <v>432</v>
      </c>
      <c r="H45" s="30" t="s">
        <v>432</v>
      </c>
      <c r="I45" s="31" t="s">
        <v>433</v>
      </c>
      <c r="J45" s="28" t="s">
        <v>252</v>
      </c>
    </row>
    <row r="46" spans="1:10">
      <c r="B46" t="s">
        <v>418</v>
      </c>
      <c r="C46" s="28" t="s">
        <v>434</v>
      </c>
      <c r="D46" s="31"/>
      <c r="E46" s="31" t="s">
        <v>435</v>
      </c>
      <c r="F46" s="30"/>
      <c r="G46" s="30" t="s">
        <v>436</v>
      </c>
      <c r="H46" s="30" t="s">
        <v>437</v>
      </c>
      <c r="I46" s="31" t="s">
        <v>438</v>
      </c>
      <c r="J46" s="28" t="s">
        <v>439</v>
      </c>
    </row>
    <row r="47" spans="1:10">
      <c r="B47" t="s">
        <v>418</v>
      </c>
      <c r="C47" s="28" t="s">
        <v>253</v>
      </c>
      <c r="D47" s="31"/>
      <c r="E47" s="31" t="s">
        <v>440</v>
      </c>
      <c r="F47" s="30"/>
      <c r="G47" s="30" t="s">
        <v>441</v>
      </c>
      <c r="H47" s="30"/>
      <c r="I47" s="31"/>
      <c r="J47" s="28"/>
    </row>
    <row r="48" spans="1:10">
      <c r="B48" t="s">
        <v>418</v>
      </c>
      <c r="C48" s="34" t="s">
        <v>254</v>
      </c>
      <c r="D48" s="31"/>
      <c r="E48" s="31" t="s">
        <v>442</v>
      </c>
      <c r="F48" s="30"/>
      <c r="G48" s="33" t="s">
        <v>443</v>
      </c>
      <c r="H48" s="30" t="s">
        <v>444</v>
      </c>
      <c r="I48" s="31" t="s">
        <v>442</v>
      </c>
      <c r="J48" s="28" t="s">
        <v>254</v>
      </c>
    </row>
    <row r="49" spans="2:10">
      <c r="B49" t="s">
        <v>418</v>
      </c>
      <c r="C49" s="28" t="s">
        <v>255</v>
      </c>
      <c r="D49" s="31"/>
      <c r="E49" s="31" t="s">
        <v>445</v>
      </c>
      <c r="F49" s="30"/>
      <c r="G49" s="30" t="s">
        <v>446</v>
      </c>
      <c r="H49" s="30" t="s">
        <v>447</v>
      </c>
      <c r="I49" s="31" t="s">
        <v>448</v>
      </c>
      <c r="J49" s="28" t="s">
        <v>449</v>
      </c>
    </row>
    <row r="50" spans="2:10">
      <c r="B50" t="s">
        <v>418</v>
      </c>
      <c r="C50" s="34" t="s">
        <v>256</v>
      </c>
      <c r="D50" s="31"/>
      <c r="E50" s="31" t="s">
        <v>450</v>
      </c>
      <c r="F50" s="30" t="s">
        <v>451</v>
      </c>
      <c r="G50" s="33" t="s">
        <v>452</v>
      </c>
      <c r="H50" s="30" t="s">
        <v>453</v>
      </c>
      <c r="I50" s="31" t="s">
        <v>450</v>
      </c>
      <c r="J50" s="28" t="s">
        <v>256</v>
      </c>
    </row>
    <row r="51" spans="2:10">
      <c r="B51" t="s">
        <v>418</v>
      </c>
      <c r="C51" s="28" t="s">
        <v>257</v>
      </c>
      <c r="D51" s="31"/>
      <c r="E51" s="31" t="s">
        <v>454</v>
      </c>
      <c r="F51" s="30" t="s">
        <v>455</v>
      </c>
      <c r="G51" s="30" t="s">
        <v>456</v>
      </c>
      <c r="H51" s="30" t="s">
        <v>457</v>
      </c>
      <c r="I51" s="31" t="s">
        <v>458</v>
      </c>
      <c r="J51" s="28" t="s">
        <v>459</v>
      </c>
    </row>
    <row r="52" spans="2:10">
      <c r="B52" t="s">
        <v>418</v>
      </c>
      <c r="C52" s="28" t="s">
        <v>258</v>
      </c>
      <c r="D52" s="31"/>
      <c r="E52" s="17" t="s">
        <v>460</v>
      </c>
      <c r="F52" s="30" t="s">
        <v>461</v>
      </c>
      <c r="G52" s="30" t="s">
        <v>462</v>
      </c>
      <c r="H52" s="30" t="s">
        <v>463</v>
      </c>
      <c r="I52" s="17" t="s">
        <v>464</v>
      </c>
      <c r="J52" s="28" t="s">
        <v>465</v>
      </c>
    </row>
    <row r="53" spans="2:10">
      <c r="B53" t="s">
        <v>418</v>
      </c>
      <c r="C53" s="28" t="s">
        <v>259</v>
      </c>
      <c r="D53" s="31"/>
      <c r="E53" s="31" t="s">
        <v>466</v>
      </c>
      <c r="F53" s="30" t="s">
        <v>467</v>
      </c>
      <c r="G53" s="30" t="s">
        <v>468</v>
      </c>
      <c r="H53" s="30" t="s">
        <v>469</v>
      </c>
      <c r="I53" s="31" t="s">
        <v>470</v>
      </c>
      <c r="J53" s="28" t="s">
        <v>471</v>
      </c>
    </row>
    <row r="54" spans="2:10">
      <c r="B54" t="s">
        <v>418</v>
      </c>
      <c r="C54" s="28" t="s">
        <v>260</v>
      </c>
      <c r="D54" s="31"/>
      <c r="E54" s="31" t="s">
        <v>472</v>
      </c>
      <c r="F54" s="30" t="s">
        <v>473</v>
      </c>
      <c r="G54" s="30" t="s">
        <v>474</v>
      </c>
      <c r="H54" s="30" t="s">
        <v>475</v>
      </c>
      <c r="I54" s="31" t="s">
        <v>476</v>
      </c>
      <c r="J54" s="28" t="s">
        <v>477</v>
      </c>
    </row>
    <row r="55" spans="2:10">
      <c r="B55" t="s">
        <v>418</v>
      </c>
      <c r="C55" s="34" t="s">
        <v>261</v>
      </c>
      <c r="D55" s="31"/>
      <c r="E55" s="31" t="s">
        <v>478</v>
      </c>
      <c r="F55" s="30" t="s">
        <v>479</v>
      </c>
      <c r="G55" s="33" t="s">
        <v>480</v>
      </c>
      <c r="H55" s="30" t="s">
        <v>481</v>
      </c>
      <c r="I55" s="31" t="s">
        <v>478</v>
      </c>
      <c r="J55" s="28" t="s">
        <v>261</v>
      </c>
    </row>
    <row r="56" spans="2:10">
      <c r="B56" t="s">
        <v>418</v>
      </c>
      <c r="C56" s="28" t="s">
        <v>262</v>
      </c>
      <c r="D56" s="31"/>
      <c r="E56" s="31" t="s">
        <v>482</v>
      </c>
      <c r="F56" s="30" t="s">
        <v>483</v>
      </c>
      <c r="G56" s="30" t="s">
        <v>484</v>
      </c>
      <c r="H56" s="30" t="s">
        <v>484</v>
      </c>
      <c r="I56" s="31" t="s">
        <v>485</v>
      </c>
      <c r="J56" s="28" t="s">
        <v>262</v>
      </c>
    </row>
    <row r="57" spans="2:10">
      <c r="B57" t="s">
        <v>418</v>
      </c>
      <c r="C57" s="28" t="s">
        <v>263</v>
      </c>
      <c r="D57" s="31"/>
      <c r="E57" s="31" t="s">
        <v>486</v>
      </c>
      <c r="F57" s="30" t="s">
        <v>487</v>
      </c>
      <c r="G57" s="30" t="s">
        <v>488</v>
      </c>
      <c r="H57" s="30" t="s">
        <v>489</v>
      </c>
      <c r="I57" s="31" t="s">
        <v>490</v>
      </c>
      <c r="J57" s="28" t="s">
        <v>491</v>
      </c>
    </row>
    <row r="58" spans="2:10">
      <c r="B58" t="s">
        <v>418</v>
      </c>
      <c r="C58" s="28" t="s">
        <v>264</v>
      </c>
      <c r="D58" s="31"/>
      <c r="E58" s="31" t="s">
        <v>492</v>
      </c>
      <c r="F58" s="30" t="s">
        <v>493</v>
      </c>
      <c r="G58" s="30" t="s">
        <v>494</v>
      </c>
      <c r="H58" s="30" t="s">
        <v>495</v>
      </c>
      <c r="I58" s="31" t="s">
        <v>496</v>
      </c>
      <c r="J58" s="28" t="s">
        <v>497</v>
      </c>
    </row>
    <row r="59" spans="2:10">
      <c r="B59" t="s">
        <v>418</v>
      </c>
      <c r="C59" s="28" t="s">
        <v>265</v>
      </c>
      <c r="D59" s="31"/>
      <c r="E59" s="31" t="s">
        <v>498</v>
      </c>
      <c r="F59" s="30" t="s">
        <v>499</v>
      </c>
      <c r="G59" s="30" t="s">
        <v>500</v>
      </c>
      <c r="H59" s="30" t="s">
        <v>501</v>
      </c>
      <c r="I59" s="31" t="s">
        <v>502</v>
      </c>
      <c r="J59" s="28" t="s">
        <v>503</v>
      </c>
    </row>
    <row r="60" spans="2:10">
      <c r="B60" t="s">
        <v>418</v>
      </c>
      <c r="C60" s="28" t="s">
        <v>266</v>
      </c>
      <c r="D60" s="31"/>
      <c r="E60" s="31" t="s">
        <v>504</v>
      </c>
      <c r="F60" s="30" t="s">
        <v>505</v>
      </c>
      <c r="G60" s="30" t="s">
        <v>506</v>
      </c>
      <c r="H60" s="30" t="s">
        <v>507</v>
      </c>
      <c r="I60" s="31" t="s">
        <v>508</v>
      </c>
      <c r="J60" s="28" t="s">
        <v>509</v>
      </c>
    </row>
    <row r="61" spans="2:10">
      <c r="B61" t="s">
        <v>418</v>
      </c>
      <c r="C61" s="28" t="s">
        <v>267</v>
      </c>
      <c r="D61" s="31"/>
      <c r="E61" s="31" t="s">
        <v>510</v>
      </c>
      <c r="F61" s="30" t="s">
        <v>511</v>
      </c>
      <c r="G61" s="30" t="s">
        <v>512</v>
      </c>
      <c r="H61" s="30" t="s">
        <v>512</v>
      </c>
      <c r="I61" s="31" t="s">
        <v>513</v>
      </c>
      <c r="J61" s="28" t="s">
        <v>514</v>
      </c>
    </row>
    <row r="62" spans="2:10">
      <c r="B62" t="s">
        <v>418</v>
      </c>
      <c r="C62" s="28" t="s">
        <v>268</v>
      </c>
      <c r="D62" s="31"/>
      <c r="E62" s="31" t="s">
        <v>515</v>
      </c>
      <c r="F62" s="30" t="s">
        <v>516</v>
      </c>
      <c r="G62" s="30" t="s">
        <v>517</v>
      </c>
      <c r="H62" s="30" t="s">
        <v>518</v>
      </c>
      <c r="I62" s="31" t="s">
        <v>519</v>
      </c>
      <c r="J62" s="28" t="s">
        <v>520</v>
      </c>
    </row>
    <row r="63" spans="2:10">
      <c r="B63" t="s">
        <v>418</v>
      </c>
      <c r="C63" s="28" t="s">
        <v>269</v>
      </c>
      <c r="D63" s="31"/>
      <c r="E63" s="31"/>
      <c r="F63" s="30"/>
      <c r="G63" s="30" t="s">
        <v>521</v>
      </c>
      <c r="H63" s="30"/>
      <c r="I63" s="31"/>
      <c r="J63" s="28"/>
    </row>
    <row r="64" spans="2:10">
      <c r="B64" t="s">
        <v>418</v>
      </c>
      <c r="C64" s="28" t="s">
        <v>270</v>
      </c>
      <c r="D64" s="31"/>
      <c r="E64" s="31"/>
      <c r="F64" s="30"/>
      <c r="G64" s="30" t="s">
        <v>522</v>
      </c>
      <c r="H64" s="30"/>
      <c r="I64" s="31"/>
      <c r="J64" s="28"/>
    </row>
    <row r="65" spans="2:11">
      <c r="B65" t="s">
        <v>418</v>
      </c>
      <c r="C65" s="28" t="s">
        <v>271</v>
      </c>
      <c r="D65" s="31"/>
      <c r="E65" s="31"/>
      <c r="F65" s="30"/>
      <c r="G65" s="30" t="s">
        <v>523</v>
      </c>
      <c r="H65" s="30"/>
      <c r="I65" s="31"/>
      <c r="J65" s="28"/>
    </row>
    <row r="66" spans="2:11">
      <c r="B66" t="s">
        <v>418</v>
      </c>
      <c r="C66" s="28" t="s">
        <v>272</v>
      </c>
      <c r="D66" s="31"/>
      <c r="E66" s="31"/>
      <c r="F66" s="30"/>
      <c r="G66" s="30" t="s">
        <v>524</v>
      </c>
      <c r="H66" s="30"/>
      <c r="I66" s="31"/>
      <c r="J66" s="28"/>
    </row>
    <row r="67" spans="2:11">
      <c r="B67" t="s">
        <v>418</v>
      </c>
      <c r="C67" s="28" t="s">
        <v>273</v>
      </c>
      <c r="D67" s="31"/>
      <c r="E67" s="31"/>
      <c r="F67" s="30"/>
      <c r="G67" s="30" t="s">
        <v>525</v>
      </c>
      <c r="H67" s="30"/>
      <c r="I67" s="31"/>
      <c r="J67" s="28"/>
    </row>
    <row r="68" spans="2:11">
      <c r="B68" t="s">
        <v>526</v>
      </c>
      <c r="C68" s="28" t="s">
        <v>280</v>
      </c>
      <c r="D68" s="31"/>
      <c r="E68" s="31" t="s">
        <v>527</v>
      </c>
      <c r="F68" s="30" t="s">
        <v>528</v>
      </c>
      <c r="G68" s="30" t="s">
        <v>281</v>
      </c>
      <c r="H68" s="30"/>
      <c r="I68" s="30"/>
      <c r="J68" s="30"/>
      <c r="K68" t="s">
        <v>282</v>
      </c>
    </row>
    <row r="69" spans="2:11">
      <c r="B69" t="s">
        <v>526</v>
      </c>
      <c r="C69" s="28" t="s">
        <v>283</v>
      </c>
      <c r="D69" s="31"/>
      <c r="E69" s="31" t="s">
        <v>529</v>
      </c>
      <c r="F69" s="30" t="s">
        <v>530</v>
      </c>
      <c r="G69" s="30" t="s">
        <v>284</v>
      </c>
      <c r="H69" s="30"/>
      <c r="I69" s="30"/>
      <c r="J69" s="30"/>
      <c r="K69" t="s">
        <v>285</v>
      </c>
    </row>
    <row r="70" spans="2:11">
      <c r="B70" t="s">
        <v>526</v>
      </c>
      <c r="C70" s="28" t="s">
        <v>286</v>
      </c>
      <c r="D70" s="31"/>
      <c r="E70" s="31" t="s">
        <v>531</v>
      </c>
      <c r="F70" s="30" t="s">
        <v>532</v>
      </c>
      <c r="G70" s="30" t="s">
        <v>287</v>
      </c>
      <c r="H70" s="30"/>
      <c r="I70" s="30"/>
      <c r="J70" s="30"/>
      <c r="K70" t="s">
        <v>288</v>
      </c>
    </row>
    <row r="71" spans="2:11">
      <c r="B71" t="s">
        <v>526</v>
      </c>
      <c r="C71" s="28" t="s">
        <v>289</v>
      </c>
      <c r="D71" s="31"/>
      <c r="E71" s="31" t="s">
        <v>533</v>
      </c>
      <c r="F71" s="30" t="s">
        <v>534</v>
      </c>
      <c r="G71" s="30" t="s">
        <v>290</v>
      </c>
      <c r="H71" s="30"/>
      <c r="I71" s="30"/>
      <c r="J71" s="30"/>
      <c r="K71" t="s">
        <v>535</v>
      </c>
    </row>
    <row r="72" spans="2:11">
      <c r="B72" t="s">
        <v>526</v>
      </c>
      <c r="C72" s="28" t="s">
        <v>295</v>
      </c>
      <c r="D72" s="31"/>
      <c r="E72" s="31" t="s">
        <v>536</v>
      </c>
      <c r="F72" s="30" t="s">
        <v>537</v>
      </c>
      <c r="G72" s="30" t="s">
        <v>296</v>
      </c>
      <c r="H72" s="30"/>
      <c r="I72" s="30"/>
      <c r="J72" s="30"/>
      <c r="K72" t="s">
        <v>538</v>
      </c>
    </row>
    <row r="73" spans="2:11">
      <c r="B73" t="s">
        <v>526</v>
      </c>
      <c r="C73" s="28" t="s">
        <v>298</v>
      </c>
      <c r="D73" s="31"/>
      <c r="E73" s="31" t="s">
        <v>539</v>
      </c>
      <c r="F73" s="30" t="s">
        <v>540</v>
      </c>
      <c r="G73" s="30" t="s">
        <v>299</v>
      </c>
      <c r="H73" s="30"/>
      <c r="I73" s="30"/>
      <c r="J73" s="30"/>
      <c r="K73" t="s">
        <v>541</v>
      </c>
    </row>
    <row r="74" spans="2:11">
      <c r="B74" t="s">
        <v>526</v>
      </c>
      <c r="C74" s="28" t="s">
        <v>301</v>
      </c>
      <c r="D74" s="31"/>
      <c r="E74" s="31" t="s">
        <v>542</v>
      </c>
      <c r="F74" s="30" t="s">
        <v>543</v>
      </c>
      <c r="G74" s="30" t="s">
        <v>302</v>
      </c>
      <c r="H74" s="30"/>
      <c r="I74" s="30"/>
      <c r="J74" s="30"/>
      <c r="K74" t="s">
        <v>544</v>
      </c>
    </row>
    <row r="75" spans="2:11">
      <c r="B75" t="s">
        <v>526</v>
      </c>
      <c r="C75" s="28" t="s">
        <v>304</v>
      </c>
      <c r="D75" s="31"/>
      <c r="E75" s="31"/>
      <c r="F75" s="30" t="s">
        <v>545</v>
      </c>
      <c r="G75" s="30" t="s">
        <v>305</v>
      </c>
      <c r="H75" s="30"/>
      <c r="I75" s="30"/>
      <c r="J75" s="30"/>
      <c r="K75" t="s">
        <v>306</v>
      </c>
    </row>
    <row r="76" spans="2:11">
      <c r="C76" s="28" t="s">
        <v>546</v>
      </c>
      <c r="D76" s="31"/>
      <c r="E76" s="31"/>
      <c r="F76" s="30"/>
      <c r="G76" s="30" t="s">
        <v>46</v>
      </c>
      <c r="H76" s="30"/>
      <c r="I76" s="30"/>
      <c r="J76" s="30"/>
    </row>
    <row r="77" spans="2:11">
      <c r="C77" s="28" t="s">
        <v>547</v>
      </c>
      <c r="D77" s="31"/>
      <c r="E77" s="31"/>
      <c r="F77" s="30"/>
      <c r="G77" s="30" t="s">
        <v>48</v>
      </c>
      <c r="H77" s="30"/>
      <c r="I77" s="30"/>
      <c r="J77" s="30"/>
    </row>
    <row r="78" spans="2:11">
      <c r="C78" s="28" t="s">
        <v>548</v>
      </c>
      <c r="D78" s="31"/>
      <c r="E78" s="31"/>
      <c r="F78" s="30"/>
      <c r="G78" s="30" t="s">
        <v>51</v>
      </c>
      <c r="H78" s="30"/>
      <c r="I78" s="30"/>
      <c r="J78" s="30"/>
    </row>
    <row r="79" spans="2:11">
      <c r="C79" s="28" t="s">
        <v>549</v>
      </c>
      <c r="D79" s="31"/>
      <c r="E79" s="31"/>
      <c r="F79" s="30"/>
      <c r="G79" s="30" t="s">
        <v>53</v>
      </c>
      <c r="H79" s="30"/>
      <c r="I79" s="30"/>
      <c r="J79" s="30"/>
    </row>
    <row r="80" spans="2:11">
      <c r="C80" s="28" t="s">
        <v>550</v>
      </c>
      <c r="D80" s="31"/>
      <c r="E80" s="31"/>
      <c r="F80" s="30"/>
      <c r="G80" s="30" t="s">
        <v>56</v>
      </c>
      <c r="H80" s="30"/>
      <c r="I80" s="30"/>
      <c r="J80" s="30"/>
    </row>
    <row r="81" spans="3:10">
      <c r="C81" s="28" t="s">
        <v>551</v>
      </c>
      <c r="D81" s="31"/>
      <c r="E81" s="31"/>
      <c r="F81" s="30"/>
      <c r="G81" s="30" t="s">
        <v>58</v>
      </c>
      <c r="H81" s="30"/>
      <c r="I81" s="30"/>
      <c r="J81" s="30"/>
    </row>
    <row r="82" spans="3:10">
      <c r="C82" s="28" t="s">
        <v>552</v>
      </c>
      <c r="D82" s="31"/>
      <c r="E82" s="31"/>
      <c r="F82" s="30"/>
      <c r="G82" s="30" t="s">
        <v>60</v>
      </c>
      <c r="H82" s="30"/>
      <c r="I82" s="30"/>
      <c r="J82" s="30"/>
    </row>
    <row r="83" spans="3:10">
      <c r="C83" s="28" t="s">
        <v>553</v>
      </c>
      <c r="D83" s="31"/>
      <c r="E83" s="31"/>
      <c r="F83" s="30"/>
      <c r="G83" s="30" t="s">
        <v>63</v>
      </c>
      <c r="H83" s="30"/>
      <c r="I83" s="30"/>
      <c r="J83" s="30"/>
    </row>
    <row r="84" spans="3:10">
      <c r="C84" s="28" t="s">
        <v>554</v>
      </c>
      <c r="D84" s="31"/>
      <c r="E84" s="31"/>
      <c r="F84" s="30"/>
      <c r="G84" s="30" t="s">
        <v>65</v>
      </c>
      <c r="H84" s="30"/>
      <c r="I84" s="30"/>
      <c r="J84" s="30"/>
    </row>
    <row r="85" spans="3:10">
      <c r="C85" s="28" t="s">
        <v>555</v>
      </c>
      <c r="D85" s="31"/>
      <c r="E85" s="31"/>
      <c r="F85" s="30"/>
      <c r="G85" s="30" t="s">
        <v>67</v>
      </c>
      <c r="H85" s="30"/>
      <c r="I85" s="30"/>
      <c r="J85" s="30"/>
    </row>
    <row r="86" spans="3:10">
      <c r="C86" s="28" t="s">
        <v>556</v>
      </c>
      <c r="D86" s="31"/>
      <c r="E86" s="31"/>
      <c r="F86" s="30"/>
      <c r="G86" s="30" t="s">
        <v>557</v>
      </c>
      <c r="H86" s="30"/>
      <c r="I86" s="30"/>
      <c r="J86" s="30"/>
    </row>
    <row r="87" spans="3:10">
      <c r="C87" s="28" t="s">
        <v>558</v>
      </c>
      <c r="D87" s="31"/>
      <c r="E87" s="31"/>
      <c r="F87" s="30"/>
      <c r="G87" s="30" t="s">
        <v>559</v>
      </c>
      <c r="H87" s="30"/>
      <c r="I87" s="30"/>
      <c r="J87" s="30"/>
    </row>
    <row r="88" spans="3:10">
      <c r="C88" s="28" t="s">
        <v>560</v>
      </c>
      <c r="D88" s="31"/>
      <c r="E88" s="31"/>
      <c r="F88" s="30"/>
      <c r="G88" s="30" t="s">
        <v>70</v>
      </c>
      <c r="H88" s="30"/>
      <c r="I88" s="30"/>
      <c r="J88" s="30"/>
    </row>
    <row r="89" spans="3:10">
      <c r="C89" s="28" t="s">
        <v>561</v>
      </c>
      <c r="D89" s="31"/>
      <c r="E89" s="31"/>
      <c r="F89" s="30"/>
      <c r="G89" s="30" t="s">
        <v>73</v>
      </c>
      <c r="H89" s="30"/>
      <c r="I89" s="30"/>
      <c r="J89" s="30"/>
    </row>
    <row r="90" spans="3:10">
      <c r="C90" s="28" t="s">
        <v>562</v>
      </c>
      <c r="D90" s="31"/>
      <c r="E90" s="31"/>
      <c r="F90" s="30"/>
      <c r="G90" s="30"/>
      <c r="H90" s="30"/>
      <c r="I90" s="30"/>
      <c r="J90" s="30"/>
    </row>
    <row r="91" spans="3:10">
      <c r="C91" s="28" t="s">
        <v>563</v>
      </c>
      <c r="D91" s="31"/>
      <c r="E91" s="31"/>
      <c r="F91" s="30"/>
      <c r="G91" s="30"/>
      <c r="H91" s="30"/>
      <c r="I91" s="30"/>
      <c r="J91" s="30"/>
    </row>
    <row r="92" spans="3:10">
      <c r="C92" s="28" t="s">
        <v>564</v>
      </c>
      <c r="D92" s="31"/>
      <c r="E92" s="31"/>
      <c r="F92" s="30"/>
      <c r="G92" s="30" t="s">
        <v>76</v>
      </c>
      <c r="H92" s="30"/>
      <c r="I92" s="30"/>
      <c r="J92" s="30"/>
    </row>
    <row r="93" spans="3:10">
      <c r="C93" s="28" t="s">
        <v>565</v>
      </c>
      <c r="D93" s="31"/>
      <c r="E93" s="31"/>
      <c r="F93" s="30"/>
      <c r="G93" s="30" t="s">
        <v>78</v>
      </c>
      <c r="H93" s="30"/>
      <c r="I93" s="30"/>
      <c r="J93" s="30"/>
    </row>
    <row r="94" spans="3:10">
      <c r="C94" s="28" t="s">
        <v>566</v>
      </c>
      <c r="D94" s="31"/>
      <c r="E94" s="31"/>
      <c r="F94" s="30"/>
      <c r="G94" s="30" t="s">
        <v>567</v>
      </c>
      <c r="H94" s="30"/>
      <c r="I94" s="30"/>
      <c r="J94" s="30"/>
    </row>
    <row r="95" spans="3:10">
      <c r="C95" s="28" t="s">
        <v>568</v>
      </c>
      <c r="D95" s="31"/>
      <c r="E95" s="31"/>
      <c r="F95" s="30"/>
      <c r="G95" s="30" t="s">
        <v>569</v>
      </c>
      <c r="H95" s="30"/>
      <c r="I95" s="30"/>
      <c r="J95" s="30"/>
    </row>
    <row r="96" spans="3:10">
      <c r="C96" s="28" t="s">
        <v>570</v>
      </c>
      <c r="D96" s="31"/>
      <c r="E96" s="31"/>
      <c r="F96" s="30"/>
      <c r="G96" s="30" t="s">
        <v>83</v>
      </c>
      <c r="H96" s="30"/>
      <c r="I96" s="30"/>
      <c r="J96" s="30"/>
    </row>
    <row r="97" spans="3:10">
      <c r="C97" s="28" t="s">
        <v>571</v>
      </c>
      <c r="D97" s="31"/>
      <c r="E97" s="31"/>
      <c r="F97" s="30"/>
      <c r="G97" s="30" t="s">
        <v>86</v>
      </c>
      <c r="H97" s="30"/>
      <c r="I97" s="30"/>
      <c r="J97" s="30"/>
    </row>
    <row r="98" spans="3:10">
      <c r="C98" s="28" t="s">
        <v>572</v>
      </c>
      <c r="D98" s="31"/>
      <c r="E98" s="31"/>
      <c r="F98" s="30"/>
      <c r="G98" s="30" t="s">
        <v>573</v>
      </c>
      <c r="H98" s="30"/>
      <c r="I98" s="30"/>
      <c r="J98" s="30"/>
    </row>
    <row r="99" spans="3:10">
      <c r="C99" s="28" t="s">
        <v>574</v>
      </c>
      <c r="D99" s="31"/>
      <c r="E99" s="31"/>
      <c r="F99" s="30"/>
      <c r="G99" s="30" t="s">
        <v>575</v>
      </c>
      <c r="H99" s="30"/>
      <c r="I99" s="30"/>
      <c r="J99" s="30"/>
    </row>
    <row r="100" spans="3:10">
      <c r="C100" s="28" t="s">
        <v>576</v>
      </c>
      <c r="D100" s="31"/>
      <c r="E100" s="31"/>
      <c r="F100" s="30"/>
      <c r="G100" s="30" t="s">
        <v>90</v>
      </c>
      <c r="H100" s="30"/>
      <c r="I100" s="30"/>
      <c r="J100" s="30"/>
    </row>
    <row r="101" spans="3:10">
      <c r="C101" s="28" t="s">
        <v>577</v>
      </c>
      <c r="D101" s="31"/>
      <c r="E101" s="31"/>
      <c r="F101" s="30"/>
      <c r="G101" s="30" t="s">
        <v>92</v>
      </c>
      <c r="H101" s="30"/>
      <c r="I101" s="30"/>
      <c r="J101" s="30"/>
    </row>
    <row r="102" spans="3:10">
      <c r="C102" s="28" t="s">
        <v>578</v>
      </c>
      <c r="D102" s="31"/>
      <c r="E102" s="31"/>
      <c r="F102" s="30"/>
      <c r="G102" s="30" t="s">
        <v>96</v>
      </c>
      <c r="H102" s="30"/>
      <c r="I102" s="30"/>
      <c r="J102" s="30"/>
    </row>
    <row r="103" spans="3:10">
      <c r="C103" s="28" t="s">
        <v>579</v>
      </c>
      <c r="D103" s="31"/>
      <c r="E103" s="31"/>
      <c r="F103" s="30"/>
      <c r="G103" s="30" t="s">
        <v>98</v>
      </c>
      <c r="H103" s="30"/>
      <c r="I103" s="30"/>
      <c r="J103" s="30"/>
    </row>
    <row r="104" spans="3:10">
      <c r="C104" s="28" t="s">
        <v>580</v>
      </c>
      <c r="D104" s="31"/>
      <c r="E104" s="31"/>
      <c r="F104" s="30"/>
      <c r="G104" s="30" t="s">
        <v>105</v>
      </c>
      <c r="H104" s="30"/>
      <c r="I104" s="30"/>
      <c r="J104" s="30"/>
    </row>
    <row r="105" spans="3:10">
      <c r="C105" s="28" t="s">
        <v>581</v>
      </c>
      <c r="D105" s="31"/>
      <c r="E105" s="31"/>
      <c r="F105" s="30"/>
      <c r="G105" s="30" t="s">
        <v>108</v>
      </c>
      <c r="H105" s="30"/>
      <c r="I105" s="30"/>
      <c r="J105" s="30"/>
    </row>
    <row r="106" spans="3:10">
      <c r="C106" s="28" t="s">
        <v>582</v>
      </c>
      <c r="D106" s="31"/>
      <c r="E106" s="31"/>
      <c r="F106" s="30"/>
      <c r="G106" s="30" t="s">
        <v>583</v>
      </c>
      <c r="H106" s="30"/>
      <c r="I106" s="30"/>
      <c r="J106" s="30"/>
    </row>
    <row r="107" spans="3:10">
      <c r="C107" s="28" t="s">
        <v>584</v>
      </c>
      <c r="D107" s="31"/>
      <c r="E107" s="31"/>
      <c r="F107" s="30"/>
      <c r="G107" s="30" t="s">
        <v>585</v>
      </c>
      <c r="H107" s="30"/>
      <c r="I107" s="30"/>
      <c r="J107" s="30"/>
    </row>
    <row r="108" spans="3:10">
      <c r="C108" s="28" t="s">
        <v>586</v>
      </c>
      <c r="D108" s="31"/>
      <c r="E108" s="31"/>
      <c r="F108" s="30"/>
      <c r="G108" s="30" t="s">
        <v>111</v>
      </c>
      <c r="H108" s="30"/>
      <c r="I108" s="30"/>
      <c r="J108" s="30"/>
    </row>
    <row r="109" spans="3:10">
      <c r="C109" s="28" t="s">
        <v>587</v>
      </c>
      <c r="D109" s="31"/>
      <c r="E109" s="31"/>
      <c r="F109" s="30"/>
      <c r="G109" s="30" t="s">
        <v>113</v>
      </c>
      <c r="H109" s="30"/>
      <c r="I109" s="30"/>
      <c r="J109" s="30"/>
    </row>
    <row r="110" spans="3:10">
      <c r="C110" s="28" t="s">
        <v>588</v>
      </c>
      <c r="D110" s="31"/>
      <c r="E110" s="31"/>
      <c r="F110" s="30"/>
      <c r="G110" s="30" t="s">
        <v>115</v>
      </c>
      <c r="H110" s="30"/>
      <c r="I110" s="30"/>
      <c r="J110" s="30"/>
    </row>
    <row r="111" spans="3:10">
      <c r="C111" s="28" t="s">
        <v>589</v>
      </c>
      <c r="D111" s="31"/>
      <c r="E111" s="31"/>
      <c r="F111" s="30"/>
      <c r="G111" s="30" t="s">
        <v>117</v>
      </c>
      <c r="H111" s="30"/>
      <c r="I111" s="30"/>
      <c r="J111" s="30"/>
    </row>
    <row r="112" spans="3:10">
      <c r="C112" s="28" t="s">
        <v>590</v>
      </c>
      <c r="D112" s="31"/>
      <c r="E112" s="31"/>
      <c r="F112" s="30"/>
      <c r="G112" s="30" t="s">
        <v>121</v>
      </c>
      <c r="H112" s="30"/>
      <c r="I112" s="30"/>
      <c r="J112" s="30"/>
    </row>
    <row r="113" spans="3:10">
      <c r="C113" s="28" t="s">
        <v>591</v>
      </c>
      <c r="D113" s="31"/>
      <c r="E113" s="31"/>
      <c r="F113" s="30"/>
      <c r="G113" s="30" t="s">
        <v>123</v>
      </c>
      <c r="H113" s="30"/>
      <c r="I113" s="30"/>
      <c r="J113" s="30"/>
    </row>
    <row r="114" spans="3:10">
      <c r="C114" s="28" t="s">
        <v>592</v>
      </c>
      <c r="D114" s="31"/>
      <c r="E114" s="31"/>
      <c r="F114" s="30"/>
      <c r="G114" s="30" t="s">
        <v>127</v>
      </c>
      <c r="H114" s="30"/>
      <c r="I114" s="30"/>
      <c r="J114" s="30"/>
    </row>
    <row r="115" spans="3:10">
      <c r="C115" s="28" t="s">
        <v>593</v>
      </c>
      <c r="D115" s="31"/>
      <c r="E115" s="31"/>
      <c r="F115" s="30"/>
      <c r="G115" s="30" t="s">
        <v>130</v>
      </c>
      <c r="H115" s="30"/>
      <c r="I115" s="30"/>
      <c r="J115" s="30"/>
    </row>
    <row r="116" spans="3:10">
      <c r="C116" s="28" t="s">
        <v>594</v>
      </c>
      <c r="D116" s="31"/>
      <c r="E116" s="31"/>
      <c r="F116" s="30"/>
      <c r="G116" s="30" t="s">
        <v>132</v>
      </c>
      <c r="H116" s="30"/>
      <c r="I116" s="30"/>
      <c r="J116" s="30"/>
    </row>
    <row r="117" spans="3:10">
      <c r="C117" s="28" t="s">
        <v>595</v>
      </c>
      <c r="D117" s="31"/>
      <c r="E117" s="31"/>
      <c r="F117" s="30"/>
      <c r="G117" s="30" t="s">
        <v>135</v>
      </c>
      <c r="H117" s="30"/>
      <c r="I117" s="30"/>
      <c r="J117" s="30"/>
    </row>
    <row r="118" spans="3:10">
      <c r="C118" s="29" t="s">
        <v>596</v>
      </c>
      <c r="G118" s="30"/>
    </row>
    <row r="119" spans="3:10">
      <c r="C119" s="29" t="s">
        <v>597</v>
      </c>
      <c r="G119" s="30"/>
    </row>
    <row r="120" spans="3:10">
      <c r="C120" s="29" t="s">
        <v>598</v>
      </c>
      <c r="G120" s="30"/>
    </row>
    <row r="121" spans="3:10">
      <c r="C121" s="29" t="s">
        <v>599</v>
      </c>
      <c r="G121" s="30"/>
    </row>
    <row r="122" spans="3:10">
      <c r="C122" s="29" t="s">
        <v>600</v>
      </c>
      <c r="G122" s="30"/>
    </row>
    <row r="123" spans="3:10">
      <c r="C123" s="29" t="s">
        <v>601</v>
      </c>
      <c r="G123" s="30"/>
    </row>
    <row r="124" spans="3:10">
      <c r="C124" s="29" t="s">
        <v>602</v>
      </c>
      <c r="G124" s="30"/>
    </row>
    <row r="125" spans="3:10">
      <c r="C125" s="29" t="s">
        <v>603</v>
      </c>
      <c r="G125" s="30"/>
    </row>
    <row r="126" spans="3:10">
      <c r="C126" s="29" t="s">
        <v>604</v>
      </c>
    </row>
    <row r="127" spans="3:10">
      <c r="C127" s="29" t="s">
        <v>605</v>
      </c>
    </row>
    <row r="128" spans="3:10">
      <c r="C128" s="29" t="s">
        <v>606</v>
      </c>
    </row>
    <row r="129" spans="3:7">
      <c r="C129" s="29" t="s">
        <v>607</v>
      </c>
    </row>
    <row r="130" spans="3:7">
      <c r="C130" s="29" t="s">
        <v>608</v>
      </c>
    </row>
    <row r="131" spans="3:7">
      <c r="C131" s="29" t="s">
        <v>609</v>
      </c>
    </row>
    <row r="132" spans="3:7">
      <c r="C132" s="29" t="s">
        <v>610</v>
      </c>
    </row>
    <row r="133" spans="3:7">
      <c r="C133" s="29" t="s">
        <v>611</v>
      </c>
    </row>
    <row r="134" spans="3:7">
      <c r="C134" s="29" t="s">
        <v>612</v>
      </c>
    </row>
    <row r="135" spans="3:7">
      <c r="C135" s="29" t="s">
        <v>613</v>
      </c>
    </row>
    <row r="136" spans="3:7">
      <c r="C136" s="29" t="s">
        <v>614</v>
      </c>
    </row>
    <row r="137" spans="3:7">
      <c r="C137" s="29" t="s">
        <v>615</v>
      </c>
    </row>
    <row r="138" spans="3:7">
      <c r="C138" s="29" t="s">
        <v>616</v>
      </c>
    </row>
    <row r="139" spans="3:7">
      <c r="C139" s="29" t="s">
        <v>617</v>
      </c>
    </row>
    <row r="140" spans="3:7">
      <c r="C140" s="29" t="s">
        <v>618</v>
      </c>
    </row>
    <row r="141" spans="3:7">
      <c r="C141" s="29" t="s">
        <v>619</v>
      </c>
    </row>
    <row r="142" spans="3:7">
      <c r="C142" s="29" t="s">
        <v>620</v>
      </c>
    </row>
    <row r="143" spans="3:7">
      <c r="C143" s="29" t="s">
        <v>621</v>
      </c>
    </row>
    <row r="144" spans="3:7">
      <c r="C144" s="29" t="s">
        <v>622</v>
      </c>
      <c r="G144" t="s">
        <v>145</v>
      </c>
    </row>
    <row r="145" spans="3:7">
      <c r="C145" s="29" t="s">
        <v>623</v>
      </c>
      <c r="G145" t="s">
        <v>147</v>
      </c>
    </row>
    <row r="146" spans="3:7">
      <c r="C146" s="29" t="s">
        <v>624</v>
      </c>
      <c r="G146" t="s">
        <v>149</v>
      </c>
    </row>
    <row r="147" spans="3:7">
      <c r="C147" s="29" t="s">
        <v>625</v>
      </c>
      <c r="G147" t="s">
        <v>151</v>
      </c>
    </row>
    <row r="148" spans="3:7">
      <c r="C148" s="29" t="s">
        <v>626</v>
      </c>
      <c r="G148" t="s">
        <v>153</v>
      </c>
    </row>
    <row r="149" spans="3:7">
      <c r="C149" s="29" t="s">
        <v>627</v>
      </c>
      <c r="G149" t="s">
        <v>155</v>
      </c>
    </row>
    <row r="150" spans="3:7">
      <c r="C150" s="29" t="s">
        <v>628</v>
      </c>
      <c r="G150" t="s">
        <v>158</v>
      </c>
    </row>
    <row r="151" spans="3:7">
      <c r="C151" s="29" t="s">
        <v>629</v>
      </c>
      <c r="G151" t="s">
        <v>160</v>
      </c>
    </row>
    <row r="152" spans="3:7">
      <c r="C152" s="29" t="s">
        <v>630</v>
      </c>
    </row>
    <row r="153" spans="3:7">
      <c r="C153" s="29" t="s">
        <v>631</v>
      </c>
    </row>
    <row r="154" spans="3:7">
      <c r="C154" s="29" t="s">
        <v>632</v>
      </c>
    </row>
    <row r="155" spans="3:7">
      <c r="C155" s="29" t="s">
        <v>633</v>
      </c>
    </row>
    <row r="156" spans="3:7">
      <c r="C156" s="29" t="s">
        <v>136</v>
      </c>
      <c r="F156" t="s">
        <v>137</v>
      </c>
      <c r="G156" t="s">
        <v>137</v>
      </c>
    </row>
    <row r="157" spans="3:7">
      <c r="C157" s="29" t="s">
        <v>138</v>
      </c>
      <c r="F157" t="s">
        <v>139</v>
      </c>
      <c r="G157" t="s">
        <v>139</v>
      </c>
    </row>
    <row r="158" spans="3:7">
      <c r="C158" s="29" t="s">
        <v>140</v>
      </c>
      <c r="F158" t="s">
        <v>141</v>
      </c>
      <c r="G158" t="s">
        <v>141</v>
      </c>
    </row>
    <row r="159" spans="3:7">
      <c r="C159" s="29" t="s">
        <v>142</v>
      </c>
      <c r="F159" t="s">
        <v>143</v>
      </c>
      <c r="G159" t="s">
        <v>143</v>
      </c>
    </row>
    <row r="160" spans="3:7">
      <c r="C160" s="29" t="s">
        <v>634</v>
      </c>
      <c r="F160" t="s">
        <v>100</v>
      </c>
      <c r="G160" t="s">
        <v>100</v>
      </c>
    </row>
    <row r="161" spans="3:7">
      <c r="C161" s="29" t="s">
        <v>635</v>
      </c>
      <c r="F161" t="s">
        <v>102</v>
      </c>
      <c r="G161" t="s">
        <v>102</v>
      </c>
    </row>
    <row r="162" spans="3:7">
      <c r="C162" s="29" t="s">
        <v>636</v>
      </c>
      <c r="F162" t="s">
        <v>637</v>
      </c>
      <c r="G162" t="s">
        <v>637</v>
      </c>
    </row>
    <row r="163" spans="3:7">
      <c r="C163" s="29" t="s">
        <v>638</v>
      </c>
      <c r="F163" t="s">
        <v>639</v>
      </c>
      <c r="G163" t="s">
        <v>639</v>
      </c>
    </row>
  </sheetData>
  <autoFilter ref="A1:K163" xr:uid="{00000000-0009-0000-0000-000005000000}"/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設定</vt:lpstr>
      <vt:lpstr>操作マニュアル</vt:lpstr>
      <vt:lpstr>連絡票用</vt:lpstr>
      <vt:lpstr>ハンカン確定注文</vt:lpstr>
      <vt:lpstr>個装箱,部品</vt:lpstr>
      <vt:lpstr>コード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01429_yamamoto</dc:creator>
  <cp:lastModifiedBy>01429_yamamoto</cp:lastModifiedBy>
  <cp:lastPrinted>2026-01-08T03:12:04Z</cp:lastPrinted>
  <dcterms:created xsi:type="dcterms:W3CDTF">2025-01-07T07:15:28Z</dcterms:created>
  <dcterms:modified xsi:type="dcterms:W3CDTF">2026-04-09T01:19:47Z</dcterms:modified>
</cp:coreProperties>
</file>